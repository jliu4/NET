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395" yWindow="-210" windowWidth="8040" windowHeight="8130" tabRatio="856"/>
  </bookViews>
  <sheets>
    <sheet name="input" sheetId="40" r:id="rId1"/>
    <sheet name="derpsum" sheetId="32" r:id="rId2"/>
    <sheet name="recircle" sheetId="34" r:id="rId3"/>
    <sheet name="summary" sheetId="35" r:id="rId4"/>
    <sheet name="dodo" sheetId="39" r:id="rId5"/>
  </sheets>
  <calcPr calcId="145621" calcOnSave="0"/>
</workbook>
</file>

<file path=xl/calcChain.xml><?xml version="1.0" encoding="utf-8"?>
<calcChain xmlns="http://schemas.openxmlformats.org/spreadsheetml/2006/main">
  <c r="K17" i="39" l="1"/>
  <c r="H17" i="39"/>
  <c r="E17" i="39"/>
  <c r="B7" i="39" l="1"/>
  <c r="B8" i="39"/>
  <c r="B9" i="39"/>
  <c r="B10" i="39"/>
  <c r="B11" i="39"/>
  <c r="B12" i="39"/>
  <c r="B13" i="39"/>
  <c r="B14" i="39"/>
  <c r="B6" i="39"/>
  <c r="W2" i="39" l="1"/>
  <c r="V2" i="39"/>
  <c r="U2" i="39"/>
  <c r="T2" i="39"/>
  <c r="S2" i="39"/>
  <c r="R2" i="39"/>
  <c r="Q2" i="39"/>
  <c r="P2" i="39"/>
  <c r="O2" i="39"/>
  <c r="B18" i="39"/>
  <c r="C17" i="39" s="1"/>
  <c r="B17" i="39"/>
  <c r="F19" i="39" l="1"/>
  <c r="I19" i="39" s="1"/>
  <c r="G17" i="39"/>
  <c r="J17" i="39" s="1"/>
  <c r="D13" i="39"/>
  <c r="C13" i="39" s="1"/>
  <c r="C18" i="39" l="1"/>
  <c r="D18" i="39" s="1"/>
  <c r="D23" i="39" s="1"/>
  <c r="D10" i="39"/>
  <c r="C10" i="39" s="1"/>
  <c r="D11" i="39"/>
  <c r="C11" i="39" s="1"/>
  <c r="D14" i="39"/>
  <c r="C14" i="39" s="1"/>
  <c r="D12" i="39"/>
  <c r="C12" i="39" s="1"/>
  <c r="F17" i="39" l="1"/>
  <c r="I17" i="39" s="1"/>
  <c r="F18" i="39"/>
  <c r="I18" i="39" s="1"/>
  <c r="C22" i="39" l="1"/>
  <c r="G18" i="39"/>
  <c r="D19" i="39"/>
  <c r="G19" i="39" s="1"/>
  <c r="J19" i="39" s="1"/>
  <c r="J18" i="39" l="1"/>
  <c r="J23" i="39" s="1"/>
  <c r="I22" i="39" s="1"/>
  <c r="G23" i="39"/>
  <c r="F22" i="39" s="1"/>
  <c r="D24" i="39"/>
  <c r="C27" i="39"/>
  <c r="C23" i="39"/>
  <c r="C26" i="39" s="1"/>
  <c r="D27" i="39" l="1"/>
  <c r="F23" i="39"/>
  <c r="D26" i="39" s="1"/>
  <c r="G24" i="39"/>
  <c r="E27" i="39"/>
  <c r="I23" i="39"/>
  <c r="E26" i="39" s="1"/>
  <c r="J24" i="39"/>
  <c r="A5" i="35" l="1"/>
  <c r="B24" i="34"/>
  <c r="D24" i="34"/>
  <c r="B14" i="34"/>
  <c r="B16" i="34" s="1"/>
  <c r="D14" i="34"/>
  <c r="D4" i="34"/>
  <c r="F21" i="34"/>
  <c r="A8" i="35"/>
  <c r="F11" i="34"/>
  <c r="A7" i="35"/>
  <c r="A4" i="35"/>
  <c r="F4" i="34"/>
  <c r="F6" i="34" s="1"/>
  <c r="H4" i="34"/>
  <c r="F1" i="34"/>
  <c r="A6" i="35"/>
  <c r="A3" i="35"/>
  <c r="B25" i="34"/>
  <c r="D25" i="34"/>
  <c r="F5" i="34"/>
  <c r="H5" i="34"/>
  <c r="F15" i="34"/>
  <c r="F14" i="34"/>
  <c r="F16" i="34"/>
  <c r="H15" i="34"/>
  <c r="H14" i="34"/>
  <c r="F25" i="34"/>
  <c r="F24" i="34"/>
  <c r="F26" i="34" s="1"/>
  <c r="H25" i="34"/>
  <c r="H24" i="34"/>
  <c r="B15" i="34"/>
  <c r="D15" i="34"/>
  <c r="B5" i="34"/>
  <c r="D5" i="34"/>
  <c r="B26" i="34"/>
  <c r="F27" i="34"/>
  <c r="F17" i="34"/>
  <c r="F19" i="34"/>
  <c r="B7" i="35" s="1"/>
  <c r="F7" i="34"/>
  <c r="B19" i="34"/>
  <c r="B4" i="35" s="1"/>
  <c r="B4" i="34" l="1"/>
  <c r="B6" i="34" s="1"/>
  <c r="B20" i="34"/>
  <c r="E4" i="35" s="1"/>
  <c r="B17" i="34"/>
  <c r="E20" i="34"/>
  <c r="G4" i="35" s="1"/>
  <c r="E19" i="34"/>
  <c r="D4" i="35" s="1"/>
  <c r="I20" i="34"/>
  <c r="G7" i="35" s="1"/>
  <c r="I19" i="34"/>
  <c r="D7" i="35" s="1"/>
  <c r="F30" i="34"/>
  <c r="E8" i="35" s="1"/>
  <c r="F20" i="34"/>
  <c r="E7" i="35" s="1"/>
  <c r="B27" i="34"/>
  <c r="B7" i="34" l="1"/>
  <c r="F29" i="34"/>
  <c r="B8" i="35" s="1"/>
  <c r="F10" i="34"/>
  <c r="E6" i="35" s="1"/>
  <c r="F9" i="34"/>
  <c r="B6" i="35" s="1"/>
  <c r="E29" i="34"/>
  <c r="D5" i="35" s="1"/>
  <c r="E30" i="34"/>
  <c r="G5" i="35" s="1"/>
  <c r="C19" i="34"/>
  <c r="C4" i="35" s="1"/>
  <c r="C20" i="34"/>
  <c r="F4" i="35" s="1"/>
  <c r="G20" i="34"/>
  <c r="F7" i="35" s="1"/>
  <c r="G19" i="34"/>
  <c r="C7" i="35" s="1"/>
  <c r="C29" i="34"/>
  <c r="C5" i="35" s="1"/>
  <c r="C30" i="34"/>
  <c r="F5" i="35" s="1"/>
  <c r="B29" i="34"/>
  <c r="B5" i="35" s="1"/>
  <c r="B30" i="34"/>
  <c r="E5" i="35" s="1"/>
  <c r="G10" i="34"/>
  <c r="F6" i="35" s="1"/>
  <c r="G9" i="34"/>
  <c r="C6" i="35" s="1"/>
  <c r="I10" i="34"/>
  <c r="G6" i="35" s="1"/>
  <c r="I9" i="34"/>
  <c r="D6" i="35" s="1"/>
  <c r="I29" i="34" l="1"/>
  <c r="D8" i="35" s="1"/>
  <c r="I30" i="34"/>
  <c r="G8" i="35" s="1"/>
  <c r="G30" i="34"/>
  <c r="F8" i="35" s="1"/>
  <c r="G29" i="34"/>
  <c r="C8" i="35" s="1"/>
  <c r="B10" i="34" l="1"/>
  <c r="E3" i="35" s="1"/>
  <c r="B9" i="34"/>
  <c r="B3" i="35" s="1"/>
  <c r="C9" i="34" l="1"/>
  <c r="C3" i="35" s="1"/>
  <c r="C10" i="34"/>
  <c r="F3" i="35" s="1"/>
  <c r="E9" i="34"/>
  <c r="D3" i="35" s="1"/>
  <c r="E10" i="34"/>
  <c r="G3" i="35" s="1"/>
  <c r="D6" i="39"/>
  <c r="C6" i="39" s="1"/>
  <c r="D9" i="39"/>
  <c r="C9" i="39" s="1"/>
  <c r="D8" i="39"/>
  <c r="C8" i="39" s="1"/>
  <c r="D7" i="39"/>
  <c r="C7" i="39" s="1"/>
</calcChain>
</file>

<file path=xl/sharedStrings.xml><?xml version="1.0" encoding="utf-8"?>
<sst xmlns="http://schemas.openxmlformats.org/spreadsheetml/2006/main" count="157" uniqueCount="74">
  <si>
    <t>T (sec)</t>
  </si>
  <si>
    <t>x (ft)</t>
  </si>
  <si>
    <t>fe (kips)</t>
  </si>
  <si>
    <t>acc (ft/s²)</t>
  </si>
  <si>
    <t>vel (kts)</t>
  </si>
  <si>
    <t>vy (kts)</t>
  </si>
  <si>
    <t>vx (kts)</t>
  </si>
  <si>
    <t>yaw (deg)</t>
  </si>
  <si>
    <t>y (ft)</t>
  </si>
  <si>
    <t>Zero</t>
  </si>
  <si>
    <t>Type of EDS</t>
  </si>
  <si>
    <t>Environment</t>
  </si>
  <si>
    <t>Red Circle (%WD)</t>
  </si>
  <si>
    <t>Time to Red Circle (sec)</t>
  </si>
  <si>
    <t>Drifting Velocity</t>
  </si>
  <si>
    <t>Consider</t>
  </si>
  <si>
    <t>Allowable Offset (% WD)</t>
  </si>
  <si>
    <t>Governing Factor</t>
  </si>
  <si>
    <t>POD to Center (%WD)</t>
  </si>
  <si>
    <t>Time to Allow Offset (sec)</t>
  </si>
  <si>
    <t>Shearless</t>
  </si>
  <si>
    <t>Pipe Shear</t>
  </si>
  <si>
    <t>Casing Shear</t>
  </si>
  <si>
    <t>Beam Sea (90°)</t>
  </si>
  <si>
    <t>Environmental Direction</t>
  </si>
  <si>
    <t>Head Sea (180°)</t>
  </si>
  <si>
    <t>Shear-less</t>
  </si>
  <si>
    <t xml:space="preserve"> </t>
  </si>
  <si>
    <t>Max Stress Ratio</t>
  </si>
  <si>
    <t>1yW180</t>
  </si>
  <si>
    <t>1ySW180</t>
  </si>
  <si>
    <t>1-Year North Current + SW Wind/Waves</t>
  </si>
  <si>
    <t>1-Year W Current + E Wind/Waves</t>
  </si>
  <si>
    <t>1-Year SW Bottom Current + NE Wind/Waves</t>
  </si>
  <si>
    <t>WD %</t>
  </si>
  <si>
    <t>POD (St)</t>
  </si>
  <si>
    <t>POD (Dr)</t>
  </si>
  <si>
    <t>WD</t>
  </si>
  <si>
    <t>ft</t>
  </si>
  <si>
    <t>Red Circle (Shearless)</t>
  </si>
  <si>
    <t>POD From WC</t>
  </si>
  <si>
    <t>Red Circle (Pipe Shear)</t>
  </si>
  <si>
    <t>Red Circle (Casing Shear)</t>
  </si>
  <si>
    <t>Dir</t>
  </si>
  <si>
    <t>Offset</t>
  </si>
  <si>
    <t>Drift Vel</t>
  </si>
  <si>
    <t>RAO</t>
  </si>
  <si>
    <t>deg TN</t>
  </si>
  <si>
    <t>sec</t>
  </si>
  <si>
    <t>Wind</t>
  </si>
  <si>
    <t>Wave Hs</t>
  </si>
  <si>
    <t>Tp</t>
  </si>
  <si>
    <t>Current</t>
  </si>
  <si>
    <t>fr (kips)</t>
  </si>
  <si>
    <t>Vessel</t>
  </si>
  <si>
    <t>Operating Draft</t>
  </si>
  <si>
    <t>Survival Draft</t>
  </si>
  <si>
    <t>Riser Mass</t>
  </si>
  <si>
    <t>Riser Tension</t>
  </si>
  <si>
    <t>kips</t>
  </si>
  <si>
    <t>Case</t>
  </si>
  <si>
    <t>Station</t>
  </si>
  <si>
    <t>Drift</t>
  </si>
  <si>
    <t>Governor</t>
  </si>
  <si>
    <t>kn</t>
  </si>
  <si>
    <t xml:space="preserve">   x</t>
  </si>
  <si>
    <t xml:space="preserve">   y</t>
  </si>
  <si>
    <t xml:space="preserve">  Dir</t>
  </si>
  <si>
    <t>Time to Shearless disc.</t>
  </si>
  <si>
    <t>Time to Pipeshear Disc.</t>
  </si>
  <si>
    <t>Time to Casingshear Disc.</t>
  </si>
  <si>
    <t>Time to Disconnect</t>
  </si>
  <si>
    <t>Yellow to Red</t>
  </si>
  <si>
    <t>LFJ Depth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</si>
</sst>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0"/>
      <name val="Arial"/>
    </font>
    <font>
      <sz val="10"/>
      <name val="Arial"/>
      <family val="2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name val="Calibri"/>
      <family val="2"/>
    </font>
    <font>
      <b/>
      <sz val="8"/>
      <name val="Calibri"/>
      <family val="2"/>
    </font>
    <font>
      <sz val="8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1" fillId="0" borderId="0"/>
  </cellStyleXfs>
  <cellXfs count="68">
    <xf numFmtId="0" fontId="0" fillId="0" borderId="0" xfId="0"/>
    <xf numFmtId="0" fontId="2" fillId="0" borderId="0" xfId="0" applyFont="1"/>
    <xf numFmtId="0" fontId="2" fillId="0" borderId="0" xfId="0" applyFont="1" applyBorder="1"/>
    <xf numFmtId="0" fontId="2" fillId="0" borderId="0" xfId="0" applyFont="1" applyAlignment="1"/>
    <xf numFmtId="2" fontId="2" fillId="0" borderId="1" xfId="1" applyNumberFormat="1" applyFont="1" applyBorder="1" applyAlignment="1">
      <alignment vertical="center"/>
    </xf>
    <xf numFmtId="0" fontId="2" fillId="0" borderId="1" xfId="0" applyFont="1" applyBorder="1"/>
    <xf numFmtId="2" fontId="2" fillId="0" borderId="1" xfId="1" applyNumberFormat="1" applyFont="1" applyBorder="1" applyAlignment="1">
      <alignment horizontal="left" vertical="center"/>
    </xf>
    <xf numFmtId="2" fontId="2" fillId="0" borderId="1" xfId="1" applyNumberFormat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164" fontId="3" fillId="0" borderId="1" xfId="1" applyNumberFormat="1" applyFont="1" applyBorder="1" applyAlignment="1">
      <alignment horizontal="center" vertical="center"/>
    </xf>
    <xf numFmtId="2" fontId="2" fillId="0" borderId="0" xfId="1" applyNumberFormat="1" applyFont="1" applyBorder="1" applyAlignment="1">
      <alignment vertical="center"/>
    </xf>
    <xf numFmtId="2" fontId="2" fillId="0" borderId="0" xfId="1" applyNumberFormat="1" applyFont="1" applyBorder="1" applyAlignment="1">
      <alignment horizontal="center" vertical="center"/>
    </xf>
    <xf numFmtId="2" fontId="2" fillId="0" borderId="0" xfId="1" applyNumberFormat="1" applyFont="1" applyBorder="1" applyAlignment="1">
      <alignment horizontal="left" vertical="center"/>
    </xf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1" fontId="4" fillId="0" borderId="0" xfId="0" applyNumberFormat="1" applyFont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2" fontId="4" fillId="0" borderId="5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2" fontId="4" fillId="0" borderId="0" xfId="0" applyNumberFormat="1" applyFont="1"/>
    <xf numFmtId="2" fontId="4" fillId="0" borderId="0" xfId="0" applyNumberFormat="1" applyFont="1" applyFill="1" applyBorder="1" applyAlignment="1">
      <alignment horizontal="center" vertical="center"/>
    </xf>
    <xf numFmtId="0" fontId="4" fillId="0" borderId="0" xfId="1" applyFont="1" applyFill="1" applyAlignment="1" applyProtection="1">
      <alignment vertical="center"/>
    </xf>
    <xf numFmtId="2" fontId="4" fillId="0" borderId="0" xfId="1" applyNumberFormat="1" applyFont="1" applyFill="1" applyAlignment="1" applyProtection="1">
      <alignment vertical="center"/>
    </xf>
    <xf numFmtId="2" fontId="5" fillId="0" borderId="0" xfId="1" applyNumberFormat="1" applyFont="1" applyFill="1" applyAlignment="1" applyProtection="1">
      <alignment vertical="center"/>
    </xf>
    <xf numFmtId="1" fontId="4" fillId="0" borderId="0" xfId="1" applyNumberFormat="1" applyFont="1" applyFill="1" applyAlignment="1" applyProtection="1">
      <alignment vertical="center"/>
    </xf>
    <xf numFmtId="164" fontId="4" fillId="0" borderId="0" xfId="1" applyNumberFormat="1" applyFont="1" applyFill="1" applyAlignment="1" applyProtection="1">
      <alignment vertical="center"/>
    </xf>
    <xf numFmtId="2" fontId="4" fillId="4" borderId="5" xfId="0" applyNumberFormat="1" applyFont="1" applyFill="1" applyBorder="1" applyAlignment="1">
      <alignment horizontal="center" vertical="center"/>
    </xf>
    <xf numFmtId="2" fontId="4" fillId="0" borderId="5" xfId="0" applyNumberFormat="1" applyFont="1" applyFill="1" applyBorder="1" applyAlignment="1">
      <alignment horizontal="left" vertical="center"/>
    </xf>
    <xf numFmtId="2" fontId="4" fillId="0" borderId="0" xfId="0" applyNumberFormat="1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2" fontId="4" fillId="4" borderId="6" xfId="0" applyNumberFormat="1" applyFont="1" applyFill="1" applyBorder="1" applyAlignment="1">
      <alignment horizontal="center" vertical="center"/>
    </xf>
    <xf numFmtId="2" fontId="4" fillId="0" borderId="6" xfId="0" applyNumberFormat="1" applyFont="1" applyFill="1" applyBorder="1" applyAlignment="1">
      <alignment horizontal="left" vertical="center"/>
    </xf>
    <xf numFmtId="2" fontId="4" fillId="0" borderId="6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left" vertical="center"/>
    </xf>
    <xf numFmtId="2" fontId="4" fillId="4" borderId="7" xfId="0" applyNumberFormat="1" applyFont="1" applyFill="1" applyBorder="1" applyAlignment="1">
      <alignment horizontal="center" vertical="center"/>
    </xf>
    <xf numFmtId="2" fontId="4" fillId="0" borderId="7" xfId="0" applyNumberFormat="1" applyFont="1" applyFill="1" applyBorder="1" applyAlignment="1">
      <alignment horizontal="left" vertical="center"/>
    </xf>
    <xf numFmtId="2" fontId="4" fillId="0" borderId="7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left" vertical="center"/>
    </xf>
    <xf numFmtId="1" fontId="4" fillId="0" borderId="5" xfId="0" applyNumberFormat="1" applyFont="1" applyFill="1" applyBorder="1" applyAlignment="1">
      <alignment horizontal="center" vertical="center"/>
    </xf>
    <xf numFmtId="2" fontId="4" fillId="0" borderId="0" xfId="0" applyNumberFormat="1" applyFont="1" applyAlignment="1">
      <alignment horizontal="right"/>
    </xf>
    <xf numFmtId="2" fontId="4" fillId="0" borderId="0" xfId="0" applyNumberFormat="1" applyFont="1" applyBorder="1" applyAlignment="1">
      <alignment horizontal="right" vertical="center"/>
    </xf>
    <xf numFmtId="2" fontId="4" fillId="2" borderId="5" xfId="0" applyNumberFormat="1" applyFont="1" applyFill="1" applyBorder="1" applyAlignment="1">
      <alignment horizontal="right" vertical="center"/>
    </xf>
    <xf numFmtId="1" fontId="4" fillId="0" borderId="0" xfId="0" applyNumberFormat="1" applyFont="1" applyAlignment="1">
      <alignment horizontal="right"/>
    </xf>
    <xf numFmtId="1" fontId="4" fillId="2" borderId="5" xfId="0" applyNumberFormat="1" applyFont="1" applyFill="1" applyBorder="1" applyAlignment="1">
      <alignment horizontal="right" vertical="center"/>
    </xf>
    <xf numFmtId="2" fontId="4" fillId="0" borderId="0" xfId="1" applyNumberFormat="1" applyFont="1" applyFill="1" applyAlignment="1" applyProtection="1">
      <alignment horizontal="right" vertical="center"/>
    </xf>
    <xf numFmtId="0" fontId="4" fillId="2" borderId="8" xfId="0" applyFont="1" applyFill="1" applyBorder="1" applyAlignment="1">
      <alignment horizontal="left" vertical="center"/>
    </xf>
    <xf numFmtId="2" fontId="4" fillId="0" borderId="8" xfId="0" applyNumberFormat="1" applyFont="1" applyFill="1" applyBorder="1" applyAlignment="1">
      <alignment horizontal="left" vertical="center"/>
    </xf>
    <xf numFmtId="0" fontId="7" fillId="5" borderId="2" xfId="0" quotePrefix="1" applyFont="1" applyFill="1" applyBorder="1" applyAlignment="1">
      <alignment vertical="center"/>
    </xf>
    <xf numFmtId="0" fontId="7" fillId="5" borderId="3" xfId="0" quotePrefix="1" applyFont="1" applyFill="1" applyBorder="1" applyAlignment="1">
      <alignment vertical="center"/>
    </xf>
    <xf numFmtId="0" fontId="7" fillId="5" borderId="4" xfId="0" quotePrefix="1" applyFont="1" applyFill="1" applyBorder="1" applyAlignment="1">
      <alignment vertical="center"/>
    </xf>
    <xf numFmtId="1" fontId="4" fillId="3" borderId="0" xfId="0" applyNumberFormat="1" applyFont="1" applyFill="1" applyBorder="1" applyAlignment="1">
      <alignment horizontal="left" vertical="center"/>
    </xf>
    <xf numFmtId="1" fontId="8" fillId="4" borderId="8" xfId="0" applyNumberFormat="1" applyFont="1" applyFill="1" applyBorder="1" applyAlignment="1">
      <alignment horizontal="center" vertical="center"/>
    </xf>
    <xf numFmtId="1" fontId="8" fillId="4" borderId="5" xfId="0" applyNumberFormat="1" applyFont="1" applyFill="1" applyBorder="1" applyAlignment="1">
      <alignment horizontal="center" vertical="center"/>
    </xf>
    <xf numFmtId="2" fontId="8" fillId="4" borderId="6" xfId="0" applyNumberFormat="1" applyFont="1" applyFill="1" applyBorder="1" applyAlignment="1">
      <alignment horizontal="center" vertical="center"/>
    </xf>
    <xf numFmtId="2" fontId="8" fillId="4" borderId="5" xfId="0" applyNumberFormat="1" applyFont="1" applyFill="1" applyBorder="1" applyAlignment="1">
      <alignment horizontal="center" vertical="center"/>
    </xf>
    <xf numFmtId="2" fontId="2" fillId="0" borderId="0" xfId="1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2" fontId="2" fillId="0" borderId="1" xfId="1" applyNumberFormat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164" fontId="3" fillId="0" borderId="1" xfId="1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25008106237874"/>
          <c:y val="6.9333513889359086E-2"/>
          <c:w val="0.78906310200737151"/>
          <c:h val="0.74933528472730393"/>
        </c:manualLayout>
      </c:layout>
      <c:scatterChart>
        <c:scatterStyle val="smoothMarker"/>
        <c:varyColors val="0"/>
        <c:ser>
          <c:idx val="1"/>
          <c:order val="1"/>
          <c:tx>
            <c:v>Drift Offset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dodo!$N$27:$N$4031</c:f>
              <c:numCache>
                <c:formatCode>0.00</c:formatCode>
                <c:ptCount val="4005"/>
              </c:numCache>
            </c:numRef>
          </c:xVal>
          <c:yVal>
            <c:numRef>
              <c:f>dodo!$X$27:$X$4031</c:f>
              <c:numCache>
                <c:formatCode>0.00</c:formatCode>
                <c:ptCount val="4005"/>
              </c:numCache>
            </c:numRef>
          </c:yVal>
          <c:smooth val="1"/>
        </c:ser>
        <c:ser>
          <c:idx val="2"/>
          <c:order val="2"/>
          <c:tx>
            <c:strRef>
              <c:f>dodo!$C$16</c:f>
              <c:strCache>
                <c:ptCount val="1"/>
                <c:pt idx="0">
                  <c:v>POD From WC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dodo!$D$17:$D$19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dodo!$C$17:$C$19</c:f>
              <c:numCache>
                <c:formatCode>0.00</c:formatCode>
                <c:ptCount val="3"/>
                <c:pt idx="0">
                  <c:v>4.7633477263700081</c:v>
                </c:pt>
                <c:pt idx="1">
                  <c:v>4.7633477263700081</c:v>
                </c:pt>
                <c:pt idx="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dodo!$C$21</c:f>
              <c:strCache>
                <c:ptCount val="1"/>
                <c:pt idx="0">
                  <c:v>Red Circle (Shearless)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dodo!$D$22:$D$24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dodo!$C$22:$C$24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dodo!$F$21</c:f>
              <c:strCache>
                <c:ptCount val="1"/>
                <c:pt idx="0">
                  <c:v>Red Circle (Pipe Shear)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dodo!$G$22:$G$24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dodo!$F$22:$F$24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dodo!$I$21</c:f>
              <c:strCache>
                <c:ptCount val="1"/>
                <c:pt idx="0">
                  <c:v>Red Circle (Casing Shear)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dodo!$J$22:$J$24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dodo!$I$22:$I$24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663232"/>
        <c:axId val="223665152"/>
      </c:scatterChart>
      <c:scatterChart>
        <c:scatterStyle val="lineMarker"/>
        <c:varyColors val="0"/>
        <c:ser>
          <c:idx val="0"/>
          <c:order val="0"/>
          <c:tx>
            <c:v>Drift Velocity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dodo!$N$27:$N$4031</c:f>
              <c:numCache>
                <c:formatCode>0.00</c:formatCode>
                <c:ptCount val="4005"/>
              </c:numCache>
            </c:numRef>
          </c:xVal>
          <c:yVal>
            <c:numRef>
              <c:f>dodo!$T$27:$T$4031</c:f>
              <c:numCache>
                <c:formatCode>0.00</c:formatCode>
                <c:ptCount val="400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81888"/>
        <c:axId val="187783424"/>
      </c:scatterChart>
      <c:valAx>
        <c:axId val="223663232"/>
        <c:scaling>
          <c:orientation val="minMax"/>
          <c:max val="18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01335573053368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665152"/>
        <c:crosses val="autoZero"/>
        <c:crossBetween val="midCat"/>
        <c:majorUnit val="30"/>
      </c:valAx>
      <c:valAx>
        <c:axId val="22366515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Offset (% WD)</a:t>
                </a:r>
              </a:p>
            </c:rich>
          </c:tx>
          <c:layout>
            <c:manualLayout>
              <c:xMode val="edge"/>
              <c:yMode val="edge"/>
              <c:x val="3.7936418168723384E-3"/>
              <c:y val="0.3168952456892255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663232"/>
        <c:crosses val="autoZero"/>
        <c:crossBetween val="midCat"/>
        <c:majorUnit val="1"/>
        <c:minorUnit val="0.25"/>
      </c:valAx>
      <c:valAx>
        <c:axId val="1877818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87783424"/>
        <c:crosses val="autoZero"/>
        <c:crossBetween val="midCat"/>
      </c:valAx>
      <c:valAx>
        <c:axId val="187783424"/>
        <c:scaling>
          <c:orientation val="minMax"/>
          <c:max val="5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Velocity (kts)</a:t>
                </a:r>
              </a:p>
            </c:rich>
          </c:tx>
          <c:layout>
            <c:manualLayout>
              <c:xMode val="edge"/>
              <c:yMode val="edge"/>
              <c:x val="0.94218815616797902"/>
              <c:y val="0.3360008398950131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7781888"/>
        <c:crosses val="max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666683070866141"/>
          <c:y val="7.7333613298337711E-2"/>
          <c:w val="0.44843782808398952"/>
          <c:h val="0.32266722659667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133351</xdr:rowOff>
    </xdr:from>
    <xdr:to>
      <xdr:col>12</xdr:col>
      <xdr:colOff>0</xdr:colOff>
      <xdr:row>49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tabSelected="1" workbookViewId="0">
      <selection activeCell="F10" sqref="F10"/>
    </sheetView>
  </sheetViews>
  <sheetFormatPr defaultRowHeight="11.25" x14ac:dyDescent="0.2"/>
  <cols>
    <col min="1" max="1" width="11.42578125" style="13" bestFit="1" customWidth="1"/>
    <col min="2" max="2" width="8.42578125" style="13" bestFit="1" customWidth="1"/>
    <col min="3" max="3" width="5.42578125" style="22" bestFit="1" customWidth="1"/>
    <col min="4" max="4" width="4.42578125" style="22" customWidth="1"/>
    <col min="5" max="5" width="14.42578125" style="13" bestFit="1" customWidth="1"/>
    <col min="6" max="16384" width="9.140625" style="13"/>
  </cols>
  <sheetData>
    <row r="1" spans="1:4" x14ac:dyDescent="0.2">
      <c r="A1" s="40" t="s">
        <v>54</v>
      </c>
      <c r="B1" s="33"/>
      <c r="C1" s="34"/>
      <c r="D1" s="31"/>
    </row>
    <row r="2" spans="1:4" x14ac:dyDescent="0.2">
      <c r="A2" s="19" t="s">
        <v>65</v>
      </c>
      <c r="B2" s="29"/>
      <c r="C2" s="30" t="s">
        <v>38</v>
      </c>
      <c r="D2" s="31"/>
    </row>
    <row r="3" spans="1:4" x14ac:dyDescent="0.2">
      <c r="A3" s="19" t="s">
        <v>66</v>
      </c>
      <c r="B3" s="29"/>
      <c r="C3" s="30" t="s">
        <v>38</v>
      </c>
      <c r="D3" s="31"/>
    </row>
    <row r="4" spans="1:4" x14ac:dyDescent="0.2">
      <c r="A4" s="19" t="s">
        <v>67</v>
      </c>
      <c r="B4" s="29"/>
      <c r="C4" s="30" t="s">
        <v>47</v>
      </c>
      <c r="D4" s="31"/>
    </row>
    <row r="5" spans="1:4" x14ac:dyDescent="0.2">
      <c r="A5" s="19" t="s">
        <v>55</v>
      </c>
      <c r="B5" s="29"/>
      <c r="C5" s="30" t="s">
        <v>38</v>
      </c>
      <c r="D5" s="31"/>
    </row>
    <row r="6" spans="1:4" x14ac:dyDescent="0.2">
      <c r="A6" s="19" t="s">
        <v>56</v>
      </c>
      <c r="B6" s="29"/>
      <c r="C6" s="30" t="s">
        <v>38</v>
      </c>
      <c r="D6" s="31"/>
    </row>
    <row r="7" spans="1:4" x14ac:dyDescent="0.2">
      <c r="A7" s="19" t="s">
        <v>57</v>
      </c>
      <c r="B7" s="29"/>
      <c r="C7" s="30" t="s">
        <v>59</v>
      </c>
      <c r="D7" s="31"/>
    </row>
    <row r="8" spans="1:4" x14ac:dyDescent="0.2">
      <c r="A8" s="19" t="s">
        <v>58</v>
      </c>
      <c r="B8" s="29"/>
      <c r="C8" s="30" t="s">
        <v>59</v>
      </c>
    </row>
    <row r="9" spans="1:4" x14ac:dyDescent="0.2">
      <c r="A9" s="19" t="s">
        <v>37</v>
      </c>
      <c r="B9" s="29"/>
      <c r="C9" s="30" t="s">
        <v>38</v>
      </c>
    </row>
    <row r="10" spans="1:4" x14ac:dyDescent="0.2">
      <c r="A10" s="36" t="s">
        <v>73</v>
      </c>
      <c r="B10" s="37"/>
      <c r="C10" s="38" t="s">
        <v>38</v>
      </c>
    </row>
    <row r="12" spans="1:4" ht="11.25" customHeight="1" x14ac:dyDescent="0.2">
      <c r="A12" s="50" t="s">
        <v>71</v>
      </c>
      <c r="B12" s="51"/>
      <c r="C12" s="52"/>
    </row>
    <row r="13" spans="1:4" ht="11.25" customHeight="1" x14ac:dyDescent="0.2">
      <c r="A13" s="48" t="s">
        <v>26</v>
      </c>
      <c r="B13" s="54">
        <v>30</v>
      </c>
      <c r="C13" s="49" t="s">
        <v>48</v>
      </c>
    </row>
    <row r="14" spans="1:4" ht="12" customHeight="1" x14ac:dyDescent="0.2">
      <c r="A14" s="19" t="s">
        <v>21</v>
      </c>
      <c r="B14" s="55">
        <v>45</v>
      </c>
      <c r="C14" s="30" t="s">
        <v>48</v>
      </c>
    </row>
    <row r="15" spans="1:4" x14ac:dyDescent="0.2">
      <c r="A15" s="19" t="s">
        <v>22</v>
      </c>
      <c r="B15" s="55">
        <v>60</v>
      </c>
      <c r="C15" s="30" t="s">
        <v>48</v>
      </c>
    </row>
    <row r="16" spans="1:4" x14ac:dyDescent="0.2">
      <c r="A16" s="19" t="s">
        <v>72</v>
      </c>
      <c r="B16" s="55">
        <v>30</v>
      </c>
      <c r="C16" s="30" t="s">
        <v>48</v>
      </c>
    </row>
    <row r="17" spans="1:3" x14ac:dyDescent="0.2">
      <c r="A17" s="19"/>
      <c r="B17" s="29"/>
      <c r="C17" s="30"/>
    </row>
    <row r="18" spans="1:3" x14ac:dyDescent="0.2">
      <c r="A18" s="19"/>
      <c r="B18" s="29"/>
      <c r="C18" s="3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2"/>
  <sheetViews>
    <sheetView workbookViewId="0">
      <selection activeCell="F12" sqref="F12"/>
    </sheetView>
  </sheetViews>
  <sheetFormatPr defaultRowHeight="11.25" x14ac:dyDescent="0.2"/>
  <cols>
    <col min="1" max="1" width="7.28515625" style="22" bestFit="1" customWidth="1"/>
    <col min="2" max="2" width="5" style="22" bestFit="1" customWidth="1"/>
    <col min="3" max="3" width="12.140625" style="13" bestFit="1" customWidth="1"/>
    <col min="4" max="4" width="5" style="13" bestFit="1" customWidth="1"/>
    <col min="5" max="5" width="12.140625" style="13" bestFit="1" customWidth="1"/>
    <col min="6" max="6" width="14.42578125" style="13" bestFit="1" customWidth="1"/>
    <col min="7" max="16384" width="9.140625" style="13"/>
  </cols>
  <sheetData>
    <row r="1" spans="1:5" x14ac:dyDescent="0.2">
      <c r="A1" s="40"/>
      <c r="B1" s="40" t="s">
        <v>61</v>
      </c>
      <c r="C1" s="40"/>
      <c r="D1" s="40" t="s">
        <v>62</v>
      </c>
      <c r="E1" s="40"/>
    </row>
    <row r="2" spans="1:5" x14ac:dyDescent="0.2">
      <c r="A2" s="40" t="s">
        <v>60</v>
      </c>
      <c r="B2" s="40" t="s">
        <v>44</v>
      </c>
      <c r="C2" s="40" t="s">
        <v>63</v>
      </c>
      <c r="D2" s="40" t="s">
        <v>44</v>
      </c>
      <c r="E2" s="40" t="s">
        <v>63</v>
      </c>
    </row>
    <row r="3" spans="1:5" x14ac:dyDescent="0.2">
      <c r="A3" s="56" t="s">
        <v>29</v>
      </c>
      <c r="B3" s="56">
        <v>4.7633477263700081</v>
      </c>
      <c r="C3" s="56" t="s">
        <v>28</v>
      </c>
      <c r="D3" s="56">
        <v>5.4913354572517887</v>
      </c>
      <c r="E3" s="56" t="s">
        <v>28</v>
      </c>
    </row>
    <row r="4" spans="1:5" x14ac:dyDescent="0.2">
      <c r="A4" s="57" t="s">
        <v>30</v>
      </c>
      <c r="B4" s="57">
        <v>4.5377908118511145</v>
      </c>
      <c r="C4" s="57" t="s">
        <v>28</v>
      </c>
      <c r="D4" s="57">
        <v>5.7859647726820622</v>
      </c>
      <c r="E4" s="57" t="s">
        <v>28</v>
      </c>
    </row>
    <row r="5" spans="1:5" x14ac:dyDescent="0.2">
      <c r="A5" s="57"/>
      <c r="B5" s="57"/>
      <c r="C5" s="57"/>
      <c r="D5" s="57"/>
      <c r="E5" s="57"/>
    </row>
    <row r="6" spans="1:5" x14ac:dyDescent="0.2">
      <c r="A6" s="57"/>
      <c r="B6" s="57"/>
      <c r="C6" s="57"/>
      <c r="D6" s="57"/>
      <c r="E6" s="57"/>
    </row>
    <row r="7" spans="1:5" x14ac:dyDescent="0.2">
      <c r="A7" s="57"/>
      <c r="B7" s="57"/>
      <c r="C7" s="57"/>
      <c r="D7" s="57"/>
      <c r="E7" s="57"/>
    </row>
    <row r="8" spans="1:5" x14ac:dyDescent="0.2">
      <c r="A8" s="57"/>
      <c r="B8" s="57"/>
      <c r="C8" s="57"/>
      <c r="D8" s="57"/>
      <c r="E8" s="57"/>
    </row>
    <row r="9" spans="1:5" x14ac:dyDescent="0.2">
      <c r="A9" s="57"/>
      <c r="B9" s="57"/>
      <c r="C9" s="57"/>
      <c r="D9" s="57"/>
      <c r="E9" s="57"/>
    </row>
    <row r="10" spans="1:5" x14ac:dyDescent="0.2">
      <c r="A10" s="57"/>
      <c r="B10" s="57"/>
      <c r="C10" s="57"/>
      <c r="D10" s="57"/>
      <c r="E10" s="57"/>
    </row>
    <row r="11" spans="1:5" x14ac:dyDescent="0.2">
      <c r="A11" s="57"/>
      <c r="B11" s="57"/>
      <c r="C11" s="57"/>
      <c r="D11" s="57"/>
      <c r="E11" s="57"/>
    </row>
    <row r="12" spans="1:5" x14ac:dyDescent="0.2">
      <c r="A12" s="57"/>
      <c r="B12" s="57"/>
      <c r="C12" s="57"/>
      <c r="D12" s="57"/>
      <c r="E12" s="57"/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74"/>
  <sheetViews>
    <sheetView workbookViewId="0">
      <selection activeCell="M14" sqref="M14"/>
    </sheetView>
  </sheetViews>
  <sheetFormatPr defaultRowHeight="12.75" x14ac:dyDescent="0.2"/>
  <cols>
    <col min="1" max="1" width="21.140625" style="3" bestFit="1" customWidth="1"/>
    <col min="2" max="2" width="8.5703125" style="3" bestFit="1" customWidth="1"/>
    <col min="3" max="4" width="10.7109375" style="3" customWidth="1"/>
    <col min="5" max="5" width="11.140625" style="3" bestFit="1" customWidth="1"/>
    <col min="6" max="6" width="8.5703125" style="3" bestFit="1" customWidth="1"/>
    <col min="7" max="8" width="10.7109375" style="3" customWidth="1"/>
    <col min="9" max="9" width="11.140625" style="3" bestFit="1" customWidth="1"/>
    <col min="10" max="11" width="9.140625" style="1"/>
    <col min="12" max="12" width="1.42578125" style="1" bestFit="1" customWidth="1"/>
    <col min="13" max="16384" width="9.140625" style="1"/>
  </cols>
  <sheetData>
    <row r="1" spans="1:9" x14ac:dyDescent="0.2">
      <c r="A1" s="4" t="s">
        <v>11</v>
      </c>
      <c r="B1" s="60" t="s">
        <v>31</v>
      </c>
      <c r="C1" s="60"/>
      <c r="D1" s="60"/>
      <c r="E1" s="60"/>
      <c r="F1" s="60" t="str">
        <f>B1</f>
        <v>1-Year North Current + SW Wind/Waves</v>
      </c>
      <c r="G1" s="60"/>
      <c r="H1" s="60"/>
      <c r="I1" s="60"/>
    </row>
    <row r="2" spans="1:9" x14ac:dyDescent="0.2">
      <c r="A2" s="5" t="s">
        <v>24</v>
      </c>
      <c r="B2" s="60" t="s">
        <v>23</v>
      </c>
      <c r="C2" s="60"/>
      <c r="D2" s="60"/>
      <c r="E2" s="60"/>
      <c r="F2" s="60" t="s">
        <v>25</v>
      </c>
      <c r="G2" s="60"/>
      <c r="H2" s="60"/>
      <c r="I2" s="60"/>
    </row>
    <row r="3" spans="1:9" x14ac:dyDescent="0.2">
      <c r="A3" s="6" t="s">
        <v>14</v>
      </c>
      <c r="B3" s="64" t="s">
        <v>15</v>
      </c>
      <c r="C3" s="64"/>
      <c r="D3" s="64" t="s">
        <v>9</v>
      </c>
      <c r="E3" s="64"/>
      <c r="F3" s="64" t="s">
        <v>15</v>
      </c>
      <c r="G3" s="64"/>
      <c r="H3" s="64" t="s">
        <v>9</v>
      </c>
      <c r="I3" s="64"/>
    </row>
    <row r="4" spans="1:9" x14ac:dyDescent="0.2">
      <c r="A4" s="6" t="s">
        <v>16</v>
      </c>
      <c r="B4" s="64" t="e">
        <f>#REF!</f>
        <v>#REF!</v>
      </c>
      <c r="C4" s="64"/>
      <c r="D4" s="64" t="e">
        <f>#REF!</f>
        <v>#REF!</v>
      </c>
      <c r="E4" s="64"/>
      <c r="F4" s="64" t="e">
        <f>#REF!</f>
        <v>#REF!</v>
      </c>
      <c r="G4" s="64"/>
      <c r="H4" s="64" t="e">
        <f>#REF!</f>
        <v>#REF!</v>
      </c>
      <c r="I4" s="64"/>
    </row>
    <row r="5" spans="1:9" x14ac:dyDescent="0.2">
      <c r="A5" s="6" t="s">
        <v>17</v>
      </c>
      <c r="B5" s="64" t="e">
        <f>#REF!</f>
        <v>#REF!</v>
      </c>
      <c r="C5" s="64"/>
      <c r="D5" s="64" t="e">
        <f>#REF!</f>
        <v>#REF!</v>
      </c>
      <c r="E5" s="64"/>
      <c r="F5" s="64" t="e">
        <f>#REF!</f>
        <v>#REF!</v>
      </c>
      <c r="G5" s="64"/>
      <c r="H5" s="64" t="e">
        <f>#REF!</f>
        <v>#REF!</v>
      </c>
      <c r="I5" s="64"/>
    </row>
    <row r="6" spans="1:9" x14ac:dyDescent="0.2">
      <c r="A6" s="6" t="s">
        <v>18</v>
      </c>
      <c r="B6" s="64" t="e">
        <f>MIN(B4,D4)</f>
        <v>#REF!</v>
      </c>
      <c r="C6" s="64"/>
      <c r="D6" s="64"/>
      <c r="E6" s="64"/>
      <c r="F6" s="64" t="e">
        <f>MIN(F4,H4)</f>
        <v>#REF!</v>
      </c>
      <c r="G6" s="64"/>
      <c r="H6" s="64"/>
      <c r="I6" s="64"/>
    </row>
    <row r="7" spans="1:9" x14ac:dyDescent="0.2">
      <c r="A7" s="6" t="s">
        <v>19</v>
      </c>
      <c r="B7" s="65" t="e">
        <f>#REF!</f>
        <v>#REF!</v>
      </c>
      <c r="C7" s="65"/>
      <c r="D7" s="65"/>
      <c r="E7" s="65"/>
      <c r="F7" s="65" t="e">
        <f>#REF!</f>
        <v>#REF!</v>
      </c>
      <c r="G7" s="65"/>
      <c r="H7" s="65"/>
      <c r="I7" s="65"/>
    </row>
    <row r="8" spans="1:9" x14ac:dyDescent="0.2">
      <c r="A8" s="6" t="s">
        <v>10</v>
      </c>
      <c r="B8" s="7" t="s">
        <v>20</v>
      </c>
      <c r="C8" s="64" t="s">
        <v>21</v>
      </c>
      <c r="D8" s="64"/>
      <c r="E8" s="7" t="s">
        <v>22</v>
      </c>
      <c r="F8" s="7" t="s">
        <v>20</v>
      </c>
      <c r="G8" s="64" t="s">
        <v>21</v>
      </c>
      <c r="H8" s="64"/>
      <c r="I8" s="7" t="s">
        <v>22</v>
      </c>
    </row>
    <row r="9" spans="1:9" x14ac:dyDescent="0.2">
      <c r="A9" s="6" t="s">
        <v>12</v>
      </c>
      <c r="B9" s="7" t="e">
        <f>#REF!</f>
        <v>#REF!</v>
      </c>
      <c r="C9" s="64" t="e">
        <f>#REF!</f>
        <v>#REF!</v>
      </c>
      <c r="D9" s="64"/>
      <c r="E9" s="7" t="e">
        <f>#REF!</f>
        <v>#REF!</v>
      </c>
      <c r="F9" s="7" t="e">
        <f>#REF!</f>
        <v>#REF!</v>
      </c>
      <c r="G9" s="64" t="e">
        <f>#REF!</f>
        <v>#REF!</v>
      </c>
      <c r="H9" s="64"/>
      <c r="I9" s="7" t="e">
        <f>#REF!</f>
        <v>#REF!</v>
      </c>
    </row>
    <row r="10" spans="1:9" x14ac:dyDescent="0.2">
      <c r="A10" s="6" t="s">
        <v>13</v>
      </c>
      <c r="B10" s="8" t="e">
        <f>#REF!</f>
        <v>#REF!</v>
      </c>
      <c r="C10" s="66" t="e">
        <f>#REF!</f>
        <v>#REF!</v>
      </c>
      <c r="D10" s="66"/>
      <c r="E10" s="9" t="e">
        <f>#REF!</f>
        <v>#REF!</v>
      </c>
      <c r="F10" s="8" t="e">
        <f>#REF!</f>
        <v>#REF!</v>
      </c>
      <c r="G10" s="66" t="e">
        <f>#REF!</f>
        <v>#REF!</v>
      </c>
      <c r="H10" s="66"/>
      <c r="I10" s="9" t="e">
        <f>#REF!</f>
        <v>#REF!</v>
      </c>
    </row>
    <row r="11" spans="1:9" x14ac:dyDescent="0.2">
      <c r="A11" s="4" t="s">
        <v>11</v>
      </c>
      <c r="B11" s="61" t="s">
        <v>32</v>
      </c>
      <c r="C11" s="62"/>
      <c r="D11" s="62"/>
      <c r="E11" s="63"/>
      <c r="F11" s="61" t="str">
        <f>B11</f>
        <v>1-Year W Current + E Wind/Waves</v>
      </c>
      <c r="G11" s="62"/>
      <c r="H11" s="62"/>
      <c r="I11" s="63"/>
    </row>
    <row r="12" spans="1:9" x14ac:dyDescent="0.2">
      <c r="A12" s="5" t="s">
        <v>24</v>
      </c>
      <c r="B12" s="60" t="s">
        <v>23</v>
      </c>
      <c r="C12" s="60"/>
      <c r="D12" s="60"/>
      <c r="E12" s="60"/>
      <c r="F12" s="60" t="s">
        <v>25</v>
      </c>
      <c r="G12" s="60"/>
      <c r="H12" s="60"/>
      <c r="I12" s="60"/>
    </row>
    <row r="13" spans="1:9" x14ac:dyDescent="0.2">
      <c r="A13" s="6" t="s">
        <v>14</v>
      </c>
      <c r="B13" s="64" t="s">
        <v>15</v>
      </c>
      <c r="C13" s="64"/>
      <c r="D13" s="64" t="s">
        <v>9</v>
      </c>
      <c r="E13" s="64"/>
      <c r="F13" s="64" t="s">
        <v>15</v>
      </c>
      <c r="G13" s="64"/>
      <c r="H13" s="64" t="s">
        <v>9</v>
      </c>
      <c r="I13" s="64"/>
    </row>
    <row r="14" spans="1:9" x14ac:dyDescent="0.2">
      <c r="A14" s="6" t="s">
        <v>16</v>
      </c>
      <c r="B14" s="64" t="e">
        <f>#REF!</f>
        <v>#REF!</v>
      </c>
      <c r="C14" s="64"/>
      <c r="D14" s="64" t="e">
        <f>#REF!</f>
        <v>#REF!</v>
      </c>
      <c r="E14" s="64"/>
      <c r="F14" s="64" t="e">
        <f>#REF!</f>
        <v>#REF!</v>
      </c>
      <c r="G14" s="64"/>
      <c r="H14" s="64" t="e">
        <f>#REF!</f>
        <v>#REF!</v>
      </c>
      <c r="I14" s="64"/>
    </row>
    <row r="15" spans="1:9" x14ac:dyDescent="0.2">
      <c r="A15" s="6" t="s">
        <v>17</v>
      </c>
      <c r="B15" s="64" t="e">
        <f>#REF!</f>
        <v>#REF!</v>
      </c>
      <c r="C15" s="64"/>
      <c r="D15" s="64" t="e">
        <f>#REF!</f>
        <v>#REF!</v>
      </c>
      <c r="E15" s="64"/>
      <c r="F15" s="64" t="e">
        <f>#REF!</f>
        <v>#REF!</v>
      </c>
      <c r="G15" s="64"/>
      <c r="H15" s="64" t="e">
        <f>#REF!</f>
        <v>#REF!</v>
      </c>
      <c r="I15" s="64"/>
    </row>
    <row r="16" spans="1:9" x14ac:dyDescent="0.2">
      <c r="A16" s="6" t="s">
        <v>18</v>
      </c>
      <c r="B16" s="64" t="e">
        <f>MIN(B14,D14)</f>
        <v>#REF!</v>
      </c>
      <c r="C16" s="64"/>
      <c r="D16" s="64"/>
      <c r="E16" s="64"/>
      <c r="F16" s="64" t="e">
        <f>MIN(F14,H14)</f>
        <v>#REF!</v>
      </c>
      <c r="G16" s="64"/>
      <c r="H16" s="64"/>
      <c r="I16" s="64"/>
    </row>
    <row r="17" spans="1:18" x14ac:dyDescent="0.2">
      <c r="A17" s="6" t="s">
        <v>19</v>
      </c>
      <c r="B17" s="65" t="e">
        <f>#REF!</f>
        <v>#REF!</v>
      </c>
      <c r="C17" s="65"/>
      <c r="D17" s="65"/>
      <c r="E17" s="65"/>
      <c r="F17" s="65" t="e">
        <f>#REF!</f>
        <v>#REF!</v>
      </c>
      <c r="G17" s="65"/>
      <c r="H17" s="65"/>
      <c r="I17" s="65"/>
    </row>
    <row r="18" spans="1:18" x14ac:dyDescent="0.2">
      <c r="A18" s="6" t="s">
        <v>10</v>
      </c>
      <c r="B18" s="7" t="s">
        <v>20</v>
      </c>
      <c r="C18" s="64" t="s">
        <v>21</v>
      </c>
      <c r="D18" s="64"/>
      <c r="E18" s="7" t="s">
        <v>22</v>
      </c>
      <c r="F18" s="7" t="s">
        <v>20</v>
      </c>
      <c r="G18" s="64" t="s">
        <v>21</v>
      </c>
      <c r="H18" s="64"/>
      <c r="I18" s="7" t="s">
        <v>22</v>
      </c>
    </row>
    <row r="19" spans="1:18" x14ac:dyDescent="0.2">
      <c r="A19" s="6" t="s">
        <v>12</v>
      </c>
      <c r="B19" s="7" t="e">
        <f>#REF!</f>
        <v>#REF!</v>
      </c>
      <c r="C19" s="64" t="e">
        <f>#REF!</f>
        <v>#REF!</v>
      </c>
      <c r="D19" s="64"/>
      <c r="E19" s="7" t="e">
        <f>#REF!</f>
        <v>#REF!</v>
      </c>
      <c r="F19" s="7" t="e">
        <f>#REF!</f>
        <v>#REF!</v>
      </c>
      <c r="G19" s="64" t="e">
        <f>#REF!</f>
        <v>#REF!</v>
      </c>
      <c r="H19" s="64"/>
      <c r="I19" s="7" t="e">
        <f>#REF!</f>
        <v>#REF!</v>
      </c>
    </row>
    <row r="20" spans="1:18" x14ac:dyDescent="0.2">
      <c r="A20" s="6" t="s">
        <v>13</v>
      </c>
      <c r="B20" s="8" t="e">
        <f>#REF!</f>
        <v>#REF!</v>
      </c>
      <c r="C20" s="65" t="e">
        <f>#REF!</f>
        <v>#REF!</v>
      </c>
      <c r="D20" s="65"/>
      <c r="E20" s="9" t="e">
        <f>#REF!</f>
        <v>#REF!</v>
      </c>
      <c r="F20" s="8" t="e">
        <f>#REF!</f>
        <v>#REF!</v>
      </c>
      <c r="G20" s="66" t="e">
        <f>#REF!</f>
        <v>#REF!</v>
      </c>
      <c r="H20" s="66"/>
      <c r="I20" s="9" t="e">
        <f>#REF!</f>
        <v>#REF!</v>
      </c>
    </row>
    <row r="21" spans="1:18" x14ac:dyDescent="0.2">
      <c r="A21" s="4" t="s">
        <v>11</v>
      </c>
      <c r="B21" s="60" t="s">
        <v>33</v>
      </c>
      <c r="C21" s="60"/>
      <c r="D21" s="60"/>
      <c r="E21" s="60"/>
      <c r="F21" s="60" t="str">
        <f>B21</f>
        <v>1-Year SW Bottom Current + NE Wind/Waves</v>
      </c>
      <c r="G21" s="60"/>
      <c r="H21" s="60"/>
      <c r="I21" s="60"/>
    </row>
    <row r="22" spans="1:18" x14ac:dyDescent="0.2">
      <c r="A22" s="5" t="s">
        <v>24</v>
      </c>
      <c r="B22" s="60" t="s">
        <v>23</v>
      </c>
      <c r="C22" s="60"/>
      <c r="D22" s="60"/>
      <c r="E22" s="60"/>
      <c r="F22" s="60" t="s">
        <v>25</v>
      </c>
      <c r="G22" s="60"/>
      <c r="H22" s="60"/>
      <c r="I22" s="60"/>
    </row>
    <row r="23" spans="1:18" x14ac:dyDescent="0.2">
      <c r="A23" s="6" t="s">
        <v>14</v>
      </c>
      <c r="B23" s="64" t="s">
        <v>15</v>
      </c>
      <c r="C23" s="64"/>
      <c r="D23" s="64" t="s">
        <v>9</v>
      </c>
      <c r="E23" s="64"/>
      <c r="F23" s="64" t="s">
        <v>15</v>
      </c>
      <c r="G23" s="64"/>
      <c r="H23" s="64" t="s">
        <v>9</v>
      </c>
      <c r="I23" s="64"/>
      <c r="L23" s="1" t="s">
        <v>27</v>
      </c>
    </row>
    <row r="24" spans="1:18" x14ac:dyDescent="0.2">
      <c r="A24" s="6" t="s">
        <v>16</v>
      </c>
      <c r="B24" s="64" t="e">
        <f>#REF!</f>
        <v>#REF!</v>
      </c>
      <c r="C24" s="64"/>
      <c r="D24" s="64" t="e">
        <f>#REF!</f>
        <v>#REF!</v>
      </c>
      <c r="E24" s="64"/>
      <c r="F24" s="64" t="e">
        <f>#REF!</f>
        <v>#REF!</v>
      </c>
      <c r="G24" s="64"/>
      <c r="H24" s="64" t="e">
        <f>#REF!</f>
        <v>#REF!</v>
      </c>
      <c r="I24" s="64"/>
    </row>
    <row r="25" spans="1:18" x14ac:dyDescent="0.2">
      <c r="A25" s="6" t="s">
        <v>17</v>
      </c>
      <c r="B25" s="64" t="e">
        <f>#REF!</f>
        <v>#REF!</v>
      </c>
      <c r="C25" s="64"/>
      <c r="D25" s="64" t="e">
        <f>#REF!</f>
        <v>#REF!</v>
      </c>
      <c r="E25" s="64"/>
      <c r="F25" s="64" t="e">
        <f>#REF!</f>
        <v>#REF!</v>
      </c>
      <c r="G25" s="64"/>
      <c r="H25" s="64" t="e">
        <f>#REF!</f>
        <v>#REF!</v>
      </c>
      <c r="I25" s="64"/>
    </row>
    <row r="26" spans="1:18" x14ac:dyDescent="0.2">
      <c r="A26" s="6" t="s">
        <v>18</v>
      </c>
      <c r="B26" s="64" t="e">
        <f>MIN(B24,D24)</f>
        <v>#REF!</v>
      </c>
      <c r="C26" s="64"/>
      <c r="D26" s="64"/>
      <c r="E26" s="64"/>
      <c r="F26" s="64" t="e">
        <f>MIN(F24,H24)</f>
        <v>#REF!</v>
      </c>
      <c r="G26" s="64"/>
      <c r="H26" s="64"/>
      <c r="I26" s="64"/>
    </row>
    <row r="27" spans="1:18" x14ac:dyDescent="0.2">
      <c r="A27" s="6" t="s">
        <v>19</v>
      </c>
      <c r="B27" s="65" t="e">
        <f>#REF!</f>
        <v>#REF!</v>
      </c>
      <c r="C27" s="65"/>
      <c r="D27" s="65"/>
      <c r="E27" s="65"/>
      <c r="F27" s="65" t="e">
        <f>#REF!</f>
        <v>#REF!</v>
      </c>
      <c r="G27" s="65"/>
      <c r="H27" s="65"/>
      <c r="I27" s="65"/>
    </row>
    <row r="28" spans="1:18" x14ac:dyDescent="0.2">
      <c r="A28" s="6" t="s">
        <v>10</v>
      </c>
      <c r="B28" s="7" t="s">
        <v>20</v>
      </c>
      <c r="C28" s="64" t="s">
        <v>21</v>
      </c>
      <c r="D28" s="64"/>
      <c r="E28" s="7" t="s">
        <v>22</v>
      </c>
      <c r="F28" s="7" t="s">
        <v>20</v>
      </c>
      <c r="G28" s="64" t="s">
        <v>21</v>
      </c>
      <c r="H28" s="64"/>
      <c r="I28" s="7" t="s">
        <v>22</v>
      </c>
    </row>
    <row r="29" spans="1:18" x14ac:dyDescent="0.2">
      <c r="A29" s="6" t="s">
        <v>12</v>
      </c>
      <c r="B29" s="7" t="e">
        <f>#REF!</f>
        <v>#REF!</v>
      </c>
      <c r="C29" s="64" t="e">
        <f>#REF!</f>
        <v>#REF!</v>
      </c>
      <c r="D29" s="64"/>
      <c r="E29" s="7" t="e">
        <f>#REF!</f>
        <v>#REF!</v>
      </c>
      <c r="F29" s="7" t="e">
        <f>#REF!</f>
        <v>#REF!</v>
      </c>
      <c r="G29" s="64" t="e">
        <f>#REF!</f>
        <v>#REF!</v>
      </c>
      <c r="H29" s="64"/>
      <c r="I29" s="7" t="e">
        <f>#REF!</f>
        <v>#REF!</v>
      </c>
    </row>
    <row r="30" spans="1:18" x14ac:dyDescent="0.2">
      <c r="A30" s="6" t="s">
        <v>13</v>
      </c>
      <c r="B30" s="8" t="e">
        <f>#REF!</f>
        <v>#REF!</v>
      </c>
      <c r="C30" s="65" t="e">
        <f>#REF!</f>
        <v>#REF!</v>
      </c>
      <c r="D30" s="65"/>
      <c r="E30" s="9" t="e">
        <f>#REF!</f>
        <v>#REF!</v>
      </c>
      <c r="F30" s="8" t="e">
        <f>#REF!</f>
        <v>#REF!</v>
      </c>
      <c r="G30" s="65" t="e">
        <f>#REF!</f>
        <v>#REF!</v>
      </c>
      <c r="H30" s="65"/>
      <c r="I30" s="9" t="e">
        <f>#REF!</f>
        <v>#REF!</v>
      </c>
    </row>
    <row r="31" spans="1:18" x14ac:dyDescent="0.2">
      <c r="A31" s="4"/>
      <c r="B31" s="61"/>
      <c r="C31" s="62"/>
      <c r="D31" s="62"/>
      <c r="E31" s="63"/>
      <c r="F31" s="61"/>
      <c r="G31" s="62"/>
      <c r="H31" s="62"/>
      <c r="I31" s="63"/>
    </row>
    <row r="32" spans="1:18" x14ac:dyDescent="0.2">
      <c r="A32" s="5"/>
      <c r="B32" s="60"/>
      <c r="C32" s="60"/>
      <c r="D32" s="60"/>
      <c r="E32" s="60"/>
      <c r="F32" s="60"/>
      <c r="G32" s="60"/>
      <c r="H32" s="60"/>
      <c r="I32" s="60"/>
      <c r="K32" s="2"/>
      <c r="L32" s="2"/>
      <c r="M32" s="2"/>
      <c r="N32" s="2"/>
      <c r="O32" s="2"/>
      <c r="P32" s="2"/>
      <c r="Q32" s="2"/>
      <c r="R32" s="2"/>
    </row>
    <row r="33" spans="1:18" x14ac:dyDescent="0.2">
      <c r="A33" s="6"/>
      <c r="B33" s="64"/>
      <c r="C33" s="64"/>
      <c r="D33" s="64"/>
      <c r="E33" s="64"/>
      <c r="F33" s="64"/>
      <c r="G33" s="64"/>
      <c r="H33" s="64"/>
      <c r="I33" s="64"/>
      <c r="K33" s="10"/>
      <c r="L33" s="59"/>
      <c r="M33" s="59"/>
      <c r="N33" s="59"/>
      <c r="O33" s="59"/>
      <c r="P33" s="59"/>
      <c r="Q33" s="59"/>
      <c r="R33" s="59"/>
    </row>
    <row r="34" spans="1:18" x14ac:dyDescent="0.2">
      <c r="A34" s="6"/>
      <c r="B34" s="64"/>
      <c r="C34" s="64"/>
      <c r="D34" s="64"/>
      <c r="E34" s="64"/>
      <c r="F34" s="64"/>
      <c r="G34" s="64"/>
      <c r="H34" s="64"/>
      <c r="I34" s="64"/>
      <c r="K34" s="2"/>
      <c r="L34" s="2"/>
      <c r="M34" s="2"/>
      <c r="N34" s="2"/>
      <c r="O34" s="2"/>
      <c r="P34" s="2"/>
      <c r="Q34" s="2"/>
      <c r="R34" s="2"/>
    </row>
    <row r="35" spans="1:18" x14ac:dyDescent="0.2">
      <c r="A35" s="6"/>
      <c r="B35" s="64"/>
      <c r="C35" s="64"/>
      <c r="D35" s="64"/>
      <c r="E35" s="64"/>
      <c r="F35" s="64"/>
      <c r="G35" s="64"/>
      <c r="H35" s="64"/>
      <c r="I35" s="64"/>
      <c r="K35" s="2"/>
      <c r="L35" s="2"/>
      <c r="M35" s="2"/>
      <c r="N35" s="2"/>
      <c r="O35" s="2"/>
      <c r="P35" s="2"/>
      <c r="Q35" s="2"/>
      <c r="R35" s="2"/>
    </row>
    <row r="36" spans="1:18" x14ac:dyDescent="0.2">
      <c r="A36" s="6"/>
      <c r="B36" s="64"/>
      <c r="C36" s="64"/>
      <c r="D36" s="64"/>
      <c r="E36" s="64"/>
      <c r="F36" s="64"/>
      <c r="G36" s="64"/>
      <c r="H36" s="64"/>
      <c r="I36" s="64"/>
      <c r="K36" s="2"/>
      <c r="L36" s="2"/>
      <c r="M36" s="2"/>
      <c r="N36" s="2"/>
      <c r="O36" s="2"/>
      <c r="P36" s="2"/>
      <c r="Q36" s="2"/>
      <c r="R36" s="2"/>
    </row>
    <row r="37" spans="1:18" x14ac:dyDescent="0.2">
      <c r="A37" s="6"/>
      <c r="B37" s="65"/>
      <c r="C37" s="65"/>
      <c r="D37" s="65"/>
      <c r="E37" s="65"/>
      <c r="F37" s="65"/>
      <c r="G37" s="65"/>
      <c r="H37" s="65"/>
      <c r="I37" s="65"/>
      <c r="K37" s="11"/>
      <c r="L37" s="2"/>
      <c r="M37" s="2"/>
      <c r="N37" s="2"/>
      <c r="O37" s="2"/>
      <c r="P37" s="2"/>
      <c r="Q37" s="2"/>
      <c r="R37" s="2"/>
    </row>
    <row r="38" spans="1:18" x14ac:dyDescent="0.2">
      <c r="A38" s="6"/>
      <c r="B38" s="7"/>
      <c r="C38" s="64"/>
      <c r="D38" s="64"/>
      <c r="E38" s="7"/>
      <c r="F38" s="7"/>
      <c r="G38" s="64"/>
      <c r="H38" s="64"/>
      <c r="I38" s="7"/>
      <c r="K38" s="11"/>
      <c r="L38" s="2"/>
      <c r="M38" s="2"/>
      <c r="N38" s="2"/>
      <c r="O38" s="2"/>
      <c r="P38" s="2"/>
      <c r="Q38" s="2"/>
      <c r="R38" s="2"/>
    </row>
    <row r="39" spans="1:18" x14ac:dyDescent="0.2">
      <c r="A39" s="6"/>
      <c r="B39" s="7"/>
      <c r="C39" s="64"/>
      <c r="D39" s="64"/>
      <c r="E39" s="7"/>
      <c r="F39" s="7"/>
      <c r="G39" s="64"/>
      <c r="H39" s="64"/>
      <c r="I39" s="7"/>
      <c r="K39" s="2"/>
      <c r="L39" s="2"/>
      <c r="M39" s="2"/>
      <c r="N39" s="2"/>
      <c r="O39" s="2"/>
      <c r="P39" s="2"/>
      <c r="Q39" s="2"/>
      <c r="R39" s="2"/>
    </row>
    <row r="40" spans="1:18" x14ac:dyDescent="0.2">
      <c r="A40" s="6"/>
      <c r="B40" s="8"/>
      <c r="C40" s="65"/>
      <c r="D40" s="65"/>
      <c r="E40" s="8"/>
      <c r="F40" s="8"/>
      <c r="G40" s="65"/>
      <c r="H40" s="65"/>
      <c r="I40" s="8"/>
      <c r="K40" s="2"/>
      <c r="L40" s="2"/>
      <c r="M40" s="2"/>
      <c r="N40" s="2"/>
      <c r="O40" s="2"/>
      <c r="P40" s="2"/>
      <c r="Q40" s="2"/>
      <c r="R40" s="2"/>
    </row>
    <row r="41" spans="1:18" x14ac:dyDescent="0.2">
      <c r="A41" s="4"/>
      <c r="B41" s="60"/>
      <c r="C41" s="60"/>
      <c r="D41" s="60"/>
      <c r="E41" s="60"/>
      <c r="F41" s="60"/>
      <c r="G41" s="60"/>
      <c r="H41" s="60"/>
      <c r="I41" s="60"/>
    </row>
    <row r="42" spans="1:18" x14ac:dyDescent="0.2">
      <c r="A42" s="5"/>
      <c r="B42" s="60"/>
      <c r="C42" s="60"/>
      <c r="D42" s="60"/>
      <c r="E42" s="60"/>
      <c r="F42" s="60"/>
      <c r="G42" s="60"/>
      <c r="H42" s="60"/>
      <c r="I42" s="60"/>
      <c r="K42" s="2"/>
      <c r="L42" s="2"/>
      <c r="M42" s="2"/>
      <c r="N42" s="2"/>
      <c r="O42" s="2"/>
      <c r="P42" s="2"/>
      <c r="Q42" s="2"/>
      <c r="R42" s="2"/>
    </row>
    <row r="43" spans="1:18" x14ac:dyDescent="0.2">
      <c r="A43" s="6"/>
      <c r="B43" s="64"/>
      <c r="C43" s="64"/>
      <c r="D43" s="64"/>
      <c r="E43" s="64"/>
      <c r="F43" s="64"/>
      <c r="G43" s="64"/>
      <c r="H43" s="64"/>
      <c r="I43" s="64"/>
      <c r="K43" s="10"/>
      <c r="L43" s="59"/>
      <c r="M43" s="59"/>
      <c r="N43" s="59"/>
      <c r="O43" s="59"/>
      <c r="P43" s="59"/>
      <c r="Q43" s="59"/>
      <c r="R43" s="59"/>
    </row>
    <row r="44" spans="1:18" x14ac:dyDescent="0.2">
      <c r="A44" s="6"/>
      <c r="B44" s="64"/>
      <c r="C44" s="64"/>
      <c r="D44" s="64"/>
      <c r="E44" s="64"/>
      <c r="F44" s="64"/>
      <c r="G44" s="64"/>
      <c r="H44" s="64"/>
      <c r="I44" s="64"/>
      <c r="K44" s="2"/>
      <c r="L44" s="2"/>
      <c r="M44" s="2"/>
      <c r="N44" s="2"/>
      <c r="O44" s="2"/>
      <c r="P44" s="2"/>
      <c r="Q44" s="2"/>
      <c r="R44" s="2"/>
    </row>
    <row r="45" spans="1:18" x14ac:dyDescent="0.2">
      <c r="A45" s="6"/>
      <c r="B45" s="64"/>
      <c r="C45" s="64"/>
      <c r="D45" s="64"/>
      <c r="E45" s="64"/>
      <c r="F45" s="64"/>
      <c r="G45" s="64"/>
      <c r="H45" s="64"/>
      <c r="I45" s="64"/>
      <c r="K45" s="2"/>
      <c r="L45" s="2"/>
      <c r="M45" s="2"/>
      <c r="N45" s="2"/>
      <c r="O45" s="2"/>
      <c r="P45" s="2"/>
      <c r="Q45" s="2"/>
      <c r="R45" s="2"/>
    </row>
    <row r="46" spans="1:18" x14ac:dyDescent="0.2">
      <c r="A46" s="6"/>
      <c r="B46" s="64"/>
      <c r="C46" s="64"/>
      <c r="D46" s="64"/>
      <c r="E46" s="64"/>
      <c r="F46" s="64"/>
      <c r="G46" s="64"/>
      <c r="H46" s="64"/>
      <c r="I46" s="64"/>
      <c r="K46" s="2"/>
      <c r="L46" s="2"/>
      <c r="M46" s="2"/>
      <c r="N46" s="2"/>
      <c r="O46" s="2"/>
      <c r="P46" s="2"/>
      <c r="Q46" s="2"/>
      <c r="R46" s="2"/>
    </row>
    <row r="47" spans="1:18" x14ac:dyDescent="0.2">
      <c r="A47" s="6"/>
      <c r="B47" s="65"/>
      <c r="C47" s="65"/>
      <c r="D47" s="65"/>
      <c r="E47" s="65"/>
      <c r="F47" s="65"/>
      <c r="G47" s="65"/>
      <c r="H47" s="65"/>
      <c r="I47" s="65"/>
      <c r="K47" s="11"/>
      <c r="L47" s="2"/>
      <c r="M47" s="2"/>
      <c r="N47" s="2"/>
      <c r="O47" s="2"/>
      <c r="P47" s="2"/>
      <c r="Q47" s="2"/>
      <c r="R47" s="2"/>
    </row>
    <row r="48" spans="1:18" x14ac:dyDescent="0.2">
      <c r="A48" s="6"/>
      <c r="B48" s="7"/>
      <c r="C48" s="64"/>
      <c r="D48" s="64"/>
      <c r="E48" s="7"/>
      <c r="F48" s="7"/>
      <c r="G48" s="64"/>
      <c r="H48" s="64"/>
      <c r="I48" s="7"/>
      <c r="K48" s="11"/>
      <c r="L48" s="2"/>
      <c r="M48" s="2"/>
      <c r="N48" s="2"/>
      <c r="O48" s="2"/>
      <c r="P48" s="2"/>
      <c r="Q48" s="2"/>
      <c r="R48" s="2"/>
    </row>
    <row r="49" spans="1:18" x14ac:dyDescent="0.2">
      <c r="A49" s="6"/>
      <c r="B49" s="7"/>
      <c r="C49" s="64"/>
      <c r="D49" s="64"/>
      <c r="E49" s="7"/>
      <c r="F49" s="7"/>
      <c r="G49" s="64"/>
      <c r="H49" s="64"/>
      <c r="I49" s="7"/>
      <c r="K49" s="2"/>
      <c r="L49" s="2"/>
      <c r="M49" s="2"/>
      <c r="N49" s="2"/>
      <c r="O49" s="2"/>
      <c r="P49" s="2"/>
      <c r="Q49" s="2"/>
      <c r="R49" s="2"/>
    </row>
    <row r="50" spans="1:18" x14ac:dyDescent="0.2">
      <c r="A50" s="6"/>
      <c r="B50" s="8"/>
      <c r="C50" s="65"/>
      <c r="D50" s="65"/>
      <c r="E50" s="8"/>
      <c r="F50" s="8"/>
      <c r="G50" s="65"/>
      <c r="H50" s="65"/>
      <c r="I50" s="9"/>
      <c r="K50" s="2"/>
      <c r="L50" s="2"/>
      <c r="M50" s="2"/>
      <c r="N50" s="2"/>
      <c r="O50" s="2"/>
      <c r="P50" s="2"/>
      <c r="Q50" s="2"/>
      <c r="R50" s="2"/>
    </row>
    <row r="51" spans="1:18" x14ac:dyDescent="0.2">
      <c r="A51" s="4"/>
      <c r="B51" s="61"/>
      <c r="C51" s="62"/>
      <c r="D51" s="62"/>
      <c r="E51" s="63"/>
      <c r="F51" s="61"/>
      <c r="G51" s="62"/>
      <c r="H51" s="62"/>
      <c r="I51" s="63"/>
    </row>
    <row r="52" spans="1:18" x14ac:dyDescent="0.2">
      <c r="A52" s="5"/>
      <c r="B52" s="60"/>
      <c r="C52" s="60"/>
      <c r="D52" s="60"/>
      <c r="E52" s="60"/>
      <c r="F52" s="60"/>
      <c r="G52" s="60"/>
      <c r="H52" s="60"/>
      <c r="I52" s="60"/>
      <c r="K52" s="2"/>
      <c r="L52" s="2"/>
      <c r="M52" s="2"/>
      <c r="N52" s="2"/>
      <c r="O52" s="2"/>
      <c r="P52" s="2"/>
      <c r="Q52" s="2"/>
      <c r="R52" s="2"/>
    </row>
    <row r="53" spans="1:18" x14ac:dyDescent="0.2">
      <c r="A53" s="6"/>
      <c r="B53" s="64"/>
      <c r="C53" s="64"/>
      <c r="D53" s="64"/>
      <c r="E53" s="64"/>
      <c r="F53" s="64"/>
      <c r="G53" s="64"/>
      <c r="H53" s="64"/>
      <c r="I53" s="64"/>
      <c r="K53" s="10"/>
      <c r="L53" s="59"/>
      <c r="M53" s="59"/>
      <c r="N53" s="59"/>
      <c r="O53" s="59"/>
      <c r="P53" s="59"/>
      <c r="Q53" s="59"/>
      <c r="R53" s="59"/>
    </row>
    <row r="54" spans="1:18" x14ac:dyDescent="0.2">
      <c r="A54" s="6"/>
      <c r="B54" s="64"/>
      <c r="C54" s="64"/>
      <c r="D54" s="64"/>
      <c r="E54" s="64"/>
      <c r="F54" s="64"/>
      <c r="G54" s="64"/>
      <c r="H54" s="64"/>
      <c r="I54" s="64"/>
      <c r="K54" s="2"/>
      <c r="L54" s="2"/>
      <c r="M54" s="2"/>
      <c r="N54" s="2"/>
      <c r="O54" s="2"/>
      <c r="P54" s="2"/>
      <c r="Q54" s="2"/>
      <c r="R54" s="2"/>
    </row>
    <row r="55" spans="1:18" x14ac:dyDescent="0.2">
      <c r="A55" s="6"/>
      <c r="B55" s="64"/>
      <c r="C55" s="64"/>
      <c r="D55" s="64"/>
      <c r="E55" s="64"/>
      <c r="F55" s="64"/>
      <c r="G55" s="64"/>
      <c r="H55" s="64"/>
      <c r="I55" s="64"/>
      <c r="K55" s="2"/>
      <c r="L55" s="2"/>
      <c r="M55" s="2"/>
      <c r="N55" s="2"/>
      <c r="O55" s="2"/>
      <c r="P55" s="2"/>
      <c r="Q55" s="2"/>
      <c r="R55" s="2"/>
    </row>
    <row r="56" spans="1:18" x14ac:dyDescent="0.2">
      <c r="A56" s="6"/>
      <c r="B56" s="64"/>
      <c r="C56" s="64"/>
      <c r="D56" s="64"/>
      <c r="E56" s="64"/>
      <c r="F56" s="64"/>
      <c r="G56" s="64"/>
      <c r="H56" s="64"/>
      <c r="I56" s="64"/>
      <c r="K56" s="2"/>
      <c r="L56" s="2"/>
      <c r="M56" s="2"/>
      <c r="N56" s="2"/>
      <c r="O56" s="2"/>
      <c r="P56" s="2"/>
      <c r="Q56" s="2"/>
      <c r="R56" s="2"/>
    </row>
    <row r="57" spans="1:18" x14ac:dyDescent="0.2">
      <c r="A57" s="6"/>
      <c r="B57" s="65"/>
      <c r="C57" s="65"/>
      <c r="D57" s="65"/>
      <c r="E57" s="65"/>
      <c r="F57" s="65"/>
      <c r="G57" s="65"/>
      <c r="H57" s="65"/>
      <c r="I57" s="65"/>
      <c r="K57" s="11"/>
      <c r="L57" s="2"/>
      <c r="M57" s="2"/>
      <c r="N57" s="2"/>
      <c r="O57" s="2"/>
      <c r="P57" s="2"/>
      <c r="Q57" s="2"/>
      <c r="R57" s="2"/>
    </row>
    <row r="58" spans="1:18" x14ac:dyDescent="0.2">
      <c r="A58" s="6"/>
      <c r="B58" s="7"/>
      <c r="C58" s="64"/>
      <c r="D58" s="64"/>
      <c r="E58" s="7"/>
      <c r="F58" s="7"/>
      <c r="G58" s="64"/>
      <c r="H58" s="64"/>
      <c r="I58" s="7"/>
      <c r="K58" s="11"/>
      <c r="L58" s="2"/>
      <c r="M58" s="2"/>
      <c r="N58" s="2"/>
      <c r="O58" s="2"/>
      <c r="P58" s="2"/>
      <c r="Q58" s="2"/>
      <c r="R58" s="2"/>
    </row>
    <row r="59" spans="1:18" x14ac:dyDescent="0.2">
      <c r="A59" s="6"/>
      <c r="B59" s="7"/>
      <c r="C59" s="64"/>
      <c r="D59" s="64"/>
      <c r="E59" s="7"/>
      <c r="F59" s="7"/>
      <c r="G59" s="64"/>
      <c r="H59" s="64"/>
      <c r="I59" s="7"/>
      <c r="K59" s="2"/>
      <c r="L59" s="2"/>
      <c r="M59" s="2"/>
      <c r="N59" s="2"/>
      <c r="O59" s="2"/>
      <c r="P59" s="2"/>
      <c r="Q59" s="2"/>
      <c r="R59" s="2"/>
    </row>
    <row r="60" spans="1:18" x14ac:dyDescent="0.2">
      <c r="A60" s="6"/>
      <c r="B60" s="8"/>
      <c r="C60" s="65"/>
      <c r="D60" s="65"/>
      <c r="E60" s="8"/>
      <c r="F60" s="8"/>
      <c r="G60" s="65"/>
      <c r="H60" s="65"/>
      <c r="I60" s="8"/>
      <c r="K60" s="2"/>
      <c r="L60" s="2"/>
      <c r="M60" s="2"/>
      <c r="N60" s="2"/>
      <c r="O60" s="2"/>
      <c r="P60" s="2"/>
      <c r="Q60" s="2"/>
      <c r="R60" s="2"/>
    </row>
    <row r="61" spans="1:18" x14ac:dyDescent="0.2">
      <c r="K61" s="2"/>
      <c r="L61" s="2"/>
      <c r="M61" s="2"/>
      <c r="N61" s="2"/>
      <c r="O61" s="2"/>
      <c r="P61" s="2"/>
      <c r="Q61" s="2"/>
      <c r="R61" s="2"/>
    </row>
    <row r="65" spans="7:16" x14ac:dyDescent="0.2">
      <c r="G65" s="10"/>
      <c r="H65" s="59"/>
      <c r="I65" s="59"/>
      <c r="J65" s="59"/>
      <c r="K65" s="59"/>
      <c r="L65" s="59"/>
      <c r="M65" s="59"/>
      <c r="N65" s="59"/>
      <c r="O65" s="59"/>
      <c r="P65" s="2"/>
    </row>
    <row r="66" spans="7:16" x14ac:dyDescent="0.2">
      <c r="G66" s="2"/>
      <c r="H66" s="59"/>
      <c r="I66" s="59"/>
      <c r="J66" s="59"/>
      <c r="K66" s="59"/>
      <c r="L66" s="59"/>
      <c r="M66" s="59"/>
      <c r="N66" s="59"/>
      <c r="O66" s="59"/>
      <c r="P66" s="2"/>
    </row>
    <row r="67" spans="7:16" x14ac:dyDescent="0.2">
      <c r="G67" s="12"/>
      <c r="H67" s="58"/>
      <c r="I67" s="58"/>
      <c r="J67" s="58"/>
      <c r="K67" s="58"/>
      <c r="L67" s="58"/>
      <c r="M67" s="58"/>
      <c r="N67" s="58"/>
      <c r="O67" s="58"/>
      <c r="P67" s="2"/>
    </row>
    <row r="68" spans="7:16" x14ac:dyDescent="0.2">
      <c r="G68" s="12"/>
      <c r="H68" s="58"/>
      <c r="I68" s="58"/>
      <c r="J68" s="58"/>
      <c r="K68" s="58"/>
      <c r="L68" s="58"/>
      <c r="M68" s="58"/>
      <c r="N68" s="58"/>
      <c r="O68" s="58"/>
      <c r="P68" s="2"/>
    </row>
    <row r="69" spans="7:16" x14ac:dyDescent="0.2">
      <c r="G69" s="12"/>
      <c r="H69" s="58"/>
      <c r="I69" s="58"/>
      <c r="J69" s="58"/>
      <c r="K69" s="58"/>
      <c r="L69" s="58"/>
      <c r="M69" s="58"/>
      <c r="N69" s="58"/>
      <c r="O69" s="58"/>
      <c r="P69" s="2"/>
    </row>
    <row r="70" spans="7:16" x14ac:dyDescent="0.2">
      <c r="G70" s="12"/>
      <c r="H70" s="58"/>
      <c r="I70" s="58"/>
      <c r="J70" s="58"/>
      <c r="K70" s="58"/>
      <c r="L70" s="58"/>
      <c r="M70" s="58"/>
      <c r="N70" s="58"/>
      <c r="O70" s="58"/>
      <c r="P70" s="2"/>
    </row>
    <row r="71" spans="7:16" x14ac:dyDescent="0.2">
      <c r="G71" s="12"/>
      <c r="H71" s="58"/>
      <c r="I71" s="58"/>
      <c r="J71" s="58"/>
      <c r="K71" s="58"/>
      <c r="L71" s="58"/>
      <c r="M71" s="58"/>
      <c r="N71" s="58"/>
      <c r="O71" s="58"/>
      <c r="P71" s="2"/>
    </row>
    <row r="72" spans="7:16" x14ac:dyDescent="0.2">
      <c r="G72" s="12"/>
      <c r="H72" s="11"/>
      <c r="I72" s="58"/>
      <c r="J72" s="58"/>
      <c r="K72" s="11"/>
      <c r="L72" s="11"/>
      <c r="M72" s="58"/>
      <c r="N72" s="58"/>
      <c r="O72" s="11"/>
      <c r="P72" s="2"/>
    </row>
    <row r="73" spans="7:16" x14ac:dyDescent="0.2">
      <c r="G73" s="12"/>
      <c r="H73" s="11"/>
      <c r="I73" s="58"/>
      <c r="J73" s="58"/>
      <c r="K73" s="11"/>
      <c r="L73" s="11"/>
      <c r="M73" s="58"/>
      <c r="N73" s="58"/>
      <c r="O73" s="11"/>
      <c r="P73" s="2"/>
    </row>
    <row r="74" spans="7:16" x14ac:dyDescent="0.2">
      <c r="G74" s="12"/>
      <c r="H74" s="11"/>
      <c r="I74" s="58"/>
      <c r="J74" s="58"/>
      <c r="K74" s="11"/>
      <c r="L74" s="11"/>
      <c r="M74" s="58"/>
      <c r="N74" s="58"/>
      <c r="O74" s="11"/>
      <c r="P74" s="2"/>
    </row>
  </sheetData>
  <mergeCells count="184">
    <mergeCell ref="C59:D59"/>
    <mergeCell ref="G59:H59"/>
    <mergeCell ref="C60:D60"/>
    <mergeCell ref="G60:H60"/>
    <mergeCell ref="B56:E56"/>
    <mergeCell ref="F56:I56"/>
    <mergeCell ref="B57:E57"/>
    <mergeCell ref="F57:I57"/>
    <mergeCell ref="C58:D58"/>
    <mergeCell ref="G58:H58"/>
    <mergeCell ref="L53:R53"/>
    <mergeCell ref="B54:C54"/>
    <mergeCell ref="D54:E54"/>
    <mergeCell ref="F54:G54"/>
    <mergeCell ref="H54:I54"/>
    <mergeCell ref="B55:C55"/>
    <mergeCell ref="D55:E55"/>
    <mergeCell ref="F55:G55"/>
    <mergeCell ref="H55:I55"/>
    <mergeCell ref="C49:D49"/>
    <mergeCell ref="G49:H49"/>
    <mergeCell ref="C50:D50"/>
    <mergeCell ref="G50:H50"/>
    <mergeCell ref="B51:E51"/>
    <mergeCell ref="F51:I51"/>
    <mergeCell ref="B52:E52"/>
    <mergeCell ref="F52:I52"/>
    <mergeCell ref="B53:C53"/>
    <mergeCell ref="D53:E53"/>
    <mergeCell ref="F53:G53"/>
    <mergeCell ref="H53:I53"/>
    <mergeCell ref="B45:C45"/>
    <mergeCell ref="D45:E45"/>
    <mergeCell ref="F45:G45"/>
    <mergeCell ref="H45:I45"/>
    <mergeCell ref="B46:E46"/>
    <mergeCell ref="F46:I46"/>
    <mergeCell ref="B47:E47"/>
    <mergeCell ref="F47:I47"/>
    <mergeCell ref="C48:D48"/>
    <mergeCell ref="G48:H48"/>
    <mergeCell ref="B42:E42"/>
    <mergeCell ref="F42:I42"/>
    <mergeCell ref="B43:C43"/>
    <mergeCell ref="D43:E43"/>
    <mergeCell ref="F43:G43"/>
    <mergeCell ref="H43:I43"/>
    <mergeCell ref="L43:R43"/>
    <mergeCell ref="B44:C44"/>
    <mergeCell ref="D44:E44"/>
    <mergeCell ref="F44:G44"/>
    <mergeCell ref="H44:I44"/>
    <mergeCell ref="B3:C3"/>
    <mergeCell ref="D3:E3"/>
    <mergeCell ref="F3:G3"/>
    <mergeCell ref="H3:I3"/>
    <mergeCell ref="B4:C4"/>
    <mergeCell ref="D4:E4"/>
    <mergeCell ref="F4:G4"/>
    <mergeCell ref="H4:I4"/>
    <mergeCell ref="B41:E41"/>
    <mergeCell ref="F41:I41"/>
    <mergeCell ref="B7:E7"/>
    <mergeCell ref="F7:I7"/>
    <mergeCell ref="C8:D8"/>
    <mergeCell ref="G8:H8"/>
    <mergeCell ref="C9:D9"/>
    <mergeCell ref="G9:H9"/>
    <mergeCell ref="B5:C5"/>
    <mergeCell ref="D5:E5"/>
    <mergeCell ref="F5:G5"/>
    <mergeCell ref="H5:I5"/>
    <mergeCell ref="B6:E6"/>
    <mergeCell ref="F6:I6"/>
    <mergeCell ref="C10:D10"/>
    <mergeCell ref="G10:H10"/>
    <mergeCell ref="B12:E12"/>
    <mergeCell ref="F12:I12"/>
    <mergeCell ref="B13:C13"/>
    <mergeCell ref="D13:E13"/>
    <mergeCell ref="F13:G13"/>
    <mergeCell ref="H13:I13"/>
    <mergeCell ref="B11:E11"/>
    <mergeCell ref="F11:I11"/>
    <mergeCell ref="B16:E16"/>
    <mergeCell ref="F16:I16"/>
    <mergeCell ref="B17:E17"/>
    <mergeCell ref="F17:I17"/>
    <mergeCell ref="C18:D18"/>
    <mergeCell ref="G18:H18"/>
    <mergeCell ref="B14:C14"/>
    <mergeCell ref="D14:E14"/>
    <mergeCell ref="F14:G14"/>
    <mergeCell ref="H14:I14"/>
    <mergeCell ref="B15:C15"/>
    <mergeCell ref="D15:E15"/>
    <mergeCell ref="F15:G15"/>
    <mergeCell ref="H15:I15"/>
    <mergeCell ref="B23:C23"/>
    <mergeCell ref="D23:E23"/>
    <mergeCell ref="F23:G23"/>
    <mergeCell ref="H23:I23"/>
    <mergeCell ref="B24:C24"/>
    <mergeCell ref="D24:E24"/>
    <mergeCell ref="F24:G24"/>
    <mergeCell ref="H24:I24"/>
    <mergeCell ref="C19:D19"/>
    <mergeCell ref="G19:H19"/>
    <mergeCell ref="C20:D20"/>
    <mergeCell ref="G20:H20"/>
    <mergeCell ref="B22:E22"/>
    <mergeCell ref="F22:I22"/>
    <mergeCell ref="B27:E27"/>
    <mergeCell ref="F27:I27"/>
    <mergeCell ref="C28:D28"/>
    <mergeCell ref="G28:H28"/>
    <mergeCell ref="C29:D29"/>
    <mergeCell ref="G29:H29"/>
    <mergeCell ref="B25:C25"/>
    <mergeCell ref="D25:E25"/>
    <mergeCell ref="F25:G25"/>
    <mergeCell ref="H25:I25"/>
    <mergeCell ref="B26:E26"/>
    <mergeCell ref="F26:I26"/>
    <mergeCell ref="B35:C35"/>
    <mergeCell ref="D35:E35"/>
    <mergeCell ref="F35:G35"/>
    <mergeCell ref="H35:I35"/>
    <mergeCell ref="C30:D30"/>
    <mergeCell ref="G30:H30"/>
    <mergeCell ref="B32:E32"/>
    <mergeCell ref="F32:I32"/>
    <mergeCell ref="B33:C33"/>
    <mergeCell ref="D33:E33"/>
    <mergeCell ref="F33:G33"/>
    <mergeCell ref="H33:I33"/>
    <mergeCell ref="N67:O67"/>
    <mergeCell ref="H68:I68"/>
    <mergeCell ref="J68:K68"/>
    <mergeCell ref="L68:M68"/>
    <mergeCell ref="N68:O68"/>
    <mergeCell ref="B2:E2"/>
    <mergeCell ref="F2:I2"/>
    <mergeCell ref="H65:O65"/>
    <mergeCell ref="H66:K66"/>
    <mergeCell ref="L66:O66"/>
    <mergeCell ref="C39:D39"/>
    <mergeCell ref="G39:H39"/>
    <mergeCell ref="C40:D40"/>
    <mergeCell ref="G40:H40"/>
    <mergeCell ref="B36:E36"/>
    <mergeCell ref="F36:I36"/>
    <mergeCell ref="B37:E37"/>
    <mergeCell ref="F37:I37"/>
    <mergeCell ref="C38:D38"/>
    <mergeCell ref="G38:H38"/>
    <mergeCell ref="B34:C34"/>
    <mergeCell ref="D34:E34"/>
    <mergeCell ref="F34:G34"/>
    <mergeCell ref="H34:I34"/>
    <mergeCell ref="I74:J74"/>
    <mergeCell ref="M74:N74"/>
    <mergeCell ref="L33:R33"/>
    <mergeCell ref="B1:E1"/>
    <mergeCell ref="F1:I1"/>
    <mergeCell ref="B21:E21"/>
    <mergeCell ref="F21:I21"/>
    <mergeCell ref="B31:E31"/>
    <mergeCell ref="F31:I31"/>
    <mergeCell ref="H71:K71"/>
    <mergeCell ref="L71:O71"/>
    <mergeCell ref="I72:J72"/>
    <mergeCell ref="M72:N72"/>
    <mergeCell ref="I73:J73"/>
    <mergeCell ref="M73:N73"/>
    <mergeCell ref="H69:I69"/>
    <mergeCell ref="J69:K69"/>
    <mergeCell ref="L69:M69"/>
    <mergeCell ref="N69:O69"/>
    <mergeCell ref="H70:K70"/>
    <mergeCell ref="L70:O70"/>
    <mergeCell ref="H67:I67"/>
    <mergeCell ref="J67:K67"/>
    <mergeCell ref="L67:M67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8"/>
  <sheetViews>
    <sheetView workbookViewId="0">
      <selection sqref="A1:XFD1048576"/>
    </sheetView>
  </sheetViews>
  <sheetFormatPr defaultRowHeight="12.75" x14ac:dyDescent="0.2"/>
  <cols>
    <col min="1" max="1" width="49.7109375" style="1" bestFit="1" customWidth="1"/>
    <col min="2" max="7" width="12.7109375" style="1" customWidth="1"/>
    <col min="8" max="16384" width="9.140625" style="1"/>
  </cols>
  <sheetData>
    <row r="1" spans="1:7" x14ac:dyDescent="0.2">
      <c r="A1" s="14" t="s">
        <v>10</v>
      </c>
      <c r="B1" s="15" t="s">
        <v>26</v>
      </c>
      <c r="C1" s="15" t="s">
        <v>21</v>
      </c>
      <c r="D1" s="15" t="s">
        <v>22</v>
      </c>
      <c r="E1" s="15" t="s">
        <v>26</v>
      </c>
      <c r="F1" s="15" t="s">
        <v>21</v>
      </c>
      <c r="G1" s="15" t="s">
        <v>22</v>
      </c>
    </row>
    <row r="2" spans="1:7" x14ac:dyDescent="0.2">
      <c r="A2" s="14" t="s">
        <v>11</v>
      </c>
      <c r="B2" s="67" t="s">
        <v>12</v>
      </c>
      <c r="C2" s="67"/>
      <c r="D2" s="67"/>
      <c r="E2" s="67" t="s">
        <v>13</v>
      </c>
      <c r="F2" s="67"/>
      <c r="G2" s="67"/>
    </row>
    <row r="3" spans="1:7" x14ac:dyDescent="0.2">
      <c r="A3" s="14" t="str">
        <f>recircle!B1 &amp; " " &amp;recircle!B2</f>
        <v>1-Year North Current + SW Wind/Waves Beam Sea (90°)</v>
      </c>
      <c r="B3" s="16" t="e">
        <f>recircle!B9</f>
        <v>#REF!</v>
      </c>
      <c r="C3" s="16" t="e">
        <f>recircle!C9</f>
        <v>#REF!</v>
      </c>
      <c r="D3" s="16" t="e">
        <f>recircle!E9</f>
        <v>#REF!</v>
      </c>
      <c r="E3" s="17" t="e">
        <f>recircle!B10</f>
        <v>#REF!</v>
      </c>
      <c r="F3" s="17" t="e">
        <f>recircle!C10</f>
        <v>#REF!</v>
      </c>
      <c r="G3" s="17" t="e">
        <f>recircle!E10</f>
        <v>#REF!</v>
      </c>
    </row>
    <row r="4" spans="1:7" x14ac:dyDescent="0.2">
      <c r="A4" s="14" t="str">
        <f>recircle!B11 &amp; " " &amp;recircle!B12</f>
        <v>1-Year W Current + E Wind/Waves Beam Sea (90°)</v>
      </c>
      <c r="B4" s="16" t="e">
        <f>recircle!B19</f>
        <v>#REF!</v>
      </c>
      <c r="C4" s="16" t="e">
        <f>recircle!C19</f>
        <v>#REF!</v>
      </c>
      <c r="D4" s="16" t="e">
        <f>recircle!E19</f>
        <v>#REF!</v>
      </c>
      <c r="E4" s="17" t="e">
        <f>recircle!B20</f>
        <v>#REF!</v>
      </c>
      <c r="F4" s="17" t="e">
        <f>recircle!C20</f>
        <v>#REF!</v>
      </c>
      <c r="G4" s="17" t="e">
        <f>recircle!E20</f>
        <v>#REF!</v>
      </c>
    </row>
    <row r="5" spans="1:7" x14ac:dyDescent="0.2">
      <c r="A5" s="14" t="str">
        <f>recircle!B21 &amp; " " &amp;recircle!B22</f>
        <v>1-Year SW Bottom Current + NE Wind/Waves Beam Sea (90°)</v>
      </c>
      <c r="B5" s="16" t="e">
        <f>recircle!B29</f>
        <v>#REF!</v>
      </c>
      <c r="C5" s="16" t="e">
        <f>recircle!C29</f>
        <v>#REF!</v>
      </c>
      <c r="D5" s="16" t="e">
        <f>recircle!E29</f>
        <v>#REF!</v>
      </c>
      <c r="E5" s="17" t="e">
        <f>recircle!B30</f>
        <v>#REF!</v>
      </c>
      <c r="F5" s="17" t="e">
        <f>recircle!C30</f>
        <v>#REF!</v>
      </c>
      <c r="G5" s="17" t="e">
        <f>recircle!E30</f>
        <v>#REF!</v>
      </c>
    </row>
    <row r="6" spans="1:7" x14ac:dyDescent="0.2">
      <c r="A6" s="14" t="str">
        <f>recircle!F1&amp; " " &amp; recircle!F2</f>
        <v>1-Year North Current + SW Wind/Waves Head Sea (180°)</v>
      </c>
      <c r="B6" s="16" t="e">
        <f>recircle!F9</f>
        <v>#REF!</v>
      </c>
      <c r="C6" s="16" t="e">
        <f>recircle!G9</f>
        <v>#REF!</v>
      </c>
      <c r="D6" s="16" t="e">
        <f>recircle!I9</f>
        <v>#REF!</v>
      </c>
      <c r="E6" s="17" t="e">
        <f>recircle!F10</f>
        <v>#REF!</v>
      </c>
      <c r="F6" s="17" t="e">
        <f>recircle!G10</f>
        <v>#REF!</v>
      </c>
      <c r="G6" s="17" t="e">
        <f>recircle!I10</f>
        <v>#REF!</v>
      </c>
    </row>
    <row r="7" spans="1:7" x14ac:dyDescent="0.2">
      <c r="A7" s="14" t="str">
        <f>recircle!F11&amp; " " &amp; recircle!F12</f>
        <v>1-Year W Current + E Wind/Waves Head Sea (180°)</v>
      </c>
      <c r="B7" s="16" t="e">
        <f>recircle!F19</f>
        <v>#REF!</v>
      </c>
      <c r="C7" s="16" t="e">
        <f>recircle!G19</f>
        <v>#REF!</v>
      </c>
      <c r="D7" s="16" t="e">
        <f>recircle!I19</f>
        <v>#REF!</v>
      </c>
      <c r="E7" s="17" t="e">
        <f>recircle!F20</f>
        <v>#REF!</v>
      </c>
      <c r="F7" s="17" t="e">
        <f>recircle!G20</f>
        <v>#REF!</v>
      </c>
      <c r="G7" s="17" t="e">
        <f>recircle!I20</f>
        <v>#REF!</v>
      </c>
    </row>
    <row r="8" spans="1:7" x14ac:dyDescent="0.2">
      <c r="A8" s="14" t="str">
        <f>recircle!F21&amp; " " &amp; recircle!F22</f>
        <v>1-Year SW Bottom Current + NE Wind/Waves Head Sea (180°)</v>
      </c>
      <c r="B8" s="16" t="e">
        <f>recircle!F29</f>
        <v>#REF!</v>
      </c>
      <c r="C8" s="16" t="e">
        <f>recircle!G29</f>
        <v>#REF!</v>
      </c>
      <c r="D8" s="16" t="e">
        <f>recircle!I29</f>
        <v>#REF!</v>
      </c>
      <c r="E8" s="17" t="e">
        <f>recircle!F30</f>
        <v>#REF!</v>
      </c>
      <c r="F8" s="17" t="e">
        <f>recircle!G30</f>
        <v>#REF!</v>
      </c>
      <c r="G8" s="17" t="e">
        <f>recircle!I30</f>
        <v>#REF!</v>
      </c>
    </row>
  </sheetData>
  <mergeCells count="2">
    <mergeCell ref="B2:D2"/>
    <mergeCell ref="E2:G2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C30"/>
  <sheetViews>
    <sheetView workbookViewId="0">
      <selection activeCell="I8" sqref="I8"/>
    </sheetView>
  </sheetViews>
  <sheetFormatPr defaultRowHeight="11.25" x14ac:dyDescent="0.2"/>
  <cols>
    <col min="1" max="1" width="6.7109375" style="21" customWidth="1"/>
    <col min="2" max="13" width="6.7109375" style="18" customWidth="1"/>
    <col min="14" max="24" width="6.7109375" style="43" customWidth="1"/>
    <col min="25" max="25" width="14.28515625" style="21" bestFit="1" customWidth="1"/>
    <col min="26" max="26" width="10.140625" style="21" customWidth="1"/>
    <col min="27" max="16384" width="9.140625" style="21"/>
  </cols>
  <sheetData>
    <row r="1" spans="1:55" s="24" customFormat="1" ht="15" customHeight="1" x14ac:dyDescent="0.2">
      <c r="A1" s="32" t="s">
        <v>49</v>
      </c>
      <c r="B1" s="35">
        <v>15</v>
      </c>
      <c r="C1" s="34" t="s">
        <v>64</v>
      </c>
      <c r="D1" s="35">
        <v>75</v>
      </c>
      <c r="E1" s="34" t="s">
        <v>47</v>
      </c>
      <c r="F1" s="35"/>
      <c r="G1" s="35"/>
      <c r="H1" s="35"/>
      <c r="I1" s="23"/>
      <c r="J1" s="23"/>
      <c r="K1" s="23"/>
      <c r="L1" s="23"/>
      <c r="M1" s="23"/>
      <c r="N1" s="47"/>
      <c r="O1" s="46">
        <v>0</v>
      </c>
      <c r="P1" s="46">
        <v>2</v>
      </c>
      <c r="Q1" s="46">
        <v>4</v>
      </c>
      <c r="R1" s="46">
        <v>6</v>
      </c>
      <c r="S1" s="46">
        <v>8</v>
      </c>
      <c r="T1" s="46">
        <v>10</v>
      </c>
      <c r="U1" s="46">
        <v>12</v>
      </c>
      <c r="V1" s="46">
        <v>14</v>
      </c>
      <c r="W1" s="46">
        <v>16</v>
      </c>
      <c r="X1" s="47"/>
      <c r="Z1" s="25"/>
      <c r="AA1" s="25"/>
      <c r="AB1" s="25"/>
      <c r="AC1" s="26"/>
      <c r="AD1" s="26"/>
      <c r="AK1" s="25"/>
      <c r="AO1" s="27"/>
      <c r="AS1" s="27"/>
      <c r="BA1" s="28"/>
      <c r="BC1" s="25"/>
    </row>
    <row r="2" spans="1:55" s="24" customFormat="1" ht="15" customHeight="1" x14ac:dyDescent="0.2">
      <c r="A2" s="19" t="s">
        <v>50</v>
      </c>
      <c r="B2" s="20">
        <v>1</v>
      </c>
      <c r="C2" s="30" t="s">
        <v>38</v>
      </c>
      <c r="D2" s="20">
        <v>45</v>
      </c>
      <c r="E2" s="30" t="s">
        <v>47</v>
      </c>
      <c r="F2" s="19" t="s">
        <v>51</v>
      </c>
      <c r="G2" s="20">
        <v>2.5</v>
      </c>
      <c r="H2" s="30" t="s">
        <v>48</v>
      </c>
      <c r="I2" s="31"/>
      <c r="J2" s="31"/>
      <c r="K2" s="31"/>
      <c r="L2" s="31"/>
      <c r="M2" s="31"/>
      <c r="N2" s="47"/>
      <c r="O2" s="45">
        <f>360-O3</f>
        <v>360</v>
      </c>
      <c r="P2" s="45">
        <f t="shared" ref="P2:W2" si="0">360-P3</f>
        <v>360</v>
      </c>
      <c r="Q2" s="45">
        <f t="shared" si="0"/>
        <v>360</v>
      </c>
      <c r="R2" s="45">
        <f t="shared" si="0"/>
        <v>360</v>
      </c>
      <c r="S2" s="45">
        <f t="shared" si="0"/>
        <v>360</v>
      </c>
      <c r="T2" s="45">
        <f t="shared" si="0"/>
        <v>360</v>
      </c>
      <c r="U2" s="45">
        <f t="shared" si="0"/>
        <v>360</v>
      </c>
      <c r="V2" s="45">
        <f t="shared" si="0"/>
        <v>360</v>
      </c>
      <c r="W2" s="45">
        <f t="shared" si="0"/>
        <v>360</v>
      </c>
      <c r="X2" s="47"/>
      <c r="Z2" s="25"/>
      <c r="AA2" s="25"/>
      <c r="AB2" s="25"/>
      <c r="AC2" s="26"/>
      <c r="AD2" s="26"/>
      <c r="AK2" s="25"/>
      <c r="AO2" s="27"/>
      <c r="AS2" s="27"/>
      <c r="BA2" s="28"/>
      <c r="BC2" s="25"/>
    </row>
    <row r="3" spans="1:55" s="24" customFormat="1" ht="15" customHeight="1" x14ac:dyDescent="0.2">
      <c r="A3" s="36" t="s">
        <v>52</v>
      </c>
      <c r="B3" s="39">
        <v>8</v>
      </c>
      <c r="C3" s="38" t="s">
        <v>64</v>
      </c>
      <c r="D3" s="39">
        <v>80</v>
      </c>
      <c r="E3" s="38" t="s">
        <v>47</v>
      </c>
      <c r="F3" s="39"/>
      <c r="G3" s="39"/>
      <c r="H3" s="39"/>
      <c r="I3" s="23"/>
      <c r="J3" s="23"/>
      <c r="K3" s="23"/>
      <c r="L3" s="23"/>
      <c r="M3" s="23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25"/>
      <c r="Z3" s="25"/>
      <c r="AA3" s="25"/>
      <c r="AB3" s="25"/>
      <c r="AC3" s="26"/>
      <c r="AD3" s="26"/>
      <c r="AK3" s="25"/>
      <c r="AO3" s="27"/>
      <c r="AS3" s="27"/>
      <c r="BA3" s="28"/>
      <c r="BC3" s="25"/>
    </row>
    <row r="4" spans="1:55" s="24" customFormat="1" ht="15" customHeight="1" x14ac:dyDescent="0.2"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25"/>
      <c r="Z4" s="25"/>
      <c r="AA4" s="25"/>
      <c r="AB4" s="25"/>
      <c r="AC4" s="26"/>
      <c r="AD4" s="26"/>
      <c r="AK4" s="25"/>
      <c r="AO4" s="27"/>
      <c r="AS4" s="27"/>
      <c r="BA4" s="28"/>
      <c r="BC4" s="25"/>
    </row>
    <row r="5" spans="1:55" x14ac:dyDescent="0.2">
      <c r="A5" s="19" t="s">
        <v>44</v>
      </c>
      <c r="B5" s="19" t="s">
        <v>45</v>
      </c>
      <c r="C5" s="19" t="s">
        <v>46</v>
      </c>
      <c r="D5" s="19" t="s">
        <v>43</v>
      </c>
      <c r="E5" s="21"/>
      <c r="F5" s="21"/>
      <c r="G5" s="21"/>
      <c r="H5" s="21"/>
      <c r="I5" s="21"/>
      <c r="J5" s="21"/>
      <c r="K5" s="21"/>
      <c r="L5" s="21"/>
      <c r="M5" s="21"/>
    </row>
    <row r="6" spans="1:55" x14ac:dyDescent="0.2">
      <c r="A6" s="55">
        <v>1</v>
      </c>
      <c r="B6" s="20" t="e">
        <f ca="1">FORECAST(A6,OFFSET($T$27:$T$3230,MATCH(A6,$X$27:$X$3226,1)-1,0,2),OFFSET($X$27:$X$3226,MATCH(A6,$X$27:$X$3226,1)-1,0,2))</f>
        <v>#N/A</v>
      </c>
      <c r="C6" s="41">
        <f ca="1">IF(D6&lt;100,6,IF(D6&lt;115,5,IF(D6&lt;130,4,IF(D6&lt;145,3,IF(D6&lt;160,2,1)))))</f>
        <v>1</v>
      </c>
      <c r="D6" s="41">
        <f t="shared" ref="D6:D14" ca="1" si="1">FORECAST(A6,OFFSET($O$2:$W$2,0,MATCH(A6,$O$1:$W$1,1)-1,1,2),OFFSET($O$1:$W$1,0,MATCH(A6,$O$1:$W$1,1)-1,1,2))</f>
        <v>360</v>
      </c>
      <c r="E6" s="21"/>
      <c r="F6" s="21"/>
      <c r="G6" s="21"/>
      <c r="H6" s="21"/>
      <c r="I6" s="21"/>
      <c r="J6" s="21"/>
      <c r="K6" s="21"/>
      <c r="L6" s="21"/>
      <c r="M6" s="21"/>
    </row>
    <row r="7" spans="1:55" x14ac:dyDescent="0.2">
      <c r="A7" s="55">
        <v>2</v>
      </c>
      <c r="B7" s="20" t="e">
        <f t="shared" ref="B7:B14" ca="1" si="2">FORECAST(A7,OFFSET($T$27:$T$3230,MATCH(A7,$X$27:$X$3226,1)-1,0,2),OFFSET($X$27:$X$3226,MATCH(A7,$X$27:$X$3226,1)-1,0,2))</f>
        <v>#N/A</v>
      </c>
      <c r="C7" s="41">
        <f t="shared" ref="C7:C13" ca="1" si="3">IF(D7&lt;100,6,IF(D7&lt;115,5,IF(D7&lt;130,4,IF(D7&lt;145,3,IF(D7&lt;160,2,1)))))</f>
        <v>1</v>
      </c>
      <c r="D7" s="41">
        <f t="shared" ca="1" si="1"/>
        <v>360</v>
      </c>
      <c r="E7" s="22"/>
      <c r="F7" s="22"/>
      <c r="G7" s="22"/>
      <c r="H7" s="22"/>
      <c r="I7" s="22"/>
      <c r="J7" s="22"/>
      <c r="K7" s="22"/>
      <c r="L7" s="22"/>
      <c r="M7" s="22"/>
      <c r="N7" s="42"/>
      <c r="O7" s="42"/>
    </row>
    <row r="8" spans="1:55" x14ac:dyDescent="0.2">
      <c r="A8" s="55">
        <v>3</v>
      </c>
      <c r="B8" s="20" t="e">
        <f t="shared" ca="1" si="2"/>
        <v>#N/A</v>
      </c>
      <c r="C8" s="41">
        <f t="shared" ca="1" si="3"/>
        <v>1</v>
      </c>
      <c r="D8" s="41">
        <f t="shared" ca="1" si="1"/>
        <v>360</v>
      </c>
      <c r="E8" s="22"/>
      <c r="F8" s="22"/>
      <c r="G8" s="22"/>
      <c r="H8" s="22"/>
      <c r="I8" s="22"/>
      <c r="J8" s="22"/>
      <c r="K8" s="22"/>
      <c r="L8" s="22"/>
      <c r="M8" s="22"/>
      <c r="N8" s="42"/>
      <c r="O8" s="42"/>
    </row>
    <row r="9" spans="1:55" x14ac:dyDescent="0.2">
      <c r="A9" s="55">
        <v>4</v>
      </c>
      <c r="B9" s="20" t="e">
        <f t="shared" ca="1" si="2"/>
        <v>#N/A</v>
      </c>
      <c r="C9" s="41">
        <f t="shared" ca="1" si="3"/>
        <v>1</v>
      </c>
      <c r="D9" s="41">
        <f t="shared" ca="1" si="1"/>
        <v>360</v>
      </c>
      <c r="E9" s="22"/>
      <c r="F9" s="22"/>
      <c r="G9" s="22"/>
      <c r="H9" s="22"/>
      <c r="I9" s="22"/>
      <c r="J9" s="22"/>
      <c r="K9" s="22"/>
      <c r="L9" s="22"/>
      <c r="M9" s="22"/>
      <c r="N9" s="42"/>
      <c r="O9" s="42"/>
    </row>
    <row r="10" spans="1:55" x14ac:dyDescent="0.2">
      <c r="A10" s="55">
        <v>6</v>
      </c>
      <c r="B10" s="20" t="e">
        <f t="shared" ca="1" si="2"/>
        <v>#N/A</v>
      </c>
      <c r="C10" s="41">
        <f t="shared" ca="1" si="3"/>
        <v>1</v>
      </c>
      <c r="D10" s="41">
        <f t="shared" ca="1" si="1"/>
        <v>360</v>
      </c>
      <c r="E10" s="22"/>
      <c r="F10" s="22"/>
      <c r="G10" s="22"/>
      <c r="H10" s="22"/>
      <c r="I10" s="22"/>
      <c r="J10" s="22"/>
      <c r="K10" s="22"/>
      <c r="L10" s="22"/>
      <c r="M10" s="22"/>
      <c r="N10" s="42"/>
      <c r="O10" s="42"/>
    </row>
    <row r="11" spans="1:55" x14ac:dyDescent="0.2">
      <c r="A11" s="55">
        <v>8</v>
      </c>
      <c r="B11" s="20" t="e">
        <f t="shared" ca="1" si="2"/>
        <v>#N/A</v>
      </c>
      <c r="C11" s="41">
        <f t="shared" ca="1" si="3"/>
        <v>1</v>
      </c>
      <c r="D11" s="41">
        <f t="shared" ca="1" si="1"/>
        <v>360</v>
      </c>
      <c r="E11" s="22"/>
      <c r="F11" s="22"/>
      <c r="G11" s="22"/>
      <c r="H11" s="22"/>
      <c r="I11" s="22"/>
      <c r="J11" s="22"/>
      <c r="K11" s="22"/>
      <c r="L11" s="22"/>
      <c r="M11" s="22"/>
      <c r="N11" s="42"/>
      <c r="O11" s="42"/>
    </row>
    <row r="12" spans="1:55" x14ac:dyDescent="0.2">
      <c r="A12" s="55">
        <v>9</v>
      </c>
      <c r="B12" s="20" t="e">
        <f t="shared" ca="1" si="2"/>
        <v>#N/A</v>
      </c>
      <c r="C12" s="41">
        <f t="shared" ca="1" si="3"/>
        <v>1</v>
      </c>
      <c r="D12" s="41">
        <f t="shared" ca="1" si="1"/>
        <v>360</v>
      </c>
      <c r="E12" s="22"/>
      <c r="F12" s="22"/>
      <c r="G12" s="22"/>
      <c r="H12" s="22"/>
      <c r="I12" s="22"/>
      <c r="J12" s="22"/>
      <c r="K12" s="22"/>
      <c r="L12" s="22"/>
      <c r="M12" s="22"/>
      <c r="N12" s="42"/>
      <c r="O12" s="42"/>
    </row>
    <row r="13" spans="1:55" x14ac:dyDescent="0.2">
      <c r="A13" s="55">
        <v>10</v>
      </c>
      <c r="B13" s="20" t="e">
        <f t="shared" ca="1" si="2"/>
        <v>#N/A</v>
      </c>
      <c r="C13" s="41">
        <f t="shared" ca="1" si="3"/>
        <v>1</v>
      </c>
      <c r="D13" s="41">
        <f t="shared" ca="1" si="1"/>
        <v>360</v>
      </c>
      <c r="E13" s="22"/>
      <c r="F13" s="22"/>
      <c r="G13" s="22"/>
      <c r="H13" s="22"/>
      <c r="I13" s="22"/>
      <c r="J13" s="22"/>
      <c r="K13" s="22"/>
      <c r="L13" s="22"/>
      <c r="M13" s="22"/>
      <c r="N13" s="42"/>
      <c r="O13" s="42"/>
    </row>
    <row r="14" spans="1:55" x14ac:dyDescent="0.2">
      <c r="A14" s="55">
        <v>11</v>
      </c>
      <c r="B14" s="20" t="e">
        <f t="shared" ca="1" si="2"/>
        <v>#N/A</v>
      </c>
      <c r="C14" s="41">
        <f ca="1">IF(D14&lt;100,6,IF(D14&lt;115,5,IF(D14&lt;130,4,IF(D14&lt;145,3,IF(D14&lt;160,2,1)))))</f>
        <v>1</v>
      </c>
      <c r="D14" s="41">
        <f t="shared" ca="1" si="1"/>
        <v>360</v>
      </c>
      <c r="E14" s="22"/>
      <c r="F14" s="22"/>
      <c r="G14" s="22"/>
      <c r="H14" s="22"/>
      <c r="I14" s="22"/>
      <c r="J14" s="22"/>
      <c r="K14" s="22"/>
      <c r="L14" s="22"/>
      <c r="M14" s="22"/>
      <c r="N14" s="42"/>
      <c r="O14" s="42"/>
    </row>
    <row r="15" spans="1:55" x14ac:dyDescent="0.2">
      <c r="A15" s="13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42"/>
      <c r="O15" s="42"/>
    </row>
    <row r="16" spans="1:55" x14ac:dyDescent="0.2">
      <c r="A16" s="19" t="s">
        <v>60</v>
      </c>
      <c r="B16" s="41">
        <v>1</v>
      </c>
      <c r="C16" s="19" t="s">
        <v>40</v>
      </c>
      <c r="D16" s="19"/>
      <c r="E16" s="19" t="s">
        <v>68</v>
      </c>
      <c r="F16" s="19"/>
      <c r="G16" s="19"/>
      <c r="H16" s="19" t="s">
        <v>69</v>
      </c>
      <c r="I16" s="19"/>
      <c r="J16" s="19"/>
      <c r="K16" s="19" t="s">
        <v>70</v>
      </c>
      <c r="L16" s="19"/>
      <c r="M16" s="19"/>
      <c r="N16" s="42"/>
      <c r="O16" s="42"/>
    </row>
    <row r="17" spans="1:28" x14ac:dyDescent="0.2">
      <c r="A17" s="19" t="s">
        <v>35</v>
      </c>
      <c r="B17" s="20">
        <f>INDEX(derpsum!$A$3:$E$20,$B$16,2)</f>
        <v>4.7633477263700081</v>
      </c>
      <c r="C17" s="20">
        <f>MIN(B18,B17)</f>
        <v>4.7633477263700081</v>
      </c>
      <c r="D17" s="20">
        <v>0</v>
      </c>
      <c r="E17" s="53">
        <f>input!$B$13</f>
        <v>30</v>
      </c>
      <c r="F17" s="20">
        <f>C17</f>
        <v>4.7633477263700081</v>
      </c>
      <c r="G17" s="20">
        <f t="shared" ref="F17:G19" si="4">D17</f>
        <v>0</v>
      </c>
      <c r="H17" s="53">
        <f>input!$B$14</f>
        <v>45</v>
      </c>
      <c r="I17" s="20">
        <f t="shared" ref="I17:J19" si="5">F17</f>
        <v>4.7633477263700081</v>
      </c>
      <c r="J17" s="20">
        <f t="shared" si="5"/>
        <v>0</v>
      </c>
      <c r="K17" s="53">
        <f>input!$B$15</f>
        <v>60</v>
      </c>
      <c r="L17" s="22"/>
      <c r="M17" s="22"/>
      <c r="N17" s="42"/>
      <c r="O17" s="42"/>
      <c r="Z17" s="23"/>
      <c r="AA17" s="23"/>
      <c r="AB17" s="23"/>
    </row>
    <row r="18" spans="1:28" x14ac:dyDescent="0.2">
      <c r="A18" s="19" t="s">
        <v>36</v>
      </c>
      <c r="B18" s="20">
        <f>INDEX(derpsum!$A$3:$E$20,$B$16,4)</f>
        <v>5.4913354572517887</v>
      </c>
      <c r="C18" s="20">
        <f>C17</f>
        <v>4.7633477263700081</v>
      </c>
      <c r="D18" s="20" t="e">
        <f ca="1">FORECAST(C18,OFFSET($N$27:$N$2504,MATCH(C18,$X$27:$X$2500,1)-1,0,2),OFFSET($X$27:$X$2500,MATCH(C18,$X$27:$X$2500,1)-1,0,2))</f>
        <v>#N/A</v>
      </c>
      <c r="E18" s="21"/>
      <c r="F18" s="20">
        <f t="shared" si="4"/>
        <v>4.7633477263700081</v>
      </c>
      <c r="G18" s="20" t="e">
        <f ca="1">D18</f>
        <v>#N/A</v>
      </c>
      <c r="H18" s="21"/>
      <c r="I18" s="20">
        <f t="shared" si="5"/>
        <v>4.7633477263700081</v>
      </c>
      <c r="J18" s="20" t="e">
        <f t="shared" ca="1" si="5"/>
        <v>#N/A</v>
      </c>
      <c r="K18" s="21"/>
      <c r="L18" s="22"/>
      <c r="M18" s="22"/>
      <c r="N18" s="42"/>
      <c r="O18" s="42"/>
      <c r="Z18" s="23"/>
      <c r="AA18" s="23"/>
      <c r="AB18" s="23"/>
    </row>
    <row r="19" spans="1:28" x14ac:dyDescent="0.2">
      <c r="B19" s="21"/>
      <c r="C19" s="20">
        <v>0</v>
      </c>
      <c r="D19" s="20" t="e">
        <f ca="1">D18</f>
        <v>#N/A</v>
      </c>
      <c r="E19" s="21"/>
      <c r="F19" s="20">
        <f t="shared" si="4"/>
        <v>0</v>
      </c>
      <c r="G19" s="20" t="e">
        <f t="shared" ca="1" si="4"/>
        <v>#N/A</v>
      </c>
      <c r="H19" s="21"/>
      <c r="I19" s="20">
        <f t="shared" si="5"/>
        <v>0</v>
      </c>
      <c r="J19" s="20" t="e">
        <f t="shared" ca="1" si="5"/>
        <v>#N/A</v>
      </c>
      <c r="K19" s="21"/>
      <c r="L19" s="22"/>
      <c r="M19" s="22"/>
      <c r="N19" s="42"/>
      <c r="O19" s="42"/>
    </row>
    <row r="20" spans="1:28" x14ac:dyDescent="0.2"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2"/>
      <c r="M20" s="22"/>
      <c r="N20" s="42"/>
      <c r="O20" s="42"/>
    </row>
    <row r="21" spans="1:28" x14ac:dyDescent="0.2">
      <c r="B21" s="21"/>
      <c r="C21" s="19" t="s">
        <v>39</v>
      </c>
      <c r="D21" s="19"/>
      <c r="E21" s="19"/>
      <c r="F21" s="19" t="s">
        <v>41</v>
      </c>
      <c r="G21" s="19"/>
      <c r="H21" s="21"/>
      <c r="I21" s="19" t="s">
        <v>42</v>
      </c>
      <c r="J21" s="19"/>
      <c r="K21" s="19"/>
      <c r="L21" s="22"/>
      <c r="M21" s="22"/>
      <c r="N21" s="42"/>
      <c r="O21" s="42"/>
    </row>
    <row r="22" spans="1:28" x14ac:dyDescent="0.2">
      <c r="B22" s="21"/>
      <c r="C22" s="20" t="e">
        <f ca="1">FORECAST(D23,OFFSET($X$27:$X$2500,MATCH(D23,$N$27:$N$2500,1)-1,0,2),OFFSET($N$27:$N$2500,MATCH(D23,$N$27:$N$2500,1)-1,0,2))</f>
        <v>#N/A</v>
      </c>
      <c r="D22" s="20">
        <v>0</v>
      </c>
      <c r="E22" s="21"/>
      <c r="F22" s="20" t="e">
        <f ca="1">FORECAST(G23,OFFSET($X$27:$X$2500,MATCH(G23,$N$27:$N$2500,1)-1,0,2),OFFSET($N$27:$N$2500,MATCH(G23,$N$27:$N$2500,1)-1,0,2))</f>
        <v>#N/A</v>
      </c>
      <c r="G22" s="20">
        <v>0</v>
      </c>
      <c r="H22" s="21"/>
      <c r="I22" s="20" t="e">
        <f ca="1">FORECAST(J23,OFFSET($X$27:$X$2500,MATCH(J23,$N$27:$N$2500,1)-1,0,2),OFFSET($N$27:$N$2500,MATCH(J23,$N$27:$N$2500,1)-1,0,2))</f>
        <v>#N/A</v>
      </c>
      <c r="J22" s="20">
        <v>0</v>
      </c>
      <c r="K22" s="21"/>
      <c r="L22" s="22"/>
      <c r="M22" s="22"/>
      <c r="N22" s="42"/>
      <c r="O22" s="42"/>
    </row>
    <row r="23" spans="1:28" x14ac:dyDescent="0.2">
      <c r="B23" s="21"/>
      <c r="C23" s="20" t="e">
        <f ca="1">C22</f>
        <v>#N/A</v>
      </c>
      <c r="D23" s="20" t="e">
        <f ca="1">D18-E17</f>
        <v>#N/A</v>
      </c>
      <c r="E23" s="21"/>
      <c r="F23" s="20" t="e">
        <f ca="1">F22</f>
        <v>#N/A</v>
      </c>
      <c r="G23" s="20" t="e">
        <f ca="1">G18-H17</f>
        <v>#N/A</v>
      </c>
      <c r="H23" s="21"/>
      <c r="I23" s="20" t="e">
        <f ca="1">I22</f>
        <v>#N/A</v>
      </c>
      <c r="J23" s="20" t="e">
        <f ca="1">J18-K17</f>
        <v>#N/A</v>
      </c>
      <c r="K23" s="21"/>
      <c r="L23" s="22"/>
      <c r="M23" s="22"/>
      <c r="N23" s="42"/>
      <c r="O23" s="42"/>
    </row>
    <row r="24" spans="1:28" x14ac:dyDescent="0.2">
      <c r="B24" s="21"/>
      <c r="C24" s="20">
        <v>0</v>
      </c>
      <c r="D24" s="20" t="e">
        <f ca="1">D23</f>
        <v>#N/A</v>
      </c>
      <c r="E24" s="21"/>
      <c r="F24" s="20">
        <v>0</v>
      </c>
      <c r="G24" s="20" t="e">
        <f ca="1">G23</f>
        <v>#N/A</v>
      </c>
      <c r="H24" s="21"/>
      <c r="I24" s="20">
        <v>0</v>
      </c>
      <c r="J24" s="20" t="e">
        <f ca="1">J23</f>
        <v>#N/A</v>
      </c>
      <c r="K24" s="21"/>
      <c r="L24" s="22"/>
      <c r="M24" s="22"/>
      <c r="N24" s="42"/>
      <c r="O24" s="42"/>
    </row>
    <row r="25" spans="1:28" x14ac:dyDescent="0.2">
      <c r="B25" s="21"/>
      <c r="C25" s="20"/>
      <c r="D25" s="20"/>
      <c r="E25" s="20"/>
      <c r="F25" s="21"/>
      <c r="G25" s="21"/>
      <c r="H25" s="21"/>
      <c r="I25" s="21"/>
      <c r="J25" s="21"/>
      <c r="K25" s="21"/>
      <c r="L25" s="22"/>
      <c r="M25" s="22"/>
      <c r="N25" s="42"/>
      <c r="O25" s="42"/>
    </row>
    <row r="26" spans="1:28" x14ac:dyDescent="0.2">
      <c r="B26" s="21"/>
      <c r="C26" s="20" t="e">
        <f ca="1">C23</f>
        <v>#N/A</v>
      </c>
      <c r="D26" s="20" t="e">
        <f ca="1">F23</f>
        <v>#N/A</v>
      </c>
      <c r="E26" s="20" t="e">
        <f ca="1">I23</f>
        <v>#N/A</v>
      </c>
      <c r="F26" s="21"/>
      <c r="G26" s="21"/>
      <c r="H26" s="21"/>
      <c r="I26" s="21"/>
      <c r="J26" s="21"/>
      <c r="K26" s="21"/>
      <c r="L26" s="22"/>
      <c r="M26" s="22"/>
      <c r="N26" s="44" t="s">
        <v>0</v>
      </c>
      <c r="O26" s="44" t="s">
        <v>1</v>
      </c>
      <c r="P26" s="44" t="s">
        <v>8</v>
      </c>
      <c r="Q26" s="44" t="s">
        <v>7</v>
      </c>
      <c r="R26" s="44" t="s">
        <v>6</v>
      </c>
      <c r="S26" s="44" t="s">
        <v>5</v>
      </c>
      <c r="T26" s="44" t="s">
        <v>4</v>
      </c>
      <c r="U26" s="44" t="s">
        <v>3</v>
      </c>
      <c r="V26" s="44" t="s">
        <v>2</v>
      </c>
      <c r="W26" s="44" t="s">
        <v>53</v>
      </c>
      <c r="X26" s="44" t="s">
        <v>34</v>
      </c>
    </row>
    <row r="27" spans="1:28" x14ac:dyDescent="0.2">
      <c r="B27" s="21"/>
      <c r="C27" s="20" t="e">
        <f ca="1">D23</f>
        <v>#N/A</v>
      </c>
      <c r="D27" s="20" t="e">
        <f ca="1">G23</f>
        <v>#N/A</v>
      </c>
      <c r="E27" s="20" t="e">
        <f ca="1">J23</f>
        <v>#N/A</v>
      </c>
      <c r="F27" s="21"/>
      <c r="G27" s="21"/>
      <c r="H27" s="21"/>
      <c r="I27" s="21"/>
      <c r="J27" s="21"/>
      <c r="K27" s="21"/>
      <c r="L27" s="22"/>
      <c r="M27" s="22"/>
      <c r="N27" s="42"/>
      <c r="O27" s="42"/>
    </row>
    <row r="29" spans="1:28" x14ac:dyDescent="0.2">
      <c r="A29" s="22"/>
    </row>
    <row r="30" spans="1:28" x14ac:dyDescent="0.2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</row>
  </sheetData>
  <pageMargins left="0.75" right="0.75" top="1" bottom="1" header="0.5" footer="0.5"/>
  <pageSetup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derpsum</vt:lpstr>
      <vt:lpstr>recircle</vt:lpstr>
      <vt:lpstr>summary</vt:lpstr>
      <vt:lpstr>dodo</vt:lpstr>
    </vt:vector>
  </TitlesOfParts>
  <Company>David Tein Consulting Engineers,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 Laptop3</dc:creator>
  <cp:lastModifiedBy>GE Laptop3</cp:lastModifiedBy>
  <cp:lastPrinted>2010-12-28T22:58:19Z</cp:lastPrinted>
  <dcterms:created xsi:type="dcterms:W3CDTF">2008-08-28T12:55:35Z</dcterms:created>
  <dcterms:modified xsi:type="dcterms:W3CDTF">2016-01-28T18:21:53Z</dcterms:modified>
</cp:coreProperties>
</file>