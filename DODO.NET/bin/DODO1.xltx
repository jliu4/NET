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-15" windowWidth="19800" windowHeight="7275" tabRatio="856" activeTab="4"/>
  </bookViews>
  <sheets>
    <sheet name="1yN90" sheetId="23" r:id="rId1"/>
    <sheet name="derpsum" sheetId="32" r:id="rId2"/>
    <sheet name="recircle" sheetId="34" r:id="rId3"/>
    <sheet name="summary" sheetId="35" r:id="rId4"/>
    <sheet name="temp" sheetId="39" r:id="rId5"/>
  </sheets>
  <calcPr calcId="145621"/>
</workbook>
</file>

<file path=xl/calcChain.xml><?xml version="1.0" encoding="utf-8"?>
<calcChain xmlns="http://schemas.openxmlformats.org/spreadsheetml/2006/main">
  <c r="M10" i="39" l="1"/>
  <c r="M9" i="39"/>
  <c r="M8" i="39"/>
  <c r="M7" i="39"/>
  <c r="R6" i="39"/>
  <c r="M6" i="39"/>
  <c r="R5" i="39"/>
  <c r="M5" i="39"/>
  <c r="V4" i="39"/>
  <c r="Y4" i="39" s="1"/>
  <c r="R4" i="39"/>
  <c r="M4" i="39"/>
  <c r="R3" i="39"/>
  <c r="O3" i="39"/>
  <c r="N3" i="39" s="1"/>
  <c r="M3" i="39"/>
  <c r="Z2" i="39"/>
  <c r="W2" i="39"/>
  <c r="R2" i="39"/>
  <c r="S2" i="39" s="1"/>
  <c r="M2" i="39"/>
  <c r="J2" i="39"/>
  <c r="I2" i="39"/>
  <c r="H2" i="39"/>
  <c r="G2" i="39"/>
  <c r="O9" i="39" s="1"/>
  <c r="N9" i="39" s="1"/>
  <c r="F2" i="39"/>
  <c r="O7" i="39" s="1"/>
  <c r="N7" i="39" s="1"/>
  <c r="E2" i="39"/>
  <c r="O6" i="39" s="1"/>
  <c r="N6" i="39" s="1"/>
  <c r="D2" i="39"/>
  <c r="C2" i="39"/>
  <c r="O4" i="39" s="1"/>
  <c r="N4" i="39" s="1"/>
  <c r="B2" i="39"/>
  <c r="O2" i="39" s="1"/>
  <c r="N2" i="39" s="1"/>
  <c r="A1" i="39"/>
  <c r="S3" i="39" l="1"/>
  <c r="V2" i="39"/>
  <c r="Y2" i="39" s="1"/>
  <c r="O10" i="39"/>
  <c r="N10" i="39" s="1"/>
  <c r="O8" i="39"/>
  <c r="N8" i="39" s="1"/>
  <c r="O5" i="39"/>
  <c r="N5" i="39" s="1"/>
  <c r="T3" i="39" l="1"/>
  <c r="V3" i="39"/>
  <c r="Y3" i="39" s="1"/>
  <c r="T8" i="39" l="1"/>
  <c r="W3" i="39"/>
  <c r="T4" i="39"/>
  <c r="W4" i="39" s="1"/>
  <c r="Z4" i="39" s="1"/>
  <c r="Z3" i="39" l="1"/>
  <c r="Z8" i="39" s="1"/>
  <c r="W8" i="39"/>
  <c r="T9" i="39"/>
  <c r="S12" i="39"/>
  <c r="S7" i="39"/>
  <c r="S8" i="39" s="1"/>
  <c r="S11" i="39" s="1"/>
  <c r="T12" i="39" l="1"/>
  <c r="V7" i="39"/>
  <c r="V8" i="39" s="1"/>
  <c r="T11" i="39" s="1"/>
  <c r="W9" i="39"/>
  <c r="U12" i="39"/>
  <c r="Y7" i="39"/>
  <c r="Y8" i="39" s="1"/>
  <c r="U11" i="39" s="1"/>
  <c r="Z9" i="39"/>
  <c r="M2" i="23" l="1"/>
  <c r="M27" i="23"/>
  <c r="L28" i="23"/>
  <c r="M28" i="23" s="1"/>
  <c r="L29" i="23"/>
  <c r="M29" i="23" s="1"/>
  <c r="L30" i="23"/>
  <c r="M30" i="23" s="1"/>
  <c r="L31" i="23"/>
  <c r="M31" i="23" s="1"/>
  <c r="L32" i="23"/>
  <c r="M32" i="23" s="1"/>
  <c r="L33" i="23"/>
  <c r="M33" i="23" s="1"/>
  <c r="L34" i="23"/>
  <c r="M34" i="23" s="1"/>
  <c r="L35" i="23"/>
  <c r="M35" i="23" s="1"/>
  <c r="L36" i="23"/>
  <c r="M36" i="23" s="1"/>
  <c r="L37" i="23"/>
  <c r="M37" i="23" s="1"/>
  <c r="L38" i="23"/>
  <c r="M38" i="23" s="1"/>
  <c r="L39" i="23"/>
  <c r="M39" i="23" s="1"/>
  <c r="L40" i="23"/>
  <c r="M40" i="23" s="1"/>
  <c r="L41" i="23"/>
  <c r="M41" i="23" s="1"/>
  <c r="L42" i="23"/>
  <c r="M42" i="23" s="1"/>
  <c r="L43" i="23"/>
  <c r="M43" i="23" s="1"/>
  <c r="L44" i="23"/>
  <c r="M44" i="23" s="1"/>
  <c r="L45" i="23"/>
  <c r="M45" i="23" s="1"/>
  <c r="L46" i="23"/>
  <c r="M46" i="23" s="1"/>
  <c r="L47" i="23"/>
  <c r="M47" i="23" s="1"/>
  <c r="L48" i="23"/>
  <c r="M48" i="23" s="1"/>
  <c r="L49" i="23"/>
  <c r="M49" i="23" s="1"/>
  <c r="L50" i="23"/>
  <c r="M50" i="23" s="1"/>
  <c r="L51" i="23"/>
  <c r="M51" i="23" s="1"/>
  <c r="L52" i="23"/>
  <c r="M52" i="23" s="1"/>
  <c r="L53" i="23"/>
  <c r="M53" i="23" s="1"/>
  <c r="L54" i="23"/>
  <c r="M54" i="23" s="1"/>
  <c r="L55" i="23"/>
  <c r="M55" i="23" s="1"/>
  <c r="L56" i="23"/>
  <c r="M56" i="23" s="1"/>
  <c r="L57" i="23"/>
  <c r="M57" i="23" s="1"/>
  <c r="L58" i="23"/>
  <c r="M58" i="23" s="1"/>
  <c r="L59" i="23"/>
  <c r="M59" i="23" s="1"/>
  <c r="L60" i="23"/>
  <c r="M60" i="23" s="1"/>
  <c r="L61" i="23"/>
  <c r="M61" i="23" s="1"/>
  <c r="L62" i="23"/>
  <c r="M62" i="23" s="1"/>
  <c r="L63" i="23"/>
  <c r="M63" i="23" s="1"/>
  <c r="L64" i="23"/>
  <c r="M64" i="23" s="1"/>
  <c r="L65" i="23"/>
  <c r="M65" i="23" s="1"/>
  <c r="L66" i="23"/>
  <c r="M66" i="23" s="1"/>
  <c r="L67" i="23"/>
  <c r="M67" i="23" s="1"/>
  <c r="L68" i="23"/>
  <c r="M68" i="23" s="1"/>
  <c r="L69" i="23"/>
  <c r="M69" i="23" s="1"/>
  <c r="L70" i="23"/>
  <c r="M70" i="23" s="1"/>
  <c r="L71" i="23"/>
  <c r="M71" i="23" s="1"/>
  <c r="L72" i="23"/>
  <c r="M72" i="23" s="1"/>
  <c r="L73" i="23"/>
  <c r="M73" i="23" s="1"/>
  <c r="L74" i="23"/>
  <c r="M74" i="23" s="1"/>
  <c r="L75" i="23"/>
  <c r="M75" i="23" s="1"/>
  <c r="L76" i="23"/>
  <c r="M76" i="23" s="1"/>
  <c r="L77" i="23"/>
  <c r="M77" i="23" s="1"/>
  <c r="L78" i="23"/>
  <c r="M78" i="23" s="1"/>
  <c r="L79" i="23"/>
  <c r="M79" i="23" s="1"/>
  <c r="L80" i="23"/>
  <c r="M80" i="23" s="1"/>
  <c r="L81" i="23"/>
  <c r="M81" i="23" s="1"/>
  <c r="L82" i="23"/>
  <c r="M82" i="23" s="1"/>
  <c r="L83" i="23"/>
  <c r="M83" i="23" s="1"/>
  <c r="L84" i="23"/>
  <c r="M84" i="23" s="1"/>
  <c r="L85" i="23"/>
  <c r="M85" i="23" s="1"/>
  <c r="L86" i="23"/>
  <c r="M86" i="23" s="1"/>
  <c r="L87" i="23"/>
  <c r="M87" i="23" s="1"/>
  <c r="L88" i="23"/>
  <c r="M88" i="23" s="1"/>
  <c r="L89" i="23"/>
  <c r="M89" i="23" s="1"/>
  <c r="L90" i="23"/>
  <c r="M90" i="23" s="1"/>
  <c r="L91" i="23"/>
  <c r="M91" i="23" s="1"/>
  <c r="L92" i="23"/>
  <c r="M92" i="23" s="1"/>
  <c r="L93" i="23"/>
  <c r="M93" i="23" s="1"/>
  <c r="L94" i="23"/>
  <c r="M94" i="23" s="1"/>
  <c r="L95" i="23"/>
  <c r="M95" i="23" s="1"/>
  <c r="L96" i="23"/>
  <c r="M96" i="23" s="1"/>
  <c r="L97" i="23"/>
  <c r="M97" i="23" s="1"/>
  <c r="L98" i="23"/>
  <c r="M98" i="23" s="1"/>
  <c r="L99" i="23"/>
  <c r="M99" i="23" s="1"/>
  <c r="L100" i="23"/>
  <c r="M100" i="23" s="1"/>
  <c r="L101" i="23"/>
  <c r="M101" i="23" s="1"/>
  <c r="L102" i="23"/>
  <c r="M102" i="23" s="1"/>
  <c r="L103" i="23"/>
  <c r="M103" i="23" s="1"/>
  <c r="L104" i="23"/>
  <c r="M104" i="23" s="1"/>
  <c r="L105" i="23"/>
  <c r="M105" i="23" s="1"/>
  <c r="L106" i="23"/>
  <c r="M106" i="23" s="1"/>
  <c r="L107" i="23"/>
  <c r="M107" i="23" s="1"/>
  <c r="L108" i="23"/>
  <c r="M108" i="23" s="1"/>
  <c r="L109" i="23"/>
  <c r="M109" i="23" s="1"/>
  <c r="L110" i="23"/>
  <c r="M110" i="23" s="1"/>
  <c r="L111" i="23"/>
  <c r="M111" i="23" s="1"/>
  <c r="L112" i="23"/>
  <c r="M112" i="23" s="1"/>
  <c r="L113" i="23"/>
  <c r="M113" i="23" s="1"/>
  <c r="L114" i="23"/>
  <c r="M114" i="23" s="1"/>
  <c r="L115" i="23"/>
  <c r="M115" i="23" s="1"/>
  <c r="L116" i="23"/>
  <c r="M116" i="23" s="1"/>
  <c r="L117" i="23"/>
  <c r="M117" i="23" s="1"/>
  <c r="L118" i="23"/>
  <c r="M118" i="23" s="1"/>
  <c r="L119" i="23"/>
  <c r="M119" i="23" s="1"/>
  <c r="L120" i="23"/>
  <c r="M120" i="23" s="1"/>
  <c r="L121" i="23"/>
  <c r="M121" i="23" s="1"/>
  <c r="L122" i="23"/>
  <c r="M122" i="23" s="1"/>
  <c r="L123" i="23"/>
  <c r="M123" i="23" s="1"/>
  <c r="L124" i="23"/>
  <c r="M124" i="23" s="1"/>
  <c r="L125" i="23"/>
  <c r="M125" i="23" s="1"/>
  <c r="L126" i="23"/>
  <c r="M126" i="23" s="1"/>
  <c r="L127" i="23"/>
  <c r="M127" i="23" s="1"/>
  <c r="L128" i="23"/>
  <c r="M128" i="23" s="1"/>
  <c r="L129" i="23"/>
  <c r="M129" i="23" s="1"/>
  <c r="L130" i="23"/>
  <c r="M130" i="23" s="1"/>
  <c r="L131" i="23"/>
  <c r="M131" i="23" s="1"/>
  <c r="L132" i="23"/>
  <c r="M132" i="23" s="1"/>
  <c r="L133" i="23"/>
  <c r="M133" i="23" s="1"/>
  <c r="L134" i="23"/>
  <c r="M134" i="23" s="1"/>
  <c r="L135" i="23"/>
  <c r="M135" i="23" s="1"/>
  <c r="L136" i="23"/>
  <c r="M136" i="23" s="1"/>
  <c r="L137" i="23"/>
  <c r="M137" i="23" s="1"/>
  <c r="L138" i="23"/>
  <c r="M138" i="23" s="1"/>
  <c r="L139" i="23"/>
  <c r="M139" i="23" s="1"/>
  <c r="L140" i="23"/>
  <c r="M140" i="23" s="1"/>
  <c r="L141" i="23"/>
  <c r="M141" i="23" s="1"/>
  <c r="L142" i="23"/>
  <c r="M142" i="23" s="1"/>
  <c r="L143" i="23"/>
  <c r="M143" i="23" s="1"/>
  <c r="L144" i="23"/>
  <c r="M144" i="23" s="1"/>
  <c r="L145" i="23"/>
  <c r="M145" i="23" s="1"/>
  <c r="L146" i="23"/>
  <c r="M146" i="23" s="1"/>
  <c r="L147" i="23"/>
  <c r="M147" i="23" s="1"/>
  <c r="L148" i="23"/>
  <c r="M148" i="23" s="1"/>
  <c r="L149" i="23"/>
  <c r="M149" i="23" s="1"/>
  <c r="L150" i="23"/>
  <c r="M150" i="23" s="1"/>
  <c r="L151" i="23"/>
  <c r="M151" i="23" s="1"/>
  <c r="L152" i="23"/>
  <c r="M152" i="23" s="1"/>
  <c r="L153" i="23"/>
  <c r="M153" i="23" s="1"/>
  <c r="L154" i="23"/>
  <c r="M154" i="23" s="1"/>
  <c r="L155" i="23"/>
  <c r="M155" i="23" s="1"/>
  <c r="L156" i="23"/>
  <c r="M156" i="23" s="1"/>
  <c r="L157" i="23"/>
  <c r="M157" i="23" s="1"/>
  <c r="L158" i="23"/>
  <c r="M158" i="23" s="1"/>
  <c r="L159" i="23"/>
  <c r="M159" i="23" s="1"/>
  <c r="L160" i="23"/>
  <c r="M160" i="23" s="1"/>
  <c r="L161" i="23"/>
  <c r="M161" i="23" s="1"/>
  <c r="L162" i="23"/>
  <c r="M162" i="23" s="1"/>
  <c r="L163" i="23"/>
  <c r="M163" i="23" s="1"/>
  <c r="L164" i="23"/>
  <c r="M164" i="23" s="1"/>
  <c r="L165" i="23"/>
  <c r="M165" i="23" s="1"/>
  <c r="L166" i="23"/>
  <c r="M166" i="23" s="1"/>
  <c r="L167" i="23"/>
  <c r="M167" i="23" s="1"/>
  <c r="L168" i="23"/>
  <c r="M168" i="23" s="1"/>
  <c r="L169" i="23"/>
  <c r="M169" i="23" s="1"/>
  <c r="L170" i="23"/>
  <c r="M170" i="23" s="1"/>
  <c r="L171" i="23"/>
  <c r="M171" i="23" s="1"/>
  <c r="L172" i="23"/>
  <c r="M172" i="23" s="1"/>
  <c r="L173" i="23"/>
  <c r="M173" i="23" s="1"/>
  <c r="L174" i="23"/>
  <c r="M174" i="23" s="1"/>
  <c r="L175" i="23"/>
  <c r="M175" i="23" s="1"/>
  <c r="L176" i="23"/>
  <c r="M176" i="23" s="1"/>
  <c r="L177" i="23"/>
  <c r="M177" i="23" s="1"/>
  <c r="L178" i="23"/>
  <c r="M178" i="23" s="1"/>
  <c r="L179" i="23"/>
  <c r="M179" i="23" s="1"/>
  <c r="L180" i="23"/>
  <c r="M180" i="23" s="1"/>
  <c r="L181" i="23"/>
  <c r="M181" i="23" s="1"/>
  <c r="L182" i="23"/>
  <c r="M182" i="23" s="1"/>
  <c r="L183" i="23"/>
  <c r="M183" i="23" s="1"/>
  <c r="L184" i="23"/>
  <c r="M184" i="23" s="1"/>
  <c r="L185" i="23"/>
  <c r="M185" i="23" s="1"/>
  <c r="L186" i="23"/>
  <c r="M186" i="23" s="1"/>
  <c r="L187" i="23"/>
  <c r="M187" i="23" s="1"/>
  <c r="L188" i="23"/>
  <c r="M188" i="23" s="1"/>
  <c r="L189" i="23"/>
  <c r="M189" i="23" s="1"/>
  <c r="L190" i="23"/>
  <c r="M190" i="23" s="1"/>
  <c r="L191" i="23"/>
  <c r="M191" i="23" s="1"/>
  <c r="L192" i="23"/>
  <c r="M192" i="23" s="1"/>
  <c r="L193" i="23"/>
  <c r="M193" i="23" s="1"/>
  <c r="L194" i="23"/>
  <c r="M194" i="23" s="1"/>
  <c r="L195" i="23"/>
  <c r="M195" i="23" s="1"/>
  <c r="L196" i="23"/>
  <c r="M196" i="23" s="1"/>
  <c r="L197" i="23"/>
  <c r="M197" i="23" s="1"/>
  <c r="L198" i="23"/>
  <c r="M198" i="23" s="1"/>
  <c r="L199" i="23"/>
  <c r="M199" i="23" s="1"/>
  <c r="L200" i="23"/>
  <c r="M200" i="23" s="1"/>
  <c r="L201" i="23"/>
  <c r="M201" i="23" s="1"/>
  <c r="L202" i="23"/>
  <c r="M202" i="23" s="1"/>
  <c r="L203" i="23"/>
  <c r="M203" i="23" s="1"/>
  <c r="L204" i="23"/>
  <c r="M204" i="23" s="1"/>
  <c r="L205" i="23"/>
  <c r="M205" i="23" s="1"/>
  <c r="L206" i="23"/>
  <c r="M206" i="23" s="1"/>
  <c r="L207" i="23"/>
  <c r="M207" i="23" s="1"/>
  <c r="L208" i="23"/>
  <c r="M208" i="23" s="1"/>
  <c r="L209" i="23"/>
  <c r="M209" i="23" s="1"/>
  <c r="L210" i="23"/>
  <c r="M210" i="23" s="1"/>
  <c r="L211" i="23"/>
  <c r="M211" i="23" s="1"/>
  <c r="L212" i="23"/>
  <c r="M212" i="23" s="1"/>
  <c r="L213" i="23"/>
  <c r="M213" i="23" s="1"/>
  <c r="L214" i="23"/>
  <c r="M214" i="23" s="1"/>
  <c r="L215" i="23"/>
  <c r="M215" i="23" s="1"/>
  <c r="L216" i="23"/>
  <c r="M216" i="23" s="1"/>
  <c r="L217" i="23"/>
  <c r="M217" i="23" s="1"/>
  <c r="L218" i="23"/>
  <c r="M218" i="23" s="1"/>
  <c r="L219" i="23"/>
  <c r="M219" i="23" s="1"/>
  <c r="L220" i="23"/>
  <c r="M220" i="23" s="1"/>
  <c r="L221" i="23"/>
  <c r="M221" i="23" s="1"/>
  <c r="L222" i="23"/>
  <c r="M222" i="23" s="1"/>
  <c r="L223" i="23"/>
  <c r="M223" i="23" s="1"/>
  <c r="L224" i="23"/>
  <c r="M224" i="23" s="1"/>
  <c r="L225" i="23"/>
  <c r="M225" i="23" s="1"/>
  <c r="L226" i="23"/>
  <c r="M226" i="23" s="1"/>
  <c r="L227" i="23"/>
  <c r="M227" i="23" s="1"/>
  <c r="L228" i="23"/>
  <c r="M228" i="23" s="1"/>
  <c r="L229" i="23"/>
  <c r="M229" i="23" s="1"/>
  <c r="L230" i="23"/>
  <c r="M230" i="23" s="1"/>
  <c r="L231" i="23"/>
  <c r="M231" i="23" s="1"/>
  <c r="L232" i="23"/>
  <c r="M232" i="23" s="1"/>
  <c r="L233" i="23"/>
  <c r="M233" i="23" s="1"/>
  <c r="L234" i="23"/>
  <c r="M234" i="23" s="1"/>
  <c r="L235" i="23"/>
  <c r="M235" i="23" s="1"/>
  <c r="L236" i="23"/>
  <c r="M236" i="23" s="1"/>
  <c r="L237" i="23"/>
  <c r="M237" i="23" s="1"/>
  <c r="L238" i="23"/>
  <c r="M238" i="23" s="1"/>
  <c r="L239" i="23"/>
  <c r="M239" i="23" s="1"/>
  <c r="L240" i="23"/>
  <c r="M240" i="23" s="1"/>
  <c r="L241" i="23"/>
  <c r="M241" i="23" s="1"/>
  <c r="L242" i="23"/>
  <c r="M242" i="23" s="1"/>
  <c r="L243" i="23"/>
  <c r="M243" i="23" s="1"/>
  <c r="L244" i="23"/>
  <c r="M244" i="23" s="1"/>
  <c r="L245" i="23"/>
  <c r="M245" i="23" s="1"/>
  <c r="L246" i="23"/>
  <c r="M246" i="23" s="1"/>
  <c r="L247" i="23"/>
  <c r="M247" i="23" s="1"/>
  <c r="L248" i="23"/>
  <c r="M248" i="23" s="1"/>
  <c r="L249" i="23"/>
  <c r="M249" i="23" s="1"/>
  <c r="L250" i="23"/>
  <c r="M250" i="23" s="1"/>
  <c r="L251" i="23"/>
  <c r="M251" i="23" s="1"/>
  <c r="L252" i="23"/>
  <c r="M252" i="23" s="1"/>
  <c r="L253" i="23"/>
  <c r="M253" i="23" s="1"/>
  <c r="L254" i="23"/>
  <c r="M254" i="23" s="1"/>
  <c r="L255" i="23"/>
  <c r="M255" i="23" s="1"/>
  <c r="L256" i="23"/>
  <c r="M256" i="23" s="1"/>
  <c r="L257" i="23"/>
  <c r="M257" i="23" s="1"/>
  <c r="L258" i="23"/>
  <c r="M258" i="23" s="1"/>
  <c r="L259" i="23"/>
  <c r="M259" i="23" s="1"/>
  <c r="L260" i="23"/>
  <c r="M260" i="23" s="1"/>
  <c r="L261" i="23"/>
  <c r="M261" i="23" s="1"/>
  <c r="L262" i="23"/>
  <c r="M262" i="23" s="1"/>
  <c r="L263" i="23"/>
  <c r="M263" i="23" s="1"/>
  <c r="L264" i="23"/>
  <c r="M264" i="23" s="1"/>
  <c r="L265" i="23"/>
  <c r="M265" i="23" s="1"/>
  <c r="L266" i="23"/>
  <c r="M266" i="23" s="1"/>
  <c r="L267" i="23"/>
  <c r="M267" i="23" s="1"/>
  <c r="L268" i="23"/>
  <c r="M268" i="23" s="1"/>
  <c r="L269" i="23"/>
  <c r="M269" i="23" s="1"/>
  <c r="L270" i="23"/>
  <c r="M270" i="23" s="1"/>
  <c r="L271" i="23"/>
  <c r="M271" i="23" s="1"/>
  <c r="L272" i="23"/>
  <c r="M272" i="23" s="1"/>
  <c r="L273" i="23"/>
  <c r="M273" i="23" s="1"/>
  <c r="L274" i="23"/>
  <c r="M274" i="23" s="1"/>
  <c r="L275" i="23"/>
  <c r="M275" i="23" s="1"/>
  <c r="L276" i="23"/>
  <c r="M276" i="23" s="1"/>
  <c r="L277" i="23"/>
  <c r="M277" i="23" s="1"/>
  <c r="L278" i="23"/>
  <c r="M278" i="23" s="1"/>
  <c r="L279" i="23"/>
  <c r="M279" i="23" s="1"/>
  <c r="L280" i="23"/>
  <c r="M280" i="23" s="1"/>
  <c r="L281" i="23"/>
  <c r="M281" i="23" s="1"/>
  <c r="L282" i="23"/>
  <c r="M282" i="23" s="1"/>
  <c r="L283" i="23"/>
  <c r="M283" i="23" s="1"/>
  <c r="L284" i="23"/>
  <c r="M284" i="23" s="1"/>
  <c r="L285" i="23"/>
  <c r="M285" i="23" s="1"/>
  <c r="L286" i="23"/>
  <c r="M286" i="23" s="1"/>
  <c r="L287" i="23"/>
  <c r="M287" i="23" s="1"/>
  <c r="L288" i="23"/>
  <c r="M288" i="23" s="1"/>
  <c r="L289" i="23"/>
  <c r="M289" i="23" s="1"/>
  <c r="L290" i="23"/>
  <c r="M290" i="23" s="1"/>
  <c r="L291" i="23"/>
  <c r="M291" i="23" s="1"/>
  <c r="L292" i="23"/>
  <c r="M292" i="23" s="1"/>
  <c r="L293" i="23"/>
  <c r="M293" i="23" s="1"/>
  <c r="L294" i="23"/>
  <c r="M294" i="23" s="1"/>
  <c r="L295" i="23"/>
  <c r="M295" i="23" s="1"/>
  <c r="L296" i="23"/>
  <c r="M296" i="23" s="1"/>
  <c r="L297" i="23"/>
  <c r="M297" i="23" s="1"/>
  <c r="L298" i="23"/>
  <c r="M298" i="23" s="1"/>
  <c r="L299" i="23"/>
  <c r="M299" i="23" s="1"/>
  <c r="L300" i="23"/>
  <c r="M300" i="23" s="1"/>
  <c r="L301" i="23"/>
  <c r="M301" i="23" s="1"/>
  <c r="L302" i="23"/>
  <c r="M302" i="23" s="1"/>
  <c r="L303" i="23"/>
  <c r="M303" i="23" s="1"/>
  <c r="L304" i="23"/>
  <c r="M304" i="23" s="1"/>
  <c r="L305" i="23"/>
  <c r="M305" i="23" s="1"/>
  <c r="L306" i="23"/>
  <c r="M306" i="23" s="1"/>
  <c r="L307" i="23"/>
  <c r="M307" i="23" s="1"/>
  <c r="L308" i="23"/>
  <c r="M308" i="23" s="1"/>
  <c r="L309" i="23"/>
  <c r="M309" i="23" s="1"/>
  <c r="L310" i="23"/>
  <c r="M310" i="23" s="1"/>
  <c r="L311" i="23"/>
  <c r="M311" i="23" s="1"/>
  <c r="L312" i="23"/>
  <c r="M312" i="23" s="1"/>
  <c r="L313" i="23"/>
  <c r="M313" i="23" s="1"/>
  <c r="L314" i="23"/>
  <c r="M314" i="23" s="1"/>
  <c r="L315" i="23"/>
  <c r="M315" i="23" s="1"/>
  <c r="L316" i="23"/>
  <c r="M316" i="23" s="1"/>
  <c r="L317" i="23"/>
  <c r="M317" i="23" s="1"/>
  <c r="L318" i="23"/>
  <c r="M318" i="23" s="1"/>
  <c r="L319" i="23"/>
  <c r="M319" i="23" s="1"/>
  <c r="L320" i="23"/>
  <c r="M320" i="23" s="1"/>
  <c r="L321" i="23"/>
  <c r="M321" i="23" s="1"/>
  <c r="L322" i="23"/>
  <c r="M322" i="23" s="1"/>
  <c r="L323" i="23"/>
  <c r="M323" i="23" s="1"/>
  <c r="L324" i="23"/>
  <c r="M324" i="23" s="1"/>
  <c r="L325" i="23"/>
  <c r="M325" i="23" s="1"/>
  <c r="L326" i="23"/>
  <c r="M326" i="23" s="1"/>
  <c r="L327" i="23"/>
  <c r="M327" i="23" s="1"/>
  <c r="L328" i="23"/>
  <c r="M328" i="23" s="1"/>
  <c r="L329" i="23"/>
  <c r="M329" i="23" s="1"/>
  <c r="L330" i="23"/>
  <c r="M330" i="23" s="1"/>
  <c r="L331" i="23"/>
  <c r="M331" i="23" s="1"/>
  <c r="L332" i="23"/>
  <c r="M332" i="23" s="1"/>
  <c r="L333" i="23"/>
  <c r="M333" i="23" s="1"/>
  <c r="L334" i="23"/>
  <c r="M334" i="23" s="1"/>
  <c r="L335" i="23"/>
  <c r="M335" i="23" s="1"/>
  <c r="L336" i="23"/>
  <c r="M336" i="23" s="1"/>
  <c r="L337" i="23"/>
  <c r="M337" i="23" s="1"/>
  <c r="L338" i="23"/>
  <c r="M338" i="23" s="1"/>
  <c r="L339" i="23"/>
  <c r="M339" i="23" s="1"/>
  <c r="L340" i="23"/>
  <c r="M340" i="23" s="1"/>
  <c r="L341" i="23"/>
  <c r="M341" i="23" s="1"/>
  <c r="L342" i="23"/>
  <c r="M342" i="23" s="1"/>
  <c r="L343" i="23"/>
  <c r="M343" i="23" s="1"/>
  <c r="L344" i="23"/>
  <c r="M344" i="23" s="1"/>
  <c r="L345" i="23"/>
  <c r="M345" i="23" s="1"/>
  <c r="L346" i="23"/>
  <c r="M346" i="23" s="1"/>
  <c r="L347" i="23"/>
  <c r="M347" i="23" s="1"/>
  <c r="L348" i="23"/>
  <c r="M348" i="23" s="1"/>
  <c r="L349" i="23"/>
  <c r="M349" i="23" s="1"/>
  <c r="L350" i="23"/>
  <c r="M350" i="23" s="1"/>
  <c r="L351" i="23"/>
  <c r="M351" i="23" s="1"/>
  <c r="L352" i="23"/>
  <c r="M352" i="23" s="1"/>
  <c r="L353" i="23"/>
  <c r="M353" i="23" s="1"/>
  <c r="L354" i="23"/>
  <c r="M354" i="23" s="1"/>
  <c r="L355" i="23"/>
  <c r="M355" i="23" s="1"/>
  <c r="L356" i="23"/>
  <c r="M356" i="23" s="1"/>
  <c r="L357" i="23"/>
  <c r="M357" i="23" s="1"/>
  <c r="L358" i="23"/>
  <c r="M358" i="23" s="1"/>
  <c r="L359" i="23"/>
  <c r="M359" i="23" s="1"/>
  <c r="L360" i="23"/>
  <c r="M360" i="23" s="1"/>
  <c r="L361" i="23"/>
  <c r="M361" i="23" s="1"/>
  <c r="L362" i="23"/>
  <c r="M362" i="23" s="1"/>
  <c r="L363" i="23"/>
  <c r="M363" i="23" s="1"/>
  <c r="L364" i="23"/>
  <c r="M364" i="23" s="1"/>
  <c r="L365" i="23"/>
  <c r="M365" i="23" s="1"/>
  <c r="L366" i="23"/>
  <c r="M366" i="23" s="1"/>
  <c r="L367" i="23"/>
  <c r="M367" i="23" s="1"/>
  <c r="L368" i="23"/>
  <c r="M368" i="23" s="1"/>
  <c r="L369" i="23"/>
  <c r="M369" i="23" s="1"/>
  <c r="L370" i="23"/>
  <c r="M370" i="23" s="1"/>
  <c r="L371" i="23"/>
  <c r="M371" i="23" s="1"/>
  <c r="L372" i="23"/>
  <c r="M372" i="23" s="1"/>
  <c r="L373" i="23"/>
  <c r="M373" i="23" s="1"/>
  <c r="L374" i="23"/>
  <c r="M374" i="23" s="1"/>
  <c r="L375" i="23"/>
  <c r="M375" i="23" s="1"/>
  <c r="L376" i="23"/>
  <c r="M376" i="23" s="1"/>
  <c r="L377" i="23"/>
  <c r="M377" i="23" s="1"/>
  <c r="L378" i="23"/>
  <c r="M378" i="23" s="1"/>
  <c r="L379" i="23"/>
  <c r="M379" i="23" s="1"/>
  <c r="L380" i="23"/>
  <c r="M380" i="23" s="1"/>
  <c r="L381" i="23"/>
  <c r="M381" i="23" s="1"/>
  <c r="L382" i="23"/>
  <c r="M382" i="23" s="1"/>
  <c r="L383" i="23"/>
  <c r="M383" i="23" s="1"/>
  <c r="L384" i="23"/>
  <c r="M384" i="23" s="1"/>
  <c r="L385" i="23"/>
  <c r="M385" i="23" s="1"/>
  <c r="L386" i="23"/>
  <c r="M386" i="23" s="1"/>
  <c r="L387" i="23"/>
  <c r="M387" i="23" s="1"/>
  <c r="L388" i="23"/>
  <c r="M388" i="23" s="1"/>
  <c r="L389" i="23"/>
  <c r="M389" i="23" s="1"/>
  <c r="L390" i="23"/>
  <c r="M390" i="23" s="1"/>
  <c r="L391" i="23"/>
  <c r="M391" i="23" s="1"/>
  <c r="L392" i="23"/>
  <c r="M392" i="23" s="1"/>
  <c r="L393" i="23"/>
  <c r="M393" i="23" s="1"/>
  <c r="L394" i="23"/>
  <c r="M394" i="23" s="1"/>
  <c r="L395" i="23"/>
  <c r="M395" i="23" s="1"/>
  <c r="L396" i="23"/>
  <c r="M396" i="23" s="1"/>
  <c r="L397" i="23"/>
  <c r="M397" i="23" s="1"/>
  <c r="L398" i="23"/>
  <c r="M398" i="23" s="1"/>
  <c r="L399" i="23"/>
  <c r="M399" i="23" s="1"/>
  <c r="L400" i="23"/>
  <c r="M400" i="23" s="1"/>
  <c r="L401" i="23"/>
  <c r="M401" i="23" s="1"/>
  <c r="L402" i="23"/>
  <c r="M402" i="23" s="1"/>
  <c r="L403" i="23"/>
  <c r="M403" i="23" s="1"/>
  <c r="L404" i="23"/>
  <c r="M404" i="23" s="1"/>
  <c r="L405" i="23"/>
  <c r="M405" i="23" s="1"/>
  <c r="L406" i="23"/>
  <c r="M406" i="23" s="1"/>
  <c r="L407" i="23"/>
  <c r="M407" i="23" s="1"/>
  <c r="L408" i="23"/>
  <c r="M408" i="23" s="1"/>
  <c r="L409" i="23"/>
  <c r="M409" i="23" s="1"/>
  <c r="L410" i="23"/>
  <c r="M410" i="23" s="1"/>
  <c r="L411" i="23"/>
  <c r="M411" i="23" s="1"/>
  <c r="L412" i="23"/>
  <c r="M412" i="23" s="1"/>
  <c r="L413" i="23"/>
  <c r="M413" i="23" s="1"/>
  <c r="L414" i="23"/>
  <c r="M414" i="23" s="1"/>
  <c r="L415" i="23"/>
  <c r="M415" i="23" s="1"/>
  <c r="L416" i="23"/>
  <c r="M416" i="23" s="1"/>
  <c r="L417" i="23"/>
  <c r="M417" i="23" s="1"/>
  <c r="L418" i="23"/>
  <c r="M418" i="23" s="1"/>
  <c r="L419" i="23"/>
  <c r="M419" i="23" s="1"/>
  <c r="L420" i="23"/>
  <c r="M420" i="23" s="1"/>
  <c r="L421" i="23"/>
  <c r="M421" i="23" s="1"/>
  <c r="L422" i="23"/>
  <c r="M422" i="23" s="1"/>
  <c r="L423" i="23"/>
  <c r="M423" i="23" s="1"/>
  <c r="L424" i="23"/>
  <c r="M424" i="23" s="1"/>
  <c r="L425" i="23"/>
  <c r="M425" i="23" s="1"/>
  <c r="L426" i="23"/>
  <c r="M426" i="23" s="1"/>
  <c r="L427" i="23"/>
  <c r="M427" i="23" s="1"/>
  <c r="L428" i="23"/>
  <c r="M428" i="23" s="1"/>
  <c r="L429" i="23"/>
  <c r="M429" i="23" s="1"/>
  <c r="L430" i="23"/>
  <c r="M430" i="23" s="1"/>
  <c r="L431" i="23"/>
  <c r="M431" i="23" s="1"/>
  <c r="L432" i="23"/>
  <c r="M432" i="23" s="1"/>
  <c r="L433" i="23"/>
  <c r="M433" i="23" s="1"/>
  <c r="L434" i="23"/>
  <c r="M434" i="23" s="1"/>
  <c r="L435" i="23"/>
  <c r="M435" i="23" s="1"/>
  <c r="L436" i="23"/>
  <c r="M436" i="23" s="1"/>
  <c r="L437" i="23"/>
  <c r="M437" i="23" s="1"/>
  <c r="L438" i="23"/>
  <c r="M438" i="23" s="1"/>
  <c r="L439" i="23"/>
  <c r="M439" i="23" s="1"/>
  <c r="L440" i="23"/>
  <c r="M440" i="23" s="1"/>
  <c r="L441" i="23"/>
  <c r="M441" i="23" s="1"/>
  <c r="L442" i="23"/>
  <c r="M442" i="23" s="1"/>
  <c r="L443" i="23"/>
  <c r="M443" i="23" s="1"/>
  <c r="L444" i="23"/>
  <c r="M444" i="23" s="1"/>
  <c r="L445" i="23"/>
  <c r="M445" i="23" s="1"/>
  <c r="L446" i="23"/>
  <c r="M446" i="23" s="1"/>
  <c r="L447" i="23"/>
  <c r="M447" i="23" s="1"/>
  <c r="L448" i="23"/>
  <c r="M448" i="23" s="1"/>
  <c r="L449" i="23"/>
  <c r="M449" i="23" s="1"/>
  <c r="L450" i="23"/>
  <c r="M450" i="23" s="1"/>
  <c r="L451" i="23"/>
  <c r="M451" i="23" s="1"/>
  <c r="L452" i="23"/>
  <c r="M452" i="23" s="1"/>
  <c r="L453" i="23"/>
  <c r="M453" i="23" s="1"/>
  <c r="L454" i="23"/>
  <c r="M454" i="23" s="1"/>
  <c r="L455" i="23"/>
  <c r="M455" i="23" s="1"/>
  <c r="L456" i="23"/>
  <c r="M456" i="23" s="1"/>
  <c r="L457" i="23"/>
  <c r="M457" i="23" s="1"/>
  <c r="L458" i="23"/>
  <c r="M458" i="23" s="1"/>
  <c r="L459" i="23"/>
  <c r="M459" i="23" s="1"/>
  <c r="L460" i="23"/>
  <c r="M460" i="23" s="1"/>
  <c r="L461" i="23"/>
  <c r="M461" i="23" s="1"/>
  <c r="L462" i="23"/>
  <c r="M462" i="23" s="1"/>
  <c r="L463" i="23"/>
  <c r="M463" i="23" s="1"/>
  <c r="L464" i="23"/>
  <c r="M464" i="23" s="1"/>
  <c r="L465" i="23"/>
  <c r="M465" i="23" s="1"/>
  <c r="L466" i="23"/>
  <c r="M466" i="23" s="1"/>
  <c r="L467" i="23"/>
  <c r="M467" i="23" s="1"/>
  <c r="L468" i="23"/>
  <c r="M468" i="23" s="1"/>
  <c r="L469" i="23"/>
  <c r="M469" i="23" s="1"/>
  <c r="L470" i="23"/>
  <c r="M470" i="23" s="1"/>
  <c r="L471" i="23"/>
  <c r="M471" i="23" s="1"/>
  <c r="L472" i="23"/>
  <c r="M472" i="23" s="1"/>
  <c r="L473" i="23"/>
  <c r="M473" i="23" s="1"/>
  <c r="L474" i="23"/>
  <c r="M474" i="23" s="1"/>
  <c r="L475" i="23"/>
  <c r="M475" i="23" s="1"/>
  <c r="L476" i="23"/>
  <c r="M476" i="23" s="1"/>
  <c r="L477" i="23"/>
  <c r="M477" i="23" s="1"/>
  <c r="L478" i="23"/>
  <c r="M478" i="23" s="1"/>
  <c r="L479" i="23"/>
  <c r="M479" i="23" s="1"/>
  <c r="L480" i="23"/>
  <c r="M480" i="23" s="1"/>
  <c r="L481" i="23"/>
  <c r="M481" i="23" s="1"/>
  <c r="L482" i="23"/>
  <c r="M482" i="23" s="1"/>
  <c r="L483" i="23"/>
  <c r="M483" i="23" s="1"/>
  <c r="L484" i="23"/>
  <c r="M484" i="23" s="1"/>
  <c r="L485" i="23"/>
  <c r="M485" i="23" s="1"/>
  <c r="L486" i="23"/>
  <c r="M486" i="23" s="1"/>
  <c r="L487" i="23"/>
  <c r="M487" i="23" s="1"/>
  <c r="L488" i="23"/>
  <c r="M488" i="23" s="1"/>
  <c r="L489" i="23"/>
  <c r="M489" i="23" s="1"/>
  <c r="L490" i="23"/>
  <c r="M490" i="23" s="1"/>
  <c r="L491" i="23"/>
  <c r="M491" i="23" s="1"/>
  <c r="L492" i="23"/>
  <c r="M492" i="23" s="1"/>
  <c r="L493" i="23"/>
  <c r="M493" i="23" s="1"/>
  <c r="L494" i="23"/>
  <c r="M494" i="23" s="1"/>
  <c r="L495" i="23"/>
  <c r="M495" i="23" s="1"/>
  <c r="L496" i="23"/>
  <c r="M496" i="23" s="1"/>
  <c r="L497" i="23"/>
  <c r="M497" i="23" s="1"/>
  <c r="L498" i="23"/>
  <c r="M498" i="23" s="1"/>
  <c r="L499" i="23"/>
  <c r="M499" i="23" s="1"/>
  <c r="L500" i="23"/>
  <c r="M500" i="23" s="1"/>
  <c r="L501" i="23"/>
  <c r="M501" i="23" s="1"/>
  <c r="L502" i="23"/>
  <c r="M502" i="23" s="1"/>
  <c r="L503" i="23"/>
  <c r="M503" i="23" s="1"/>
  <c r="L504" i="23"/>
  <c r="M504" i="23" s="1"/>
  <c r="L505" i="23"/>
  <c r="M505" i="23" s="1"/>
  <c r="L506" i="23"/>
  <c r="M506" i="23" s="1"/>
  <c r="L507" i="23"/>
  <c r="M507" i="23" s="1"/>
  <c r="L508" i="23"/>
  <c r="M508" i="23" s="1"/>
  <c r="L509" i="23"/>
  <c r="M509" i="23" s="1"/>
  <c r="L510" i="23"/>
  <c r="M510" i="23" s="1"/>
  <c r="L511" i="23"/>
  <c r="M511" i="23" s="1"/>
  <c r="L512" i="23"/>
  <c r="M512" i="23" s="1"/>
  <c r="L513" i="23"/>
  <c r="M513" i="23" s="1"/>
  <c r="L514" i="23"/>
  <c r="M514" i="23" s="1"/>
  <c r="L515" i="23"/>
  <c r="M515" i="23" s="1"/>
  <c r="L516" i="23"/>
  <c r="M516" i="23" s="1"/>
  <c r="L517" i="23"/>
  <c r="M517" i="23" s="1"/>
  <c r="L518" i="23"/>
  <c r="M518" i="23" s="1"/>
  <c r="L519" i="23"/>
  <c r="M519" i="23" s="1"/>
  <c r="L520" i="23"/>
  <c r="M520" i="23" s="1"/>
  <c r="L521" i="23"/>
  <c r="M521" i="23" s="1"/>
  <c r="L522" i="23"/>
  <c r="M522" i="23" s="1"/>
  <c r="L523" i="23"/>
  <c r="M523" i="23" s="1"/>
  <c r="L524" i="23"/>
  <c r="M524" i="23" s="1"/>
  <c r="L525" i="23"/>
  <c r="M525" i="23" s="1"/>
  <c r="L526" i="23"/>
  <c r="M526" i="23" s="1"/>
  <c r="L527" i="23"/>
  <c r="M527" i="23" s="1"/>
  <c r="L528" i="23"/>
  <c r="M528" i="23" s="1"/>
  <c r="L529" i="23"/>
  <c r="M529" i="23" s="1"/>
  <c r="L530" i="23"/>
  <c r="M530" i="23" s="1"/>
  <c r="L531" i="23"/>
  <c r="M531" i="23" s="1"/>
  <c r="L532" i="23"/>
  <c r="M532" i="23" s="1"/>
  <c r="L533" i="23"/>
  <c r="M533" i="23" s="1"/>
  <c r="L534" i="23"/>
  <c r="M534" i="23" s="1"/>
  <c r="L535" i="23"/>
  <c r="M535" i="23" s="1"/>
  <c r="L536" i="23"/>
  <c r="M536" i="23" s="1"/>
  <c r="L537" i="23"/>
  <c r="M537" i="23" s="1"/>
  <c r="L538" i="23"/>
  <c r="M538" i="23" s="1"/>
  <c r="L539" i="23"/>
  <c r="M539" i="23" s="1"/>
  <c r="L540" i="23"/>
  <c r="M540" i="23" s="1"/>
  <c r="L541" i="23"/>
  <c r="M541" i="23" s="1"/>
  <c r="L542" i="23"/>
  <c r="M542" i="23" s="1"/>
  <c r="L543" i="23"/>
  <c r="M543" i="23" s="1"/>
  <c r="L544" i="23"/>
  <c r="M544" i="23" s="1"/>
  <c r="L545" i="23"/>
  <c r="M545" i="23" s="1"/>
  <c r="L546" i="23"/>
  <c r="M546" i="23" s="1"/>
  <c r="L547" i="23"/>
  <c r="M547" i="23" s="1"/>
  <c r="L548" i="23"/>
  <c r="M548" i="23" s="1"/>
  <c r="L549" i="23"/>
  <c r="M549" i="23" s="1"/>
  <c r="L550" i="23"/>
  <c r="M550" i="23" s="1"/>
  <c r="L551" i="23"/>
  <c r="M551" i="23" s="1"/>
  <c r="L552" i="23"/>
  <c r="M552" i="23" s="1"/>
  <c r="L553" i="23"/>
  <c r="M553" i="23" s="1"/>
  <c r="L554" i="23"/>
  <c r="M554" i="23" s="1"/>
  <c r="L555" i="23"/>
  <c r="M555" i="23" s="1"/>
  <c r="L556" i="23"/>
  <c r="M556" i="23" s="1"/>
  <c r="L557" i="23"/>
  <c r="M557" i="23" s="1"/>
  <c r="L558" i="23"/>
  <c r="M558" i="23" s="1"/>
  <c r="L559" i="23"/>
  <c r="M559" i="23" s="1"/>
  <c r="L560" i="23"/>
  <c r="M560" i="23" s="1"/>
  <c r="L561" i="23"/>
  <c r="M561" i="23" s="1"/>
  <c r="L562" i="23"/>
  <c r="M562" i="23" s="1"/>
  <c r="L563" i="23"/>
  <c r="M563" i="23" s="1"/>
  <c r="L564" i="23"/>
  <c r="M564" i="23" s="1"/>
  <c r="L565" i="23"/>
  <c r="M565" i="23" s="1"/>
  <c r="L566" i="23"/>
  <c r="M566" i="23" s="1"/>
  <c r="L567" i="23"/>
  <c r="M567" i="23" s="1"/>
  <c r="L568" i="23"/>
  <c r="M568" i="23" s="1"/>
  <c r="L569" i="23"/>
  <c r="M569" i="23" s="1"/>
  <c r="L570" i="23"/>
  <c r="M570" i="23" s="1"/>
  <c r="L571" i="23"/>
  <c r="M571" i="23" s="1"/>
  <c r="L572" i="23"/>
  <c r="M572" i="23" s="1"/>
  <c r="L573" i="23"/>
  <c r="M573" i="23" s="1"/>
  <c r="L574" i="23"/>
  <c r="M574" i="23" s="1"/>
  <c r="L575" i="23"/>
  <c r="M575" i="23" s="1"/>
  <c r="L576" i="23"/>
  <c r="M576" i="23" s="1"/>
  <c r="L577" i="23"/>
  <c r="M577" i="23" s="1"/>
  <c r="L578" i="23"/>
  <c r="M578" i="23" s="1"/>
  <c r="L579" i="23"/>
  <c r="M579" i="23" s="1"/>
  <c r="L580" i="23"/>
  <c r="M580" i="23" s="1"/>
  <c r="L581" i="23"/>
  <c r="M581" i="23" s="1"/>
  <c r="L582" i="23"/>
  <c r="M582" i="23" s="1"/>
  <c r="L583" i="23"/>
  <c r="M583" i="23" s="1"/>
  <c r="L584" i="23"/>
  <c r="M584" i="23" s="1"/>
  <c r="L585" i="23"/>
  <c r="M585" i="23" s="1"/>
  <c r="L586" i="23"/>
  <c r="M586" i="23" s="1"/>
  <c r="L587" i="23"/>
  <c r="M587" i="23" s="1"/>
  <c r="L588" i="23"/>
  <c r="M588" i="23" s="1"/>
  <c r="L589" i="23"/>
  <c r="M589" i="23" s="1"/>
  <c r="L590" i="23"/>
  <c r="M590" i="23" s="1"/>
  <c r="L591" i="23"/>
  <c r="M591" i="23" s="1"/>
  <c r="L592" i="23"/>
  <c r="M592" i="23" s="1"/>
  <c r="L593" i="23"/>
  <c r="M593" i="23" s="1"/>
  <c r="L594" i="23"/>
  <c r="M594" i="23" s="1"/>
  <c r="L595" i="23"/>
  <c r="M595" i="23" s="1"/>
  <c r="L596" i="23"/>
  <c r="M596" i="23" s="1"/>
  <c r="L597" i="23"/>
  <c r="M597" i="23" s="1"/>
  <c r="L598" i="23"/>
  <c r="M598" i="23" s="1"/>
  <c r="L599" i="23"/>
  <c r="M599" i="23" s="1"/>
  <c r="L600" i="23"/>
  <c r="M600" i="23" s="1"/>
  <c r="L601" i="23"/>
  <c r="M601" i="23" s="1"/>
  <c r="L602" i="23"/>
  <c r="M602" i="23" s="1"/>
  <c r="L603" i="23"/>
  <c r="M603" i="23" s="1"/>
  <c r="L604" i="23"/>
  <c r="M604" i="23" s="1"/>
  <c r="L605" i="23"/>
  <c r="M605" i="23" s="1"/>
  <c r="L606" i="23"/>
  <c r="M606" i="23" s="1"/>
  <c r="L607" i="23"/>
  <c r="M607" i="23" s="1"/>
  <c r="L608" i="23"/>
  <c r="M608" i="23" s="1"/>
  <c r="L609" i="23"/>
  <c r="M609" i="23" s="1"/>
  <c r="L610" i="23"/>
  <c r="M610" i="23" s="1"/>
  <c r="L611" i="23"/>
  <c r="M611" i="23" s="1"/>
  <c r="L612" i="23"/>
  <c r="M612" i="23" s="1"/>
  <c r="L613" i="23"/>
  <c r="M613" i="23" s="1"/>
  <c r="L614" i="23"/>
  <c r="M614" i="23" s="1"/>
  <c r="L615" i="23"/>
  <c r="M615" i="23" s="1"/>
  <c r="L616" i="23"/>
  <c r="M616" i="23" s="1"/>
  <c r="L617" i="23"/>
  <c r="M617" i="23" s="1"/>
  <c r="L618" i="23"/>
  <c r="M618" i="23" s="1"/>
  <c r="L619" i="23"/>
  <c r="M619" i="23" s="1"/>
  <c r="L620" i="23"/>
  <c r="M620" i="23" s="1"/>
  <c r="L621" i="23"/>
  <c r="M621" i="23" s="1"/>
  <c r="L622" i="23"/>
  <c r="M622" i="23" s="1"/>
  <c r="L623" i="23"/>
  <c r="M623" i="23" s="1"/>
  <c r="L624" i="23"/>
  <c r="M624" i="23" s="1"/>
  <c r="L625" i="23"/>
  <c r="M625" i="23" s="1"/>
  <c r="L626" i="23"/>
  <c r="M626" i="23" s="1"/>
  <c r="L627" i="23"/>
  <c r="M627" i="23" s="1"/>
  <c r="L628" i="23"/>
  <c r="M628" i="23" s="1"/>
  <c r="L629" i="23"/>
  <c r="M629" i="23" s="1"/>
  <c r="L630" i="23"/>
  <c r="M630" i="23" s="1"/>
  <c r="L631" i="23"/>
  <c r="M631" i="23" s="1"/>
  <c r="L632" i="23"/>
  <c r="M632" i="23" s="1"/>
  <c r="L633" i="23"/>
  <c r="M633" i="23" s="1"/>
  <c r="L634" i="23"/>
  <c r="M634" i="23" s="1"/>
  <c r="L635" i="23"/>
  <c r="M635" i="23" s="1"/>
  <c r="L636" i="23"/>
  <c r="M636" i="23" s="1"/>
  <c r="L637" i="23"/>
  <c r="M637" i="23" s="1"/>
  <c r="L638" i="23"/>
  <c r="M638" i="23" s="1"/>
  <c r="L639" i="23"/>
  <c r="M639" i="23" s="1"/>
  <c r="L640" i="23"/>
  <c r="M640" i="23" s="1"/>
  <c r="L641" i="23"/>
  <c r="M641" i="23" s="1"/>
  <c r="L642" i="23"/>
  <c r="M642" i="23" s="1"/>
  <c r="L643" i="23"/>
  <c r="M643" i="23" s="1"/>
  <c r="L644" i="23"/>
  <c r="M644" i="23" s="1"/>
  <c r="L645" i="23"/>
  <c r="M645" i="23" s="1"/>
  <c r="L646" i="23"/>
  <c r="M646" i="23" s="1"/>
  <c r="L647" i="23"/>
  <c r="M647" i="23" s="1"/>
  <c r="L648" i="23"/>
  <c r="M648" i="23" s="1"/>
  <c r="L649" i="23"/>
  <c r="M649" i="23" s="1"/>
  <c r="L650" i="23"/>
  <c r="M650" i="23" s="1"/>
  <c r="L651" i="23"/>
  <c r="M651" i="23" s="1"/>
  <c r="L652" i="23"/>
  <c r="M652" i="23" s="1"/>
  <c r="L653" i="23"/>
  <c r="M653" i="23" s="1"/>
  <c r="L654" i="23"/>
  <c r="M654" i="23" s="1"/>
  <c r="L655" i="23"/>
  <c r="M655" i="23" s="1"/>
  <c r="L656" i="23"/>
  <c r="M656" i="23" s="1"/>
  <c r="L657" i="23"/>
  <c r="M657" i="23" s="1"/>
  <c r="L658" i="23"/>
  <c r="M658" i="23" s="1"/>
  <c r="L659" i="23"/>
  <c r="M659" i="23" s="1"/>
  <c r="L660" i="23"/>
  <c r="M660" i="23" s="1"/>
  <c r="L661" i="23"/>
  <c r="M661" i="23" s="1"/>
  <c r="L662" i="23"/>
  <c r="M662" i="23" s="1"/>
  <c r="L663" i="23"/>
  <c r="M663" i="23" s="1"/>
  <c r="L664" i="23"/>
  <c r="M664" i="23" s="1"/>
  <c r="L665" i="23"/>
  <c r="M665" i="23" s="1"/>
  <c r="L666" i="23"/>
  <c r="M666" i="23" s="1"/>
  <c r="L667" i="23"/>
  <c r="M667" i="23" s="1"/>
  <c r="L668" i="23"/>
  <c r="M668" i="23" s="1"/>
  <c r="L669" i="23"/>
  <c r="M669" i="23" s="1"/>
  <c r="L670" i="23"/>
  <c r="M670" i="23" s="1"/>
  <c r="L671" i="23"/>
  <c r="M671" i="23" s="1"/>
  <c r="L672" i="23"/>
  <c r="M672" i="23" s="1"/>
  <c r="L673" i="23"/>
  <c r="M673" i="23" s="1"/>
  <c r="L674" i="23"/>
  <c r="M674" i="23" s="1"/>
  <c r="L675" i="23"/>
  <c r="M675" i="23" s="1"/>
  <c r="L676" i="23"/>
  <c r="M676" i="23" s="1"/>
  <c r="L677" i="23"/>
  <c r="M677" i="23" s="1"/>
  <c r="L678" i="23"/>
  <c r="M678" i="23" s="1"/>
  <c r="L679" i="23"/>
  <c r="M679" i="23" s="1"/>
  <c r="L680" i="23"/>
  <c r="M680" i="23" s="1"/>
  <c r="L681" i="23"/>
  <c r="M681" i="23" s="1"/>
  <c r="L682" i="23"/>
  <c r="M682" i="23" s="1"/>
  <c r="L683" i="23"/>
  <c r="M683" i="23" s="1"/>
  <c r="L684" i="23"/>
  <c r="M684" i="23" s="1"/>
  <c r="L685" i="23"/>
  <c r="M685" i="23" s="1"/>
  <c r="L686" i="23"/>
  <c r="M686" i="23" s="1"/>
  <c r="L687" i="23"/>
  <c r="M687" i="23" s="1"/>
  <c r="L688" i="23"/>
  <c r="M688" i="23" s="1"/>
  <c r="L689" i="23"/>
  <c r="M689" i="23" s="1"/>
  <c r="L690" i="23"/>
  <c r="M690" i="23" s="1"/>
  <c r="L691" i="23"/>
  <c r="M691" i="23" s="1"/>
  <c r="L692" i="23"/>
  <c r="M692" i="23" s="1"/>
  <c r="L693" i="23"/>
  <c r="M693" i="23" s="1"/>
  <c r="L694" i="23"/>
  <c r="M694" i="23" s="1"/>
  <c r="L695" i="23"/>
  <c r="M695" i="23" s="1"/>
  <c r="L696" i="23"/>
  <c r="M696" i="23" s="1"/>
  <c r="L697" i="23"/>
  <c r="M697" i="23" s="1"/>
  <c r="L698" i="23"/>
  <c r="M698" i="23" s="1"/>
  <c r="L699" i="23"/>
  <c r="M699" i="23" s="1"/>
  <c r="L700" i="23"/>
  <c r="M700" i="23" s="1"/>
  <c r="L701" i="23"/>
  <c r="M701" i="23" s="1"/>
  <c r="L702" i="23"/>
  <c r="M702" i="23" s="1"/>
  <c r="L703" i="23"/>
  <c r="M703" i="23" s="1"/>
  <c r="L704" i="23"/>
  <c r="M704" i="23" s="1"/>
  <c r="L705" i="23"/>
  <c r="M705" i="23" s="1"/>
  <c r="L706" i="23"/>
  <c r="M706" i="23" s="1"/>
  <c r="L707" i="23"/>
  <c r="M707" i="23"/>
  <c r="L708" i="23"/>
  <c r="M708" i="23"/>
  <c r="L709" i="23"/>
  <c r="M709" i="23"/>
  <c r="L710" i="23"/>
  <c r="M710" i="23"/>
  <c r="L711" i="23"/>
  <c r="M711" i="23"/>
  <c r="L712" i="23"/>
  <c r="M712" i="23"/>
  <c r="L713" i="23"/>
  <c r="M713" i="23"/>
  <c r="L714" i="23"/>
  <c r="M714" i="23"/>
  <c r="L715" i="23"/>
  <c r="M715" i="23"/>
  <c r="L716" i="23"/>
  <c r="M716" i="23"/>
  <c r="L717" i="23"/>
  <c r="M717" i="23"/>
  <c r="L718" i="23"/>
  <c r="M718" i="23"/>
  <c r="L719" i="23"/>
  <c r="M719" i="23"/>
  <c r="L720" i="23"/>
  <c r="M720" i="23"/>
  <c r="L721" i="23"/>
  <c r="M721" i="23"/>
  <c r="L722" i="23"/>
  <c r="M722" i="23"/>
  <c r="L723" i="23"/>
  <c r="M723" i="23"/>
  <c r="L724" i="23"/>
  <c r="M724" i="23"/>
  <c r="L725" i="23"/>
  <c r="M725" i="23"/>
  <c r="L726" i="23"/>
  <c r="M726" i="23"/>
  <c r="L727" i="23"/>
  <c r="M727" i="23"/>
  <c r="L728" i="23"/>
  <c r="M728" i="23"/>
  <c r="L729" i="23"/>
  <c r="M729" i="23"/>
  <c r="L730" i="23"/>
  <c r="M730" i="23"/>
  <c r="L731" i="23"/>
  <c r="M731" i="23"/>
  <c r="L732" i="23"/>
  <c r="M732" i="23"/>
  <c r="L733" i="23"/>
  <c r="M733" i="23"/>
  <c r="L734" i="23"/>
  <c r="M734" i="23"/>
  <c r="L735" i="23"/>
  <c r="M735" i="23"/>
  <c r="L736" i="23"/>
  <c r="M736" i="23"/>
  <c r="L737" i="23"/>
  <c r="M737" i="23"/>
  <c r="L738" i="23"/>
  <c r="M738" i="23"/>
  <c r="L739" i="23"/>
  <c r="M739" i="23"/>
  <c r="L740" i="23"/>
  <c r="M740" i="23"/>
  <c r="L741" i="23"/>
  <c r="M741" i="23"/>
  <c r="L742" i="23"/>
  <c r="M742" i="23"/>
  <c r="L743" i="23"/>
  <c r="M743" i="23"/>
  <c r="L744" i="23"/>
  <c r="M744" i="23"/>
  <c r="L745" i="23"/>
  <c r="M745" i="23"/>
  <c r="L746" i="23"/>
  <c r="M746" i="23"/>
  <c r="L747" i="23"/>
  <c r="M747" i="23"/>
  <c r="L748" i="23"/>
  <c r="M748" i="23"/>
  <c r="L749" i="23"/>
  <c r="M749" i="23"/>
  <c r="L750" i="23"/>
  <c r="M750" i="23"/>
  <c r="L751" i="23"/>
  <c r="M751" i="23"/>
  <c r="L752" i="23"/>
  <c r="M752" i="23"/>
  <c r="L753" i="23"/>
  <c r="M753" i="23"/>
  <c r="L754" i="23"/>
  <c r="M754" i="23"/>
  <c r="L755" i="23"/>
  <c r="M755" i="23"/>
  <c r="L756" i="23"/>
  <c r="M756" i="23"/>
  <c r="L757" i="23"/>
  <c r="M757" i="23"/>
  <c r="L758" i="23"/>
  <c r="M758" i="23"/>
  <c r="L759" i="23"/>
  <c r="M759" i="23"/>
  <c r="L760" i="23"/>
  <c r="M760" i="23"/>
  <c r="L761" i="23"/>
  <c r="M761" i="23"/>
  <c r="L762" i="23"/>
  <c r="M762" i="23"/>
  <c r="L763" i="23"/>
  <c r="M763" i="23"/>
  <c r="L764" i="23"/>
  <c r="M764" i="23"/>
  <c r="L765" i="23"/>
  <c r="M765" i="23"/>
  <c r="L766" i="23"/>
  <c r="M766" i="23"/>
  <c r="L767" i="23"/>
  <c r="M767" i="23"/>
  <c r="L768" i="23"/>
  <c r="M768" i="23"/>
  <c r="L769" i="23"/>
  <c r="M769" i="23"/>
  <c r="L770" i="23"/>
  <c r="M770" i="23"/>
  <c r="L771" i="23"/>
  <c r="M771" i="23"/>
  <c r="L772" i="23"/>
  <c r="M772" i="23"/>
  <c r="L773" i="23"/>
  <c r="M773" i="23"/>
  <c r="L774" i="23"/>
  <c r="M774" i="23"/>
  <c r="L775" i="23"/>
  <c r="M775" i="23"/>
  <c r="L776" i="23"/>
  <c r="M776" i="23"/>
  <c r="L777" i="23"/>
  <c r="M777" i="23"/>
  <c r="L778" i="23"/>
  <c r="M778" i="23"/>
  <c r="L779" i="23"/>
  <c r="M779" i="23"/>
  <c r="L780" i="23"/>
  <c r="M780" i="23"/>
  <c r="L781" i="23"/>
  <c r="M781" i="23"/>
  <c r="L782" i="23"/>
  <c r="M782" i="23"/>
  <c r="L783" i="23"/>
  <c r="M783" i="23"/>
  <c r="L784" i="23"/>
  <c r="M784" i="23"/>
  <c r="L785" i="23"/>
  <c r="M785" i="23"/>
  <c r="L786" i="23"/>
  <c r="M786" i="23"/>
  <c r="L787" i="23"/>
  <c r="M787" i="23"/>
  <c r="L788" i="23"/>
  <c r="M788" i="23"/>
  <c r="L789" i="23"/>
  <c r="M789" i="23"/>
  <c r="L790" i="23"/>
  <c r="M790" i="23"/>
  <c r="L791" i="23"/>
  <c r="M791" i="23"/>
  <c r="L792" i="23"/>
  <c r="M792" i="23"/>
  <c r="L793" i="23"/>
  <c r="M793" i="23"/>
  <c r="L794" i="23"/>
  <c r="M794" i="23"/>
  <c r="L795" i="23"/>
  <c r="M795" i="23"/>
  <c r="L796" i="23"/>
  <c r="M796" i="23"/>
  <c r="L797" i="23"/>
  <c r="M797" i="23"/>
  <c r="L798" i="23"/>
  <c r="M798" i="23"/>
  <c r="L799" i="23"/>
  <c r="M799" i="23"/>
  <c r="L800" i="23"/>
  <c r="M800" i="23"/>
  <c r="L801" i="23"/>
  <c r="M801" i="23"/>
  <c r="L802" i="23"/>
  <c r="M802" i="23"/>
  <c r="L803" i="23"/>
  <c r="M803" i="23"/>
  <c r="L804" i="23"/>
  <c r="M804" i="23"/>
  <c r="L805" i="23"/>
  <c r="M805" i="23"/>
  <c r="L806" i="23"/>
  <c r="M806" i="23"/>
  <c r="L807" i="23"/>
  <c r="M807" i="23"/>
  <c r="L808" i="23"/>
  <c r="M808" i="23"/>
  <c r="L809" i="23"/>
  <c r="M809" i="23"/>
  <c r="L810" i="23"/>
  <c r="M810" i="23"/>
  <c r="L811" i="23"/>
  <c r="M811" i="23"/>
  <c r="L812" i="23"/>
  <c r="M812" i="23"/>
  <c r="L813" i="23"/>
  <c r="M813" i="23"/>
  <c r="L814" i="23"/>
  <c r="M814" i="23"/>
  <c r="L815" i="23"/>
  <c r="M815" i="23"/>
  <c r="L816" i="23"/>
  <c r="M816" i="23"/>
  <c r="L817" i="23"/>
  <c r="M817" i="23"/>
  <c r="L818" i="23"/>
  <c r="M818" i="23"/>
  <c r="L819" i="23"/>
  <c r="M819" i="23"/>
  <c r="L820" i="23"/>
  <c r="M820" i="23"/>
  <c r="L821" i="23"/>
  <c r="M821" i="23"/>
  <c r="L822" i="23"/>
  <c r="M822" i="23"/>
  <c r="L823" i="23"/>
  <c r="M823" i="23"/>
  <c r="L824" i="23"/>
  <c r="M824" i="23"/>
  <c r="L825" i="23"/>
  <c r="M825" i="23"/>
  <c r="L826" i="23"/>
  <c r="M826" i="23"/>
  <c r="L827" i="23"/>
  <c r="M827" i="23"/>
  <c r="L828" i="23"/>
  <c r="M828" i="23"/>
  <c r="L829" i="23"/>
  <c r="M829" i="23"/>
  <c r="L830" i="23"/>
  <c r="M830" i="23"/>
  <c r="L831" i="23"/>
  <c r="M831" i="23"/>
  <c r="L832" i="23"/>
  <c r="M832" i="23"/>
  <c r="L833" i="23"/>
  <c r="M833" i="23"/>
  <c r="L834" i="23"/>
  <c r="M834" i="23"/>
  <c r="L835" i="23"/>
  <c r="M835" i="23"/>
  <c r="L836" i="23"/>
  <c r="M836" i="23"/>
  <c r="L837" i="23"/>
  <c r="M837" i="23"/>
  <c r="L838" i="23"/>
  <c r="M838" i="23"/>
  <c r="L839" i="23"/>
  <c r="M839" i="23"/>
  <c r="L840" i="23"/>
  <c r="M840" i="23"/>
  <c r="L841" i="23"/>
  <c r="M841" i="23"/>
  <c r="L842" i="23"/>
  <c r="M842" i="23"/>
  <c r="L843" i="23"/>
  <c r="M843" i="23"/>
  <c r="L844" i="23"/>
  <c r="M844" i="23"/>
  <c r="L845" i="23"/>
  <c r="M845" i="23"/>
  <c r="L846" i="23"/>
  <c r="M846" i="23"/>
  <c r="L847" i="23"/>
  <c r="M847" i="23"/>
  <c r="L848" i="23"/>
  <c r="M848" i="23"/>
  <c r="L849" i="23"/>
  <c r="M849" i="23"/>
  <c r="L850" i="23"/>
  <c r="M850" i="23"/>
  <c r="L851" i="23"/>
  <c r="M851" i="23"/>
  <c r="L852" i="23"/>
  <c r="M852" i="23"/>
  <c r="L853" i="23"/>
  <c r="M853" i="23"/>
  <c r="L854" i="23"/>
  <c r="M854" i="23"/>
  <c r="L855" i="23"/>
  <c r="M855" i="23"/>
  <c r="L856" i="23"/>
  <c r="M856" i="23"/>
  <c r="L857" i="23"/>
  <c r="M857" i="23"/>
  <c r="L858" i="23"/>
  <c r="M858" i="23"/>
  <c r="L859" i="23"/>
  <c r="M859" i="23"/>
  <c r="L860" i="23"/>
  <c r="M860" i="23"/>
  <c r="L861" i="23"/>
  <c r="M861" i="23"/>
  <c r="L862" i="23"/>
  <c r="M862" i="23"/>
  <c r="L863" i="23"/>
  <c r="M863" i="23"/>
  <c r="L864" i="23"/>
  <c r="M864" i="23"/>
  <c r="L865" i="23"/>
  <c r="M865" i="23"/>
  <c r="L866" i="23"/>
  <c r="M866" i="23"/>
  <c r="L867" i="23"/>
  <c r="M867" i="23"/>
  <c r="L868" i="23"/>
  <c r="M868" i="23"/>
  <c r="L869" i="23"/>
  <c r="M869" i="23"/>
  <c r="L870" i="23"/>
  <c r="M870" i="23"/>
  <c r="L871" i="23"/>
  <c r="M871" i="23"/>
  <c r="L872" i="23"/>
  <c r="M872" i="23"/>
  <c r="L873" i="23"/>
  <c r="M873" i="23"/>
  <c r="L874" i="23"/>
  <c r="M874" i="23"/>
  <c r="L875" i="23"/>
  <c r="M875" i="23"/>
  <c r="L876" i="23"/>
  <c r="M876" i="23"/>
  <c r="L877" i="23"/>
  <c r="M877" i="23"/>
  <c r="L878" i="23"/>
  <c r="M878" i="23"/>
  <c r="L879" i="23"/>
  <c r="M879" i="23"/>
  <c r="L880" i="23"/>
  <c r="M880" i="23"/>
  <c r="L881" i="23"/>
  <c r="M881" i="23"/>
  <c r="L882" i="23"/>
  <c r="M882" i="23"/>
  <c r="L883" i="23"/>
  <c r="M883" i="23"/>
  <c r="L884" i="23"/>
  <c r="M884" i="23"/>
  <c r="L885" i="23"/>
  <c r="M885" i="23"/>
  <c r="L886" i="23"/>
  <c r="M886" i="23"/>
  <c r="L887" i="23"/>
  <c r="M887" i="23"/>
  <c r="L888" i="23"/>
  <c r="M888" i="23"/>
  <c r="L889" i="23"/>
  <c r="M889" i="23"/>
  <c r="L890" i="23"/>
  <c r="M890" i="23"/>
  <c r="L891" i="23"/>
  <c r="M891" i="23"/>
  <c r="L892" i="23"/>
  <c r="M892" i="23"/>
  <c r="L893" i="23"/>
  <c r="M893" i="23"/>
  <c r="L894" i="23"/>
  <c r="M894" i="23"/>
  <c r="L895" i="23"/>
  <c r="M895" i="23"/>
  <c r="L896" i="23"/>
  <c r="M896" i="23"/>
  <c r="L897" i="23"/>
  <c r="M897" i="23"/>
  <c r="L898" i="23"/>
  <c r="M898" i="23"/>
  <c r="L899" i="23"/>
  <c r="M899" i="23"/>
  <c r="L900" i="23"/>
  <c r="M900" i="23"/>
  <c r="L901" i="23"/>
  <c r="M901" i="23"/>
  <c r="L902" i="23"/>
  <c r="M902" i="23"/>
  <c r="L903" i="23"/>
  <c r="M903" i="23"/>
  <c r="L904" i="23"/>
  <c r="M904" i="23"/>
  <c r="L905" i="23"/>
  <c r="M905" i="23"/>
  <c r="L906" i="23"/>
  <c r="M906" i="23"/>
  <c r="L907" i="23"/>
  <c r="M907" i="23"/>
  <c r="L908" i="23"/>
  <c r="M908" i="23"/>
  <c r="L909" i="23"/>
  <c r="M909" i="23"/>
  <c r="L910" i="23"/>
  <c r="M910" i="23"/>
  <c r="L911" i="23"/>
  <c r="M911" i="23"/>
  <c r="L912" i="23"/>
  <c r="M912" i="23"/>
  <c r="L913" i="23"/>
  <c r="M913" i="23"/>
  <c r="L914" i="23"/>
  <c r="M914" i="23"/>
  <c r="L915" i="23"/>
  <c r="M915" i="23"/>
  <c r="L916" i="23"/>
  <c r="M916" i="23"/>
  <c r="L917" i="23"/>
  <c r="M917" i="23"/>
  <c r="L918" i="23"/>
  <c r="M918" i="23"/>
  <c r="L919" i="23"/>
  <c r="M919" i="23"/>
  <c r="L920" i="23"/>
  <c r="M920" i="23"/>
  <c r="L921" i="23"/>
  <c r="M921" i="23"/>
  <c r="L922" i="23"/>
  <c r="M922" i="23"/>
  <c r="L923" i="23"/>
  <c r="M923" i="23"/>
  <c r="L924" i="23"/>
  <c r="M924" i="23"/>
  <c r="L925" i="23"/>
  <c r="M925" i="23"/>
  <c r="L926" i="23"/>
  <c r="M926" i="23"/>
  <c r="L927" i="23"/>
  <c r="M927" i="23"/>
  <c r="L928" i="23"/>
  <c r="M928" i="23"/>
  <c r="L929" i="23"/>
  <c r="M929" i="23"/>
  <c r="L930" i="23"/>
  <c r="M930" i="23"/>
  <c r="L931" i="23"/>
  <c r="M931" i="23"/>
  <c r="L932" i="23"/>
  <c r="M932" i="23"/>
  <c r="L933" i="23"/>
  <c r="M933" i="23"/>
  <c r="L934" i="23"/>
  <c r="M934" i="23"/>
  <c r="L935" i="23"/>
  <c r="M935" i="23"/>
  <c r="L936" i="23"/>
  <c r="M936" i="23"/>
  <c r="L937" i="23"/>
  <c r="M937" i="23"/>
  <c r="L938" i="23"/>
  <c r="M938" i="23"/>
  <c r="L939" i="23"/>
  <c r="M939" i="23"/>
  <c r="L940" i="23"/>
  <c r="M940" i="23"/>
  <c r="L941" i="23"/>
  <c r="M941" i="23"/>
  <c r="L942" i="23"/>
  <c r="M942" i="23"/>
  <c r="L943" i="23"/>
  <c r="M943" i="23"/>
  <c r="L944" i="23"/>
  <c r="M944" i="23"/>
  <c r="L945" i="23"/>
  <c r="M945" i="23"/>
  <c r="L946" i="23"/>
  <c r="M946" i="23"/>
  <c r="L947" i="23"/>
  <c r="M947" i="23"/>
  <c r="L948" i="23"/>
  <c r="M948" i="23"/>
  <c r="L949" i="23"/>
  <c r="M949" i="23"/>
  <c r="L950" i="23"/>
  <c r="M950" i="23"/>
  <c r="L951" i="23"/>
  <c r="M951" i="23"/>
  <c r="L952" i="23"/>
  <c r="M952" i="23"/>
  <c r="L953" i="23"/>
  <c r="M953" i="23"/>
  <c r="L954" i="23"/>
  <c r="M954" i="23"/>
  <c r="L955" i="23"/>
  <c r="M955" i="23"/>
  <c r="L956" i="23"/>
  <c r="M956" i="23"/>
  <c r="L957" i="23"/>
  <c r="M957" i="23"/>
  <c r="L958" i="23"/>
  <c r="M958" i="23"/>
  <c r="L959" i="23"/>
  <c r="M959" i="23"/>
  <c r="L960" i="23"/>
  <c r="M960" i="23"/>
  <c r="L961" i="23"/>
  <c r="M961" i="23"/>
  <c r="L962" i="23"/>
  <c r="M962" i="23"/>
  <c r="L963" i="23"/>
  <c r="M963" i="23"/>
  <c r="L964" i="23"/>
  <c r="M964" i="23"/>
  <c r="L965" i="23"/>
  <c r="M965" i="23"/>
  <c r="L966" i="23"/>
  <c r="M966" i="23"/>
  <c r="L967" i="23"/>
  <c r="M967" i="23"/>
  <c r="L968" i="23"/>
  <c r="M968" i="23"/>
  <c r="L969" i="23"/>
  <c r="M969" i="23"/>
  <c r="L970" i="23"/>
  <c r="M970" i="23"/>
  <c r="L971" i="23"/>
  <c r="M971" i="23"/>
  <c r="L972" i="23"/>
  <c r="M972" i="23"/>
  <c r="L973" i="23"/>
  <c r="M973" i="23"/>
  <c r="L974" i="23"/>
  <c r="M974" i="23"/>
  <c r="L975" i="23"/>
  <c r="M975" i="23"/>
  <c r="L976" i="23"/>
  <c r="M976" i="23"/>
  <c r="L977" i="23"/>
  <c r="M977" i="23"/>
  <c r="L978" i="23"/>
  <c r="M978" i="23"/>
  <c r="L979" i="23"/>
  <c r="M979" i="23"/>
  <c r="L980" i="23"/>
  <c r="M980" i="23"/>
  <c r="L981" i="23"/>
  <c r="M981" i="23" s="1"/>
  <c r="L982" i="23"/>
  <c r="M982" i="23"/>
  <c r="L983" i="23"/>
  <c r="M983" i="23" s="1"/>
  <c r="L984" i="23"/>
  <c r="M984" i="23"/>
  <c r="L985" i="23"/>
  <c r="M985" i="23" s="1"/>
  <c r="L986" i="23"/>
  <c r="M986" i="23"/>
  <c r="L987" i="23"/>
  <c r="M987" i="23" s="1"/>
  <c r="L988" i="23"/>
  <c r="M988" i="23"/>
  <c r="L989" i="23"/>
  <c r="M989" i="23" s="1"/>
  <c r="L990" i="23"/>
  <c r="M990" i="23"/>
  <c r="L991" i="23"/>
  <c r="M991" i="23" s="1"/>
  <c r="L992" i="23"/>
  <c r="M992" i="23" s="1"/>
  <c r="L993" i="23"/>
  <c r="M993" i="23" s="1"/>
  <c r="L994" i="23"/>
  <c r="M994" i="23" s="1"/>
  <c r="L995" i="23"/>
  <c r="M995" i="23" s="1"/>
  <c r="L996" i="23"/>
  <c r="M996" i="23" s="1"/>
  <c r="L997" i="23"/>
  <c r="M997" i="23" s="1"/>
  <c r="L998" i="23"/>
  <c r="M998" i="23" s="1"/>
  <c r="L999" i="23"/>
  <c r="M999" i="23" s="1"/>
  <c r="L1000" i="23"/>
  <c r="M1000" i="23" s="1"/>
  <c r="L1001" i="23"/>
  <c r="M1001" i="23" s="1"/>
  <c r="L1002" i="23"/>
  <c r="M1002" i="23" s="1"/>
  <c r="L1003" i="23"/>
  <c r="M1003" i="23" s="1"/>
  <c r="L1004" i="23"/>
  <c r="M1004" i="23" s="1"/>
  <c r="L1005" i="23"/>
  <c r="M1005" i="23" s="1"/>
  <c r="L1006" i="23"/>
  <c r="M1006" i="23" s="1"/>
  <c r="L1007" i="23"/>
  <c r="M1007" i="23" s="1"/>
  <c r="L1008" i="23"/>
  <c r="M1008" i="23" s="1"/>
  <c r="L1009" i="23"/>
  <c r="M1009" i="23" s="1"/>
  <c r="L1010" i="23"/>
  <c r="M1010" i="23" s="1"/>
  <c r="L1011" i="23"/>
  <c r="M1011" i="23" s="1"/>
  <c r="L1012" i="23"/>
  <c r="M1012" i="23" s="1"/>
  <c r="L1013" i="23"/>
  <c r="M1013" i="23" s="1"/>
  <c r="L1014" i="23"/>
  <c r="M1014" i="23" s="1"/>
  <c r="L1015" i="23"/>
  <c r="M1015" i="23" s="1"/>
  <c r="L1016" i="23"/>
  <c r="M1016" i="23" s="1"/>
  <c r="L1017" i="23"/>
  <c r="M1017" i="23" s="1"/>
  <c r="L1018" i="23"/>
  <c r="M1018" i="23" s="1"/>
  <c r="L1019" i="23"/>
  <c r="M1019" i="23" s="1"/>
  <c r="L1020" i="23"/>
  <c r="M1020" i="23" s="1"/>
  <c r="L1021" i="23"/>
  <c r="M1021" i="23" s="1"/>
  <c r="L1022" i="23"/>
  <c r="M1022" i="23" s="1"/>
  <c r="L1023" i="23"/>
  <c r="M1023" i="23" s="1"/>
  <c r="L1024" i="23"/>
  <c r="M1024" i="23" s="1"/>
  <c r="L1025" i="23"/>
  <c r="M1025" i="23" s="1"/>
  <c r="L1026" i="23"/>
  <c r="M1026" i="23" s="1"/>
  <c r="L1027" i="23"/>
  <c r="M1027" i="23" s="1"/>
  <c r="L1028" i="23"/>
  <c r="M1028" i="23" s="1"/>
  <c r="L1029" i="23"/>
  <c r="M1029" i="23" s="1"/>
  <c r="L1030" i="23"/>
  <c r="M1030" i="23" s="1"/>
  <c r="L1031" i="23"/>
  <c r="M1031" i="23" s="1"/>
  <c r="L1032" i="23"/>
  <c r="M1032" i="23" s="1"/>
  <c r="L1033" i="23"/>
  <c r="M1033" i="23" s="1"/>
  <c r="L1034" i="23"/>
  <c r="M1034" i="23" s="1"/>
  <c r="L1035" i="23"/>
  <c r="M1035" i="23" s="1"/>
  <c r="L1036" i="23"/>
  <c r="M1036" i="23" s="1"/>
  <c r="L1037" i="23"/>
  <c r="M1037" i="23" s="1"/>
  <c r="L1038" i="23"/>
  <c r="M1038" i="23" s="1"/>
  <c r="L1039" i="23"/>
  <c r="M1039" i="23" s="1"/>
  <c r="L1040" i="23"/>
  <c r="M1040" i="23" s="1"/>
  <c r="L1041" i="23"/>
  <c r="M1041" i="23" s="1"/>
  <c r="L1042" i="23"/>
  <c r="M1042" i="23" s="1"/>
  <c r="L1043" i="23"/>
  <c r="M1043" i="23" s="1"/>
  <c r="L1044" i="23"/>
  <c r="M1044" i="23" s="1"/>
  <c r="L1045" i="23"/>
  <c r="M1045" i="23" s="1"/>
  <c r="L1046" i="23"/>
  <c r="M1046" i="23" s="1"/>
  <c r="L1047" i="23"/>
  <c r="M1047" i="23" s="1"/>
  <c r="L1048" i="23"/>
  <c r="M1048" i="23" s="1"/>
  <c r="L1049" i="23"/>
  <c r="M1049" i="23" s="1"/>
  <c r="L1050" i="23"/>
  <c r="M1050" i="23" s="1"/>
  <c r="L1051" i="23"/>
  <c r="M1051" i="23" s="1"/>
  <c r="L1052" i="23"/>
  <c r="M1052" i="23" s="1"/>
  <c r="L1053" i="23"/>
  <c r="M1053" i="23" s="1"/>
  <c r="L1054" i="23"/>
  <c r="M1054" i="23" s="1"/>
  <c r="L1055" i="23"/>
  <c r="M1055" i="23" s="1"/>
  <c r="L1056" i="23"/>
  <c r="M1056" i="23" s="1"/>
  <c r="L1057" i="23"/>
  <c r="M1057" i="23" s="1"/>
  <c r="L1058" i="23"/>
  <c r="M1058" i="23" s="1"/>
  <c r="L1059" i="23"/>
  <c r="M1059" i="23" s="1"/>
  <c r="L1060" i="23"/>
  <c r="M1060" i="23" s="1"/>
  <c r="L1061" i="23"/>
  <c r="M1061" i="23" s="1"/>
  <c r="L1062" i="23"/>
  <c r="M1062" i="23" s="1"/>
  <c r="L1063" i="23"/>
  <c r="M1063" i="23" s="1"/>
  <c r="L1064" i="23"/>
  <c r="M1064" i="23" s="1"/>
  <c r="L1065" i="23"/>
  <c r="M1065" i="23" s="1"/>
  <c r="L1066" i="23"/>
  <c r="M1066" i="23" s="1"/>
  <c r="L1067" i="23"/>
  <c r="M1067" i="23" s="1"/>
  <c r="L1068" i="23"/>
  <c r="M1068" i="23" s="1"/>
  <c r="L1069" i="23"/>
  <c r="M1069" i="23" s="1"/>
  <c r="L1070" i="23"/>
  <c r="M1070" i="23" s="1"/>
  <c r="L1071" i="23"/>
  <c r="M1071" i="23" s="1"/>
  <c r="L1072" i="23"/>
  <c r="M1072" i="23" s="1"/>
  <c r="L1073" i="23"/>
  <c r="M1073" i="23" s="1"/>
  <c r="L1074" i="23"/>
  <c r="M1074" i="23" s="1"/>
  <c r="L1075" i="23"/>
  <c r="M1075" i="23" s="1"/>
  <c r="L1076" i="23"/>
  <c r="M1076" i="23" s="1"/>
  <c r="L1077" i="23"/>
  <c r="M1077" i="23" s="1"/>
  <c r="L1078" i="23"/>
  <c r="M1078" i="23" s="1"/>
  <c r="L1079" i="23"/>
  <c r="M1079" i="23" s="1"/>
  <c r="L1080" i="23"/>
  <c r="M1080" i="23" s="1"/>
  <c r="L1081" i="23"/>
  <c r="M1081" i="23" s="1"/>
  <c r="L1082" i="23"/>
  <c r="M1082" i="23" s="1"/>
  <c r="L1083" i="23"/>
  <c r="M1083" i="23" s="1"/>
  <c r="L1084" i="23"/>
  <c r="M1084" i="23" s="1"/>
  <c r="L1085" i="23"/>
  <c r="M1085" i="23" s="1"/>
  <c r="L1086" i="23"/>
  <c r="M1086" i="23" s="1"/>
  <c r="L1087" i="23"/>
  <c r="M1087" i="23" s="1"/>
  <c r="L1088" i="23"/>
  <c r="M1088" i="23" s="1"/>
  <c r="L1089" i="23"/>
  <c r="M1089" i="23" s="1"/>
  <c r="L1090" i="23"/>
  <c r="M1090" i="23" s="1"/>
  <c r="L1091" i="23"/>
  <c r="M1091" i="23" s="1"/>
  <c r="L1092" i="23"/>
  <c r="M1092" i="23" s="1"/>
  <c r="L1093" i="23"/>
  <c r="M1093" i="23" s="1"/>
  <c r="L1094" i="23"/>
  <c r="M1094" i="23" s="1"/>
  <c r="L1095" i="23"/>
  <c r="M1095" i="23" s="1"/>
  <c r="L1096" i="23"/>
  <c r="M1096" i="23" s="1"/>
  <c r="L1097" i="23"/>
  <c r="M1097" i="23" s="1"/>
  <c r="L1098" i="23"/>
  <c r="M1098" i="23" s="1"/>
  <c r="L1099" i="23"/>
  <c r="M1099" i="23" s="1"/>
  <c r="L1100" i="23"/>
  <c r="M1100" i="23" s="1"/>
  <c r="L1101" i="23"/>
  <c r="M1101" i="23" s="1"/>
  <c r="L1102" i="23"/>
  <c r="M1102" i="23" s="1"/>
  <c r="L1103" i="23"/>
  <c r="M1103" i="23" s="1"/>
  <c r="L1104" i="23"/>
  <c r="M1104" i="23" s="1"/>
  <c r="L1105" i="23"/>
  <c r="M1105" i="23" s="1"/>
  <c r="L1106" i="23"/>
  <c r="M1106" i="23" s="1"/>
  <c r="L1107" i="23"/>
  <c r="M1107" i="23" s="1"/>
  <c r="L1108" i="23"/>
  <c r="M1108" i="23" s="1"/>
  <c r="L1109" i="23"/>
  <c r="M1109" i="23" s="1"/>
  <c r="L1110" i="23"/>
  <c r="M1110" i="23" s="1"/>
  <c r="L1111" i="23"/>
  <c r="M1111" i="23" s="1"/>
  <c r="L1112" i="23"/>
  <c r="M1112" i="23" s="1"/>
  <c r="L1113" i="23"/>
  <c r="M1113" i="23" s="1"/>
  <c r="L1114" i="23"/>
  <c r="M1114" i="23" s="1"/>
  <c r="L1115" i="23"/>
  <c r="M1115" i="23" s="1"/>
  <c r="L1116" i="23"/>
  <c r="M1116" i="23" s="1"/>
  <c r="L1117" i="23"/>
  <c r="M1117" i="23" s="1"/>
  <c r="L1118" i="23"/>
  <c r="M1118" i="23" s="1"/>
  <c r="L1119" i="23"/>
  <c r="M1119" i="23" s="1"/>
  <c r="L1120" i="23"/>
  <c r="M1120" i="23" s="1"/>
  <c r="L1121" i="23"/>
  <c r="M1121" i="23" s="1"/>
  <c r="L1122" i="23"/>
  <c r="M1122" i="23" s="1"/>
  <c r="L1123" i="23"/>
  <c r="M1123" i="23" s="1"/>
  <c r="L1124" i="23"/>
  <c r="M1124" i="23" s="1"/>
  <c r="L1125" i="23"/>
  <c r="M1125" i="23" s="1"/>
  <c r="L1126" i="23"/>
  <c r="M1126" i="23" s="1"/>
  <c r="L1127" i="23"/>
  <c r="M1127" i="23" s="1"/>
  <c r="L1128" i="23"/>
  <c r="M1128" i="23" s="1"/>
  <c r="L1129" i="23"/>
  <c r="M1129" i="23" s="1"/>
  <c r="L1130" i="23"/>
  <c r="M1130" i="23"/>
  <c r="L1131" i="23"/>
  <c r="M1131" i="23" s="1"/>
  <c r="L1132" i="23"/>
  <c r="M1132" i="23" s="1"/>
  <c r="L1133" i="23"/>
  <c r="M1133" i="23" s="1"/>
  <c r="L1134" i="23"/>
  <c r="M1134" i="23" s="1"/>
  <c r="L1135" i="23"/>
  <c r="M1135" i="23" s="1"/>
  <c r="L1136" i="23"/>
  <c r="M1136" i="23"/>
  <c r="L1137" i="23"/>
  <c r="M1137" i="23" s="1"/>
  <c r="L1138" i="23"/>
  <c r="M1138" i="23" s="1"/>
  <c r="L1139" i="23"/>
  <c r="M1139" i="23" s="1"/>
  <c r="L1140" i="23"/>
  <c r="M1140" i="23"/>
  <c r="L1141" i="23"/>
  <c r="M1141" i="23" s="1"/>
  <c r="L1142" i="23"/>
  <c r="M1142" i="23" s="1"/>
  <c r="L1143" i="23"/>
  <c r="M1143" i="23" s="1"/>
  <c r="L1144" i="23"/>
  <c r="M1144" i="23"/>
  <c r="L1145" i="23"/>
  <c r="M1145" i="23" s="1"/>
  <c r="L1146" i="23"/>
  <c r="M1146" i="23" s="1"/>
  <c r="L1147" i="23"/>
  <c r="M1147" i="23" s="1"/>
  <c r="L1148" i="23"/>
  <c r="M1148" i="23"/>
  <c r="L1149" i="23"/>
  <c r="M1149" i="23" s="1"/>
  <c r="L1150" i="23"/>
  <c r="M1150" i="23" s="1"/>
  <c r="L1151" i="23"/>
  <c r="M1151" i="23" s="1"/>
  <c r="L1152" i="23"/>
  <c r="M1152" i="23" s="1"/>
  <c r="L1153" i="23"/>
  <c r="M1153" i="23" s="1"/>
  <c r="L1154" i="23"/>
  <c r="M1154" i="23" s="1"/>
  <c r="L1155" i="23"/>
  <c r="M1155" i="23" s="1"/>
  <c r="L1156" i="23"/>
  <c r="M1156" i="23" s="1"/>
  <c r="L1157" i="23"/>
  <c r="M1157" i="23" s="1"/>
  <c r="L1158" i="23"/>
  <c r="M1158" i="23" s="1"/>
  <c r="L1159" i="23"/>
  <c r="M1159" i="23" s="1"/>
  <c r="L1160" i="23"/>
  <c r="M1160" i="23" s="1"/>
  <c r="L1161" i="23"/>
  <c r="M1161" i="23" s="1"/>
  <c r="L1162" i="23"/>
  <c r="M1162" i="23" s="1"/>
  <c r="L1163" i="23"/>
  <c r="M1163" i="23" s="1"/>
  <c r="L1164" i="23"/>
  <c r="M1164" i="23" s="1"/>
  <c r="L1165" i="23"/>
  <c r="M1165" i="23" s="1"/>
  <c r="L1166" i="23"/>
  <c r="M1166" i="23" s="1"/>
  <c r="L1167" i="23"/>
  <c r="M1167" i="23" s="1"/>
  <c r="L1168" i="23"/>
  <c r="M1168" i="23" s="1"/>
  <c r="L1169" i="23"/>
  <c r="M1169" i="23" s="1"/>
  <c r="L1170" i="23"/>
  <c r="M1170" i="23" s="1"/>
  <c r="L1171" i="23"/>
  <c r="M1171" i="23" s="1"/>
  <c r="L1172" i="23"/>
  <c r="M1172" i="23" s="1"/>
  <c r="L1173" i="23"/>
  <c r="M1173" i="23" s="1"/>
  <c r="L1174" i="23"/>
  <c r="M1174" i="23" s="1"/>
  <c r="L1175" i="23"/>
  <c r="M1175" i="23" s="1"/>
  <c r="L1176" i="23"/>
  <c r="M1176" i="23" s="1"/>
  <c r="L1177" i="23"/>
  <c r="M1177" i="23" s="1"/>
  <c r="L1178" i="23"/>
  <c r="M1178" i="23" s="1"/>
  <c r="L1179" i="23"/>
  <c r="M1179" i="23" s="1"/>
  <c r="L1180" i="23"/>
  <c r="M1180" i="23" s="1"/>
  <c r="L1181" i="23"/>
  <c r="M1181" i="23" s="1"/>
  <c r="L1182" i="23"/>
  <c r="M1182" i="23" s="1"/>
  <c r="L1183" i="23"/>
  <c r="M1183" i="23" s="1"/>
  <c r="L1184" i="23"/>
  <c r="M1184" i="23" s="1"/>
  <c r="L1185" i="23"/>
  <c r="M1185" i="23" s="1"/>
  <c r="L1186" i="23"/>
  <c r="M1186" i="23" s="1"/>
  <c r="L1187" i="23"/>
  <c r="M1187" i="23" s="1"/>
  <c r="L1188" i="23"/>
  <c r="M1188" i="23" s="1"/>
  <c r="L1189" i="23"/>
  <c r="M1189" i="23" s="1"/>
  <c r="L1190" i="23"/>
  <c r="M1190" i="23" s="1"/>
  <c r="L1191" i="23"/>
  <c r="M1191" i="23" s="1"/>
  <c r="L1192" i="23"/>
  <c r="M1192" i="23" s="1"/>
  <c r="L1193" i="23"/>
  <c r="M1193" i="23" s="1"/>
  <c r="L1194" i="23"/>
  <c r="M1194" i="23" s="1"/>
  <c r="L1195" i="23"/>
  <c r="M1195" i="23" s="1"/>
  <c r="L1196" i="23"/>
  <c r="M1196" i="23" s="1"/>
  <c r="L1197" i="23"/>
  <c r="M1197" i="23" s="1"/>
  <c r="L1198" i="23"/>
  <c r="M1198" i="23" s="1"/>
  <c r="L1199" i="23"/>
  <c r="M1199" i="23" s="1"/>
  <c r="L1200" i="23"/>
  <c r="M1200" i="23" s="1"/>
  <c r="L1201" i="23"/>
  <c r="M1201" i="23" s="1"/>
  <c r="L1202" i="23"/>
  <c r="M1202" i="23" s="1"/>
  <c r="L1203" i="23"/>
  <c r="M1203" i="23" s="1"/>
  <c r="L1204" i="23"/>
  <c r="M1204" i="23" s="1"/>
  <c r="L1205" i="23"/>
  <c r="M1205" i="23" s="1"/>
  <c r="L1206" i="23"/>
  <c r="M1206" i="23" s="1"/>
  <c r="L1207" i="23"/>
  <c r="M1207" i="23" s="1"/>
  <c r="L1208" i="23"/>
  <c r="M1208" i="23" s="1"/>
  <c r="L1209" i="23"/>
  <c r="M1209" i="23" s="1"/>
  <c r="L1210" i="23"/>
  <c r="M1210" i="23" s="1"/>
  <c r="L1211" i="23"/>
  <c r="M1211" i="23" s="1"/>
  <c r="L1212" i="23"/>
  <c r="M1212" i="23" s="1"/>
  <c r="L1213" i="23"/>
  <c r="M1213" i="23" s="1"/>
  <c r="L1214" i="23"/>
  <c r="M1214" i="23" s="1"/>
  <c r="L1215" i="23"/>
  <c r="M1215" i="23" s="1"/>
  <c r="L1216" i="23"/>
  <c r="M1216" i="23" s="1"/>
  <c r="L1217" i="23"/>
  <c r="M1217" i="23" s="1"/>
  <c r="L1218" i="23"/>
  <c r="M1218" i="23" s="1"/>
  <c r="L1219" i="23"/>
  <c r="M1219" i="23" s="1"/>
  <c r="L1220" i="23"/>
  <c r="M1220" i="23" s="1"/>
  <c r="L1221" i="23"/>
  <c r="M1221" i="23" s="1"/>
  <c r="L1222" i="23"/>
  <c r="M1222" i="23" s="1"/>
  <c r="L1223" i="23"/>
  <c r="M1223" i="23" s="1"/>
  <c r="L1224" i="23"/>
  <c r="M1224" i="23" s="1"/>
  <c r="L1225" i="23"/>
  <c r="M1225" i="23" s="1"/>
  <c r="L1226" i="23"/>
  <c r="M1226" i="23" s="1"/>
  <c r="L1227" i="23"/>
  <c r="M1227" i="23" s="1"/>
  <c r="L1228" i="23"/>
  <c r="M1228" i="23" s="1"/>
  <c r="L1229" i="23"/>
  <c r="M1229" i="23" s="1"/>
  <c r="L1230" i="23"/>
  <c r="M1230" i="23" s="1"/>
  <c r="L1231" i="23"/>
  <c r="M1231" i="23" s="1"/>
  <c r="L1232" i="23"/>
  <c r="M1232" i="23" s="1"/>
  <c r="L1233" i="23"/>
  <c r="M1233" i="23" s="1"/>
  <c r="L1234" i="23"/>
  <c r="M1234" i="23" s="1"/>
  <c r="L1235" i="23"/>
  <c r="M1235" i="23" s="1"/>
  <c r="L1236" i="23"/>
  <c r="M1236" i="23" s="1"/>
  <c r="L1237" i="23"/>
  <c r="M1237" i="23" s="1"/>
  <c r="L1238" i="23"/>
  <c r="M1238" i="23" s="1"/>
  <c r="L1239" i="23"/>
  <c r="M1239" i="23" s="1"/>
  <c r="L1240" i="23"/>
  <c r="M1240" i="23" s="1"/>
  <c r="L1241" i="23"/>
  <c r="M1241" i="23" s="1"/>
  <c r="L1242" i="23"/>
  <c r="M1242" i="23" s="1"/>
  <c r="L1243" i="23"/>
  <c r="M1243" i="23" s="1"/>
  <c r="L1244" i="23"/>
  <c r="M1244" i="23" s="1"/>
  <c r="L1245" i="23"/>
  <c r="M1245" i="23" s="1"/>
  <c r="L1246" i="23"/>
  <c r="M1246" i="23" s="1"/>
  <c r="L1247" i="23"/>
  <c r="M1247" i="23" s="1"/>
  <c r="L1248" i="23"/>
  <c r="M1248" i="23" s="1"/>
  <c r="L1249" i="23"/>
  <c r="M1249" i="23" s="1"/>
  <c r="L1250" i="23"/>
  <c r="M1250" i="23" s="1"/>
  <c r="L1251" i="23"/>
  <c r="M1251" i="23" s="1"/>
  <c r="L1252" i="23"/>
  <c r="M1252" i="23" s="1"/>
  <c r="L1253" i="23"/>
  <c r="M1253" i="23" s="1"/>
  <c r="L1254" i="23"/>
  <c r="M1254" i="23" s="1"/>
  <c r="L1255" i="23"/>
  <c r="M1255" i="23" s="1"/>
  <c r="L1256" i="23"/>
  <c r="M1256" i="23" s="1"/>
  <c r="L1257" i="23"/>
  <c r="M1257" i="23" s="1"/>
  <c r="L1258" i="23"/>
  <c r="M1258" i="23" s="1"/>
  <c r="L1259" i="23"/>
  <c r="M1259" i="23" s="1"/>
  <c r="L1260" i="23"/>
  <c r="M1260" i="23" s="1"/>
  <c r="L1261" i="23"/>
  <c r="M1261" i="23" s="1"/>
  <c r="L1262" i="23"/>
  <c r="M1262" i="23" s="1"/>
  <c r="L1263" i="23"/>
  <c r="M1263" i="23" s="1"/>
  <c r="L1264" i="23"/>
  <c r="M1264" i="23" s="1"/>
  <c r="L1265" i="23"/>
  <c r="M1265" i="23" s="1"/>
  <c r="L1266" i="23"/>
  <c r="M1266" i="23" s="1"/>
  <c r="L1267" i="23"/>
  <c r="M1267" i="23" s="1"/>
  <c r="L1268" i="23"/>
  <c r="M1268" i="23" s="1"/>
  <c r="L1269" i="23"/>
  <c r="M1269" i="23" s="1"/>
  <c r="L1270" i="23"/>
  <c r="M1270" i="23" s="1"/>
  <c r="L1271" i="23"/>
  <c r="M1271" i="23" s="1"/>
  <c r="L1272" i="23"/>
  <c r="M1272" i="23" s="1"/>
  <c r="L1273" i="23"/>
  <c r="M1273" i="23" s="1"/>
  <c r="L1274" i="23"/>
  <c r="M1274" i="23" s="1"/>
  <c r="L1275" i="23"/>
  <c r="M1275" i="23" s="1"/>
  <c r="L1276" i="23"/>
  <c r="M1276" i="23" s="1"/>
  <c r="L1277" i="23"/>
  <c r="M1277" i="23" s="1"/>
  <c r="L1278" i="23"/>
  <c r="M1278" i="23" s="1"/>
  <c r="L1279" i="23"/>
  <c r="M1279" i="23" s="1"/>
  <c r="L1280" i="23"/>
  <c r="M1280" i="23" s="1"/>
  <c r="L1281" i="23"/>
  <c r="M1281" i="23" s="1"/>
  <c r="L1282" i="23"/>
  <c r="M1282" i="23" s="1"/>
  <c r="L1283" i="23"/>
  <c r="M1283" i="23" s="1"/>
  <c r="L1284" i="23"/>
  <c r="M1284" i="23" s="1"/>
  <c r="L1285" i="23"/>
  <c r="M1285" i="23" s="1"/>
  <c r="L1286" i="23"/>
  <c r="M1286" i="23" s="1"/>
  <c r="L1287" i="23"/>
  <c r="M1287" i="23" s="1"/>
  <c r="L1288" i="23"/>
  <c r="M1288" i="23" s="1"/>
  <c r="L1289" i="23"/>
  <c r="M1289" i="23" s="1"/>
  <c r="L1290" i="23"/>
  <c r="M1290" i="23" s="1"/>
  <c r="L1291" i="23"/>
  <c r="M1291" i="23" s="1"/>
  <c r="L1292" i="23"/>
  <c r="M1292" i="23" s="1"/>
  <c r="L1293" i="23"/>
  <c r="M1293" i="23" s="1"/>
  <c r="L1294" i="23"/>
  <c r="M1294" i="23" s="1"/>
  <c r="L1295" i="23"/>
  <c r="M1295" i="23" s="1"/>
  <c r="L1296" i="23"/>
  <c r="M1296" i="23" s="1"/>
  <c r="L1297" i="23"/>
  <c r="M1297" i="23" s="1"/>
  <c r="L1298" i="23"/>
  <c r="M1298" i="23" s="1"/>
  <c r="L1299" i="23"/>
  <c r="M1299" i="23" s="1"/>
  <c r="L1300" i="23"/>
  <c r="M1300" i="23" s="1"/>
  <c r="L1301" i="23"/>
  <c r="M1301" i="23" s="1"/>
  <c r="L1302" i="23"/>
  <c r="M1302" i="23" s="1"/>
  <c r="L1303" i="23"/>
  <c r="M1303" i="23" s="1"/>
  <c r="L1304" i="23"/>
  <c r="M1304" i="23" s="1"/>
  <c r="L1305" i="23"/>
  <c r="M1305" i="23" s="1"/>
  <c r="L1306" i="23"/>
  <c r="M1306" i="23" s="1"/>
  <c r="L1307" i="23"/>
  <c r="M1307" i="23" s="1"/>
  <c r="L1308" i="23"/>
  <c r="M1308" i="23" s="1"/>
  <c r="L1309" i="23"/>
  <c r="M1309" i="23" s="1"/>
  <c r="L1310" i="23"/>
  <c r="M1310" i="23" s="1"/>
  <c r="L1311" i="23"/>
  <c r="M1311" i="23" s="1"/>
  <c r="L1312" i="23"/>
  <c r="M1312" i="23" s="1"/>
  <c r="L1313" i="23"/>
  <c r="M1313" i="23" s="1"/>
  <c r="L1314" i="23"/>
  <c r="M1314" i="23" s="1"/>
  <c r="L1315" i="23"/>
  <c r="M1315" i="23" s="1"/>
  <c r="L1316" i="23"/>
  <c r="M1316" i="23" s="1"/>
  <c r="L1317" i="23"/>
  <c r="M1317" i="23"/>
  <c r="L1318" i="23"/>
  <c r="M1318" i="23" s="1"/>
  <c r="L1319" i="23"/>
  <c r="M1319" i="23"/>
  <c r="L1320" i="23"/>
  <c r="M1320" i="23" s="1"/>
  <c r="L1321" i="23"/>
  <c r="M1321" i="23"/>
  <c r="L1322" i="23"/>
  <c r="M1322" i="23" s="1"/>
  <c r="L1323" i="23"/>
  <c r="M1323" i="23"/>
  <c r="L1324" i="23"/>
  <c r="M1324" i="23" s="1"/>
  <c r="L1325" i="23"/>
  <c r="M1325" i="23"/>
  <c r="L1326" i="23"/>
  <c r="M1326" i="23" s="1"/>
  <c r="L1327" i="23"/>
  <c r="M1327" i="23"/>
  <c r="L1328" i="23"/>
  <c r="M1328" i="23" s="1"/>
  <c r="L1329" i="23"/>
  <c r="M1329" i="23"/>
  <c r="L1330" i="23"/>
  <c r="M1330" i="23" s="1"/>
  <c r="L1331" i="23"/>
  <c r="M1331" i="23"/>
  <c r="L1332" i="23"/>
  <c r="M1332" i="23" s="1"/>
  <c r="L1333" i="23"/>
  <c r="M1333" i="23"/>
  <c r="L1334" i="23"/>
  <c r="M1334" i="23" s="1"/>
  <c r="L1335" i="23"/>
  <c r="M1335" i="23"/>
  <c r="L1336" i="23"/>
  <c r="M1336" i="23" s="1"/>
  <c r="L1337" i="23"/>
  <c r="M1337" i="23"/>
  <c r="L1338" i="23"/>
  <c r="M1338" i="23" s="1"/>
  <c r="L1339" i="23"/>
  <c r="M1339" i="23"/>
  <c r="L1340" i="23"/>
  <c r="M1340" i="23" s="1"/>
  <c r="L1341" i="23"/>
  <c r="M1341" i="23"/>
  <c r="L1342" i="23"/>
  <c r="M1342" i="23" s="1"/>
  <c r="L1343" i="23"/>
  <c r="M1343" i="23"/>
  <c r="L1344" i="23"/>
  <c r="M1344" i="23" s="1"/>
  <c r="L1345" i="23"/>
  <c r="M1345" i="23"/>
  <c r="L1346" i="23"/>
  <c r="M1346" i="23" s="1"/>
  <c r="L1347" i="23"/>
  <c r="M1347" i="23"/>
  <c r="L1348" i="23"/>
  <c r="M1348" i="23" s="1"/>
  <c r="L1349" i="23"/>
  <c r="M1349" i="23"/>
  <c r="L1350" i="23"/>
  <c r="M1350" i="23" s="1"/>
  <c r="L1351" i="23"/>
  <c r="M1351" i="23"/>
  <c r="L1352" i="23"/>
  <c r="M1352" i="23" s="1"/>
  <c r="L1353" i="23"/>
  <c r="M1353" i="23"/>
  <c r="L1354" i="23"/>
  <c r="M1354" i="23" s="1"/>
  <c r="L1355" i="23"/>
  <c r="M1355" i="23"/>
  <c r="L1356" i="23"/>
  <c r="M1356" i="23" s="1"/>
  <c r="L1357" i="23"/>
  <c r="M1357" i="23"/>
  <c r="L1358" i="23"/>
  <c r="M1358" i="23" s="1"/>
  <c r="L1359" i="23"/>
  <c r="M1359" i="23"/>
  <c r="L1360" i="23"/>
  <c r="M1360" i="23" s="1"/>
  <c r="L1361" i="23"/>
  <c r="M1361" i="23"/>
  <c r="L1362" i="23"/>
  <c r="M1362" i="23" s="1"/>
  <c r="L1363" i="23"/>
  <c r="M1363" i="23"/>
  <c r="L1364" i="23"/>
  <c r="M1364" i="23" s="1"/>
  <c r="L1365" i="23"/>
  <c r="M1365" i="23"/>
  <c r="L1366" i="23"/>
  <c r="M1366" i="23" s="1"/>
  <c r="L1367" i="23"/>
  <c r="M1367" i="23"/>
  <c r="L1368" i="23"/>
  <c r="M1368" i="23" s="1"/>
  <c r="L1369" i="23"/>
  <c r="M1369" i="23"/>
  <c r="L1370" i="23"/>
  <c r="M1370" i="23" s="1"/>
  <c r="L1371" i="23"/>
  <c r="M1371" i="23"/>
  <c r="L1372" i="23"/>
  <c r="M1372" i="23" s="1"/>
  <c r="L1373" i="23"/>
  <c r="M1373" i="23"/>
  <c r="L1374" i="23"/>
  <c r="M1374" i="23" s="1"/>
  <c r="L1375" i="23"/>
  <c r="M1375" i="23"/>
  <c r="L1376" i="23"/>
  <c r="M1376" i="23" s="1"/>
  <c r="L1377" i="23"/>
  <c r="M1377" i="23"/>
  <c r="L1378" i="23"/>
  <c r="M1378" i="23" s="1"/>
  <c r="L1379" i="23"/>
  <c r="M1379" i="23"/>
  <c r="L1380" i="23"/>
  <c r="M1380" i="23" s="1"/>
  <c r="L1381" i="23"/>
  <c r="M1381" i="23"/>
  <c r="L1382" i="23"/>
  <c r="M1382" i="23" s="1"/>
  <c r="L1383" i="23"/>
  <c r="M1383" i="23"/>
  <c r="L1384" i="23"/>
  <c r="M1384" i="23" s="1"/>
  <c r="L1385" i="23"/>
  <c r="M1385" i="23"/>
  <c r="L1386" i="23"/>
  <c r="M1386" i="23" s="1"/>
  <c r="L1387" i="23"/>
  <c r="M1387" i="23"/>
  <c r="L1388" i="23"/>
  <c r="M1388" i="23" s="1"/>
  <c r="L1389" i="23"/>
  <c r="M1389" i="23"/>
  <c r="L1390" i="23"/>
  <c r="M1390" i="23" s="1"/>
  <c r="L1391" i="23"/>
  <c r="M1391" i="23"/>
  <c r="L1392" i="23"/>
  <c r="M1392" i="23" s="1"/>
  <c r="L1393" i="23"/>
  <c r="M1393" i="23"/>
  <c r="L1394" i="23"/>
  <c r="M1394" i="23" s="1"/>
  <c r="L1395" i="23"/>
  <c r="M1395" i="23"/>
  <c r="L1396" i="23"/>
  <c r="M1396" i="23" s="1"/>
  <c r="L1397" i="23"/>
  <c r="M1397" i="23"/>
  <c r="L1398" i="23"/>
  <c r="M1398" i="23" s="1"/>
  <c r="L1399" i="23"/>
  <c r="M1399" i="23"/>
  <c r="L1400" i="23"/>
  <c r="M1400" i="23" s="1"/>
  <c r="L1401" i="23"/>
  <c r="M1401" i="23"/>
  <c r="L1402" i="23"/>
  <c r="M1402" i="23" s="1"/>
  <c r="L1403" i="23"/>
  <c r="M1403" i="23"/>
  <c r="L1404" i="23"/>
  <c r="M1404" i="23" s="1"/>
  <c r="L1405" i="23"/>
  <c r="M1405" i="23"/>
  <c r="L1406" i="23"/>
  <c r="M1406" i="23" s="1"/>
  <c r="L1407" i="23"/>
  <c r="M1407" i="23"/>
  <c r="L1408" i="23"/>
  <c r="M1408" i="23" s="1"/>
  <c r="L1409" i="23"/>
  <c r="M1409" i="23"/>
  <c r="L1410" i="23"/>
  <c r="M1410" i="23" s="1"/>
  <c r="L1411" i="23"/>
  <c r="M1411" i="23"/>
  <c r="L1412" i="23"/>
  <c r="M1412" i="23" s="1"/>
  <c r="L1413" i="23"/>
  <c r="M1413" i="23"/>
  <c r="L1414" i="23"/>
  <c r="M1414" i="23" s="1"/>
  <c r="L1415" i="23"/>
  <c r="M1415" i="23"/>
  <c r="L1416" i="23"/>
  <c r="M1416" i="23" s="1"/>
  <c r="L1417" i="23"/>
  <c r="M1417" i="23"/>
  <c r="L1418" i="23"/>
  <c r="M1418" i="23" s="1"/>
  <c r="L1419" i="23"/>
  <c r="M1419" i="23"/>
  <c r="L1420" i="23"/>
  <c r="M1420" i="23" s="1"/>
  <c r="L1421" i="23"/>
  <c r="M1421" i="23"/>
  <c r="L1422" i="23"/>
  <c r="M1422" i="23" s="1"/>
  <c r="L1423" i="23"/>
  <c r="M1423" i="23"/>
  <c r="L1424" i="23"/>
  <c r="M1424" i="23" s="1"/>
  <c r="L1425" i="23"/>
  <c r="M1425" i="23"/>
  <c r="L1426" i="23"/>
  <c r="M1426" i="23" s="1"/>
  <c r="L1427" i="23"/>
  <c r="M1427" i="23"/>
  <c r="L1428" i="23"/>
  <c r="M1428" i="23" s="1"/>
  <c r="L1429" i="23"/>
  <c r="M1429" i="23"/>
  <c r="L1430" i="23"/>
  <c r="M1430" i="23" s="1"/>
  <c r="L1431" i="23"/>
  <c r="M1431" i="23"/>
  <c r="L1432" i="23"/>
  <c r="M1432" i="23" s="1"/>
  <c r="L1433" i="23"/>
  <c r="M1433" i="23"/>
  <c r="L1434" i="23"/>
  <c r="M1434" i="23" s="1"/>
  <c r="L1435" i="23"/>
  <c r="M1435" i="23"/>
  <c r="L1436" i="23"/>
  <c r="M1436" i="23" s="1"/>
  <c r="L1437" i="23"/>
  <c r="M1437" i="23"/>
  <c r="L1438" i="23"/>
  <c r="M1438" i="23" s="1"/>
  <c r="L1439" i="23"/>
  <c r="M1439" i="23"/>
  <c r="L1440" i="23"/>
  <c r="M1440" i="23" s="1"/>
  <c r="L1441" i="23"/>
  <c r="M1441" i="23"/>
  <c r="L1442" i="23"/>
  <c r="M1442" i="23" s="1"/>
  <c r="L1443" i="23"/>
  <c r="M1443" i="23"/>
  <c r="L1444" i="23"/>
  <c r="M1444" i="23" s="1"/>
  <c r="L1445" i="23"/>
  <c r="M1445" i="23"/>
  <c r="L1446" i="23"/>
  <c r="M1446" i="23" s="1"/>
  <c r="L1447" i="23"/>
  <c r="M1447" i="23"/>
  <c r="L1448" i="23"/>
  <c r="M1448" i="23" s="1"/>
  <c r="L1449" i="23"/>
  <c r="M1449" i="23"/>
  <c r="L1450" i="23"/>
  <c r="M1450" i="23" s="1"/>
  <c r="L1451" i="23"/>
  <c r="M1451" i="23"/>
  <c r="L1452" i="23"/>
  <c r="M1452" i="23" s="1"/>
  <c r="L1453" i="23"/>
  <c r="M1453" i="23"/>
  <c r="L1454" i="23"/>
  <c r="M1454" i="23" s="1"/>
  <c r="L1455" i="23"/>
  <c r="M1455" i="23"/>
  <c r="L1456" i="23"/>
  <c r="M1456" i="23" s="1"/>
  <c r="L1457" i="23"/>
  <c r="M1457" i="23"/>
  <c r="L1458" i="23"/>
  <c r="M1458" i="23" s="1"/>
  <c r="L1459" i="23"/>
  <c r="M1459" i="23"/>
  <c r="L1460" i="23"/>
  <c r="M1460" i="23" s="1"/>
  <c r="L1461" i="23"/>
  <c r="M1461" i="23"/>
  <c r="L1462" i="23"/>
  <c r="M1462" i="23" s="1"/>
  <c r="L1463" i="23"/>
  <c r="M1463" i="23"/>
  <c r="L1464" i="23"/>
  <c r="M1464" i="23" s="1"/>
  <c r="L1465" i="23"/>
  <c r="M1465" i="23"/>
  <c r="L1466" i="23"/>
  <c r="M1466" i="23" s="1"/>
  <c r="L1467" i="23"/>
  <c r="M1467" i="23"/>
  <c r="L1468" i="23"/>
  <c r="M1468" i="23" s="1"/>
  <c r="L1469" i="23"/>
  <c r="M1469" i="23"/>
  <c r="L1470" i="23"/>
  <c r="M1470" i="23" s="1"/>
  <c r="L1471" i="23"/>
  <c r="M1471" i="23"/>
  <c r="L1472" i="23"/>
  <c r="M1472" i="23" s="1"/>
  <c r="L1473" i="23"/>
  <c r="M1473" i="23"/>
  <c r="L1474" i="23"/>
  <c r="M1474" i="23" s="1"/>
  <c r="L1475" i="23"/>
  <c r="M1475" i="23"/>
  <c r="L1476" i="23"/>
  <c r="M1476" i="23" s="1"/>
  <c r="L1477" i="23"/>
  <c r="M1477" i="23"/>
  <c r="L1478" i="23"/>
  <c r="M1478" i="23" s="1"/>
  <c r="L1479" i="23"/>
  <c r="M1479" i="23"/>
  <c r="L1480" i="23"/>
  <c r="M1480" i="23" s="1"/>
  <c r="L1481" i="23"/>
  <c r="M1481" i="23"/>
  <c r="L1482" i="23"/>
  <c r="M1482" i="23" s="1"/>
  <c r="L1483" i="23"/>
  <c r="M1483" i="23"/>
  <c r="L1484" i="23"/>
  <c r="M1484" i="23" s="1"/>
  <c r="L1485" i="23"/>
  <c r="M1485" i="23"/>
  <c r="L1486" i="23"/>
  <c r="M1486" i="23" s="1"/>
  <c r="L1487" i="23"/>
  <c r="M1487" i="23"/>
  <c r="L1488" i="23"/>
  <c r="M1488" i="23" s="1"/>
  <c r="L1489" i="23"/>
  <c r="M1489" i="23" s="1"/>
  <c r="L1490" i="23"/>
  <c r="M1490" i="23" s="1"/>
  <c r="L1491" i="23"/>
  <c r="M1491" i="23"/>
  <c r="L1492" i="23"/>
  <c r="M1492" i="23" s="1"/>
  <c r="L1493" i="23"/>
  <c r="M1493" i="23"/>
  <c r="L1494" i="23"/>
  <c r="M1494" i="23" s="1"/>
  <c r="L1495" i="23"/>
  <c r="M1495" i="23"/>
  <c r="L1496" i="23"/>
  <c r="M1496" i="23" s="1"/>
  <c r="L1497" i="23"/>
  <c r="M1497" i="23" s="1"/>
  <c r="L1498" i="23"/>
  <c r="M1498" i="23" s="1"/>
  <c r="L1499" i="23"/>
  <c r="M1499" i="23"/>
  <c r="L1500" i="23"/>
  <c r="M1500" i="23" s="1"/>
  <c r="L1501" i="23"/>
  <c r="M1501" i="23"/>
  <c r="L1502" i="23"/>
  <c r="M1502" i="23" s="1"/>
  <c r="L1503" i="23"/>
  <c r="M1503" i="23"/>
  <c r="L1504" i="23"/>
  <c r="M1504" i="23" s="1"/>
  <c r="L1505" i="23"/>
  <c r="M1505" i="23" s="1"/>
  <c r="L1506" i="23"/>
  <c r="M1506" i="23" s="1"/>
  <c r="L1507" i="23"/>
  <c r="M1507" i="23" s="1"/>
  <c r="L1508" i="23"/>
  <c r="M1508" i="23" s="1"/>
  <c r="L1509" i="23"/>
  <c r="M1509" i="23"/>
  <c r="L1510" i="23"/>
  <c r="M1510" i="23" s="1"/>
  <c r="L1511" i="23"/>
  <c r="M1511" i="23"/>
  <c r="L1512" i="23"/>
  <c r="M1512" i="23" s="1"/>
  <c r="L1513" i="23"/>
  <c r="M1513" i="23" s="1"/>
  <c r="L1514" i="23"/>
  <c r="M1514" i="23" s="1"/>
  <c r="L1515" i="23"/>
  <c r="M1515" i="23"/>
  <c r="L1516" i="23"/>
  <c r="M1516" i="23" s="1"/>
  <c r="L1517" i="23"/>
  <c r="M1517" i="23"/>
  <c r="L1518" i="23"/>
  <c r="M1518" i="23" s="1"/>
  <c r="L1519" i="23"/>
  <c r="M1519" i="23"/>
  <c r="L1520" i="23"/>
  <c r="M1520" i="23" s="1"/>
  <c r="L1521" i="23"/>
  <c r="M1521" i="23" s="1"/>
  <c r="L1522" i="23"/>
  <c r="M1522" i="23" s="1"/>
  <c r="L1523" i="23"/>
  <c r="M1523" i="23"/>
  <c r="L1524" i="23"/>
  <c r="M1524" i="23" s="1"/>
  <c r="L1525" i="23"/>
  <c r="M1525" i="23"/>
  <c r="L1526" i="23"/>
  <c r="M1526" i="23" s="1"/>
  <c r="L1527" i="23"/>
  <c r="M1527" i="23"/>
  <c r="L1528" i="23"/>
  <c r="M1528" i="23" s="1"/>
  <c r="L1529" i="23"/>
  <c r="M1529" i="23" s="1"/>
  <c r="L1530" i="23"/>
  <c r="M1530" i="23" s="1"/>
  <c r="L1531" i="23"/>
  <c r="M1531" i="23"/>
  <c r="L1532" i="23"/>
  <c r="M1532" i="23" s="1"/>
  <c r="L1533" i="23"/>
  <c r="M1533" i="23"/>
  <c r="L1534" i="23"/>
  <c r="M1534" i="23" s="1"/>
  <c r="L1535" i="23"/>
  <c r="M1535" i="23"/>
  <c r="L1536" i="23"/>
  <c r="M1536" i="23" s="1"/>
  <c r="L1537" i="23"/>
  <c r="M1537" i="23" s="1"/>
  <c r="L1538" i="23"/>
  <c r="M1538" i="23" s="1"/>
  <c r="L1539" i="23"/>
  <c r="M1539" i="23" s="1"/>
  <c r="L1540" i="23"/>
  <c r="M1540" i="23" s="1"/>
  <c r="L1541" i="23"/>
  <c r="M1541" i="23"/>
  <c r="L1542" i="23"/>
  <c r="M1542" i="23" s="1"/>
  <c r="L1543" i="23"/>
  <c r="M1543" i="23"/>
  <c r="L1544" i="23"/>
  <c r="M1544" i="23" s="1"/>
  <c r="L1545" i="23"/>
  <c r="M1545" i="23" s="1"/>
  <c r="L1546" i="23"/>
  <c r="M1546" i="23" s="1"/>
  <c r="L1547" i="23"/>
  <c r="M1547" i="23"/>
  <c r="L1548" i="23"/>
  <c r="M1548" i="23" s="1"/>
  <c r="L1549" i="23"/>
  <c r="M1549" i="23"/>
  <c r="L1550" i="23"/>
  <c r="M1550" i="23" s="1"/>
  <c r="L1551" i="23"/>
  <c r="M1551" i="23"/>
  <c r="L1552" i="23"/>
  <c r="M1552" i="23" s="1"/>
  <c r="L1553" i="23"/>
  <c r="M1553" i="23" s="1"/>
  <c r="L1554" i="23"/>
  <c r="M1554" i="23" s="1"/>
  <c r="L1555" i="23"/>
  <c r="M1555" i="23"/>
  <c r="L1556" i="23"/>
  <c r="M1556" i="23" s="1"/>
  <c r="L1557" i="23"/>
  <c r="M1557" i="23"/>
  <c r="L1558" i="23"/>
  <c r="M1558" i="23" s="1"/>
  <c r="L1559" i="23"/>
  <c r="M1559" i="23"/>
  <c r="L1560" i="23"/>
  <c r="M1560" i="23" s="1"/>
  <c r="L1561" i="23"/>
  <c r="M1561" i="23" s="1"/>
  <c r="L1562" i="23"/>
  <c r="M1562" i="23" s="1"/>
  <c r="L1563" i="23"/>
  <c r="M1563" i="23"/>
  <c r="L1564" i="23"/>
  <c r="M1564" i="23" s="1"/>
  <c r="L1565" i="23"/>
  <c r="M1565" i="23"/>
  <c r="L1566" i="23"/>
  <c r="M1566" i="23" s="1"/>
  <c r="L1567" i="23"/>
  <c r="M1567" i="23"/>
  <c r="L1568" i="23"/>
  <c r="M1568" i="23" s="1"/>
  <c r="L1569" i="23"/>
  <c r="M1569" i="23" s="1"/>
  <c r="L1570" i="23"/>
  <c r="M1570" i="23" s="1"/>
  <c r="L1571" i="23"/>
  <c r="M1571" i="23" s="1"/>
  <c r="L1572" i="23"/>
  <c r="M1572" i="23" s="1"/>
  <c r="L1573" i="23"/>
  <c r="M1573" i="23"/>
  <c r="L1574" i="23"/>
  <c r="M1574" i="23" s="1"/>
  <c r="L1575" i="23"/>
  <c r="M1575" i="23"/>
  <c r="L1576" i="23"/>
  <c r="M1576" i="23" s="1"/>
  <c r="L1577" i="23"/>
  <c r="M1577" i="23" s="1"/>
  <c r="L1578" i="23"/>
  <c r="M1578" i="23" s="1"/>
  <c r="L1579" i="23"/>
  <c r="M1579" i="23"/>
  <c r="L1580" i="23"/>
  <c r="M1580" i="23" s="1"/>
  <c r="L1581" i="23"/>
  <c r="M1581" i="23"/>
  <c r="L1582" i="23"/>
  <c r="M1582" i="23" s="1"/>
  <c r="L1583" i="23"/>
  <c r="M1583" i="23"/>
  <c r="L1584" i="23"/>
  <c r="M1584" i="23" s="1"/>
  <c r="L1585" i="23"/>
  <c r="M1585" i="23" s="1"/>
  <c r="L1586" i="23"/>
  <c r="M1586" i="23" s="1"/>
  <c r="L1587" i="23"/>
  <c r="M1587" i="23"/>
  <c r="L1588" i="23"/>
  <c r="M1588" i="23" s="1"/>
  <c r="L1589" i="23"/>
  <c r="M1589" i="23"/>
  <c r="L1590" i="23"/>
  <c r="M1590" i="23" s="1"/>
  <c r="L1591" i="23"/>
  <c r="M1591" i="23"/>
  <c r="L1592" i="23"/>
  <c r="M1592" i="23" s="1"/>
  <c r="L1593" i="23"/>
  <c r="M1593" i="23" s="1"/>
  <c r="L1594" i="23"/>
  <c r="M1594" i="23" s="1"/>
  <c r="L1595" i="23"/>
  <c r="M1595" i="23"/>
  <c r="L1596" i="23"/>
  <c r="M1596" i="23" s="1"/>
  <c r="L1597" i="23"/>
  <c r="M1597" i="23"/>
  <c r="L1598" i="23"/>
  <c r="M1598" i="23" s="1"/>
  <c r="L1599" i="23"/>
  <c r="M1599" i="23"/>
  <c r="L1600" i="23"/>
  <c r="M1600" i="23" s="1"/>
  <c r="L1601" i="23"/>
  <c r="M1601" i="23" s="1"/>
  <c r="L1602" i="23"/>
  <c r="M1602" i="23" s="1"/>
  <c r="L1603" i="23"/>
  <c r="M1603" i="23" s="1"/>
  <c r="L1604" i="23"/>
  <c r="M1604" i="23" s="1"/>
  <c r="L1605" i="23"/>
  <c r="M1605" i="23"/>
  <c r="L1606" i="23"/>
  <c r="M1606" i="23" s="1"/>
  <c r="L1607" i="23"/>
  <c r="M1607" i="23"/>
  <c r="L1608" i="23"/>
  <c r="M1608" i="23" s="1"/>
  <c r="L1609" i="23"/>
  <c r="M1609" i="23" s="1"/>
  <c r="L1610" i="23"/>
  <c r="M1610" i="23" s="1"/>
  <c r="L1611" i="23"/>
  <c r="M1611" i="23"/>
  <c r="L1612" i="23"/>
  <c r="M1612" i="23" s="1"/>
  <c r="L1613" i="23"/>
  <c r="M1613" i="23"/>
  <c r="L1614" i="23"/>
  <c r="M1614" i="23" s="1"/>
  <c r="L1615" i="23"/>
  <c r="M1615" i="23"/>
  <c r="L1616" i="23"/>
  <c r="M1616" i="23" s="1"/>
  <c r="L1617" i="23"/>
  <c r="M1617" i="23" s="1"/>
  <c r="L1618" i="23"/>
  <c r="M1618" i="23" s="1"/>
  <c r="L1619" i="23"/>
  <c r="M1619" i="23"/>
  <c r="L1620" i="23"/>
  <c r="M1620" i="23" s="1"/>
  <c r="L1621" i="23"/>
  <c r="M1621" i="23"/>
  <c r="L1622" i="23"/>
  <c r="M1622" i="23" s="1"/>
  <c r="L1623" i="23"/>
  <c r="M1623" i="23"/>
  <c r="L1624" i="23"/>
  <c r="M1624" i="23" s="1"/>
  <c r="L1625" i="23"/>
  <c r="M1625" i="23" s="1"/>
  <c r="L1626" i="23"/>
  <c r="M1626" i="23" s="1"/>
  <c r="L1627" i="23"/>
  <c r="M1627" i="23"/>
  <c r="L1628" i="23"/>
  <c r="M1628" i="23" s="1"/>
  <c r="L1629" i="23"/>
  <c r="M1629" i="23"/>
  <c r="L1630" i="23"/>
  <c r="M1630" i="23" s="1"/>
  <c r="L1631" i="23"/>
  <c r="M1631" i="23"/>
  <c r="L1632" i="23"/>
  <c r="M1632" i="23" s="1"/>
  <c r="L1633" i="23"/>
  <c r="M1633" i="23" s="1"/>
  <c r="L1634" i="23"/>
  <c r="M1634" i="23" s="1"/>
  <c r="L1635" i="23"/>
  <c r="M1635" i="23" s="1"/>
  <c r="L1636" i="23"/>
  <c r="M1636" i="23" s="1"/>
  <c r="L1637" i="23"/>
  <c r="M1637" i="23"/>
  <c r="L1638" i="23"/>
  <c r="M1638" i="23" s="1"/>
  <c r="L1639" i="23"/>
  <c r="M1639" i="23"/>
  <c r="L1640" i="23"/>
  <c r="M1640" i="23" s="1"/>
  <c r="L1641" i="23"/>
  <c r="M1641" i="23" s="1"/>
  <c r="L1642" i="23"/>
  <c r="M1642" i="23" s="1"/>
  <c r="L1643" i="23"/>
  <c r="M1643" i="23"/>
  <c r="L1644" i="23"/>
  <c r="M1644" i="23" s="1"/>
  <c r="L1645" i="23"/>
  <c r="M1645" i="23"/>
  <c r="L1646" i="23"/>
  <c r="M1646" i="23" s="1"/>
  <c r="L1647" i="23"/>
  <c r="M1647" i="23"/>
  <c r="L1648" i="23"/>
  <c r="M1648" i="23" s="1"/>
  <c r="L1649" i="23"/>
  <c r="M1649" i="23" s="1"/>
  <c r="L1650" i="23"/>
  <c r="M1650" i="23" s="1"/>
  <c r="L1651" i="23"/>
  <c r="M1651" i="23"/>
  <c r="L1652" i="23"/>
  <c r="M1652" i="23" s="1"/>
  <c r="L1653" i="23"/>
  <c r="M1653" i="23"/>
  <c r="L1654" i="23"/>
  <c r="M1654" i="23" s="1"/>
  <c r="L1655" i="23"/>
  <c r="M1655" i="23"/>
  <c r="L1656" i="23"/>
  <c r="M1656" i="23" s="1"/>
  <c r="L1657" i="23"/>
  <c r="M1657" i="23" s="1"/>
  <c r="L1658" i="23"/>
  <c r="M1658" i="23"/>
  <c r="L1659" i="23"/>
  <c r="M1659" i="23" s="1"/>
  <c r="L1660" i="23"/>
  <c r="M1660" i="23"/>
  <c r="L1661" i="23"/>
  <c r="M1661" i="23" s="1"/>
  <c r="L1662" i="23"/>
  <c r="M1662" i="23"/>
  <c r="L1663" i="23"/>
  <c r="M1663" i="23" s="1"/>
  <c r="L1664" i="23"/>
  <c r="M1664" i="23"/>
  <c r="L1665" i="23"/>
  <c r="M1665" i="23" s="1"/>
  <c r="L1666" i="23"/>
  <c r="M1666" i="23"/>
  <c r="L1667" i="23"/>
  <c r="M1667" i="23" s="1"/>
  <c r="L1668" i="23"/>
  <c r="M1668" i="23"/>
  <c r="L1669" i="23"/>
  <c r="M1669" i="23" s="1"/>
  <c r="L1670" i="23"/>
  <c r="M1670" i="23"/>
  <c r="L1671" i="23"/>
  <c r="M1671" i="23" s="1"/>
  <c r="L1672" i="23"/>
  <c r="M1672" i="23"/>
  <c r="L1673" i="23"/>
  <c r="M1673" i="23" s="1"/>
  <c r="L1674" i="23"/>
  <c r="M1674" i="23"/>
  <c r="L1675" i="23"/>
  <c r="M1675" i="23" s="1"/>
  <c r="L1676" i="23"/>
  <c r="M1676" i="23"/>
  <c r="L1677" i="23"/>
  <c r="M1677" i="23" s="1"/>
  <c r="L1678" i="23"/>
  <c r="M1678" i="23"/>
  <c r="L1679" i="23"/>
  <c r="M1679" i="23" s="1"/>
  <c r="L1680" i="23"/>
  <c r="M1680" i="23"/>
  <c r="L1681" i="23"/>
  <c r="M1681" i="23" s="1"/>
  <c r="L1682" i="23"/>
  <c r="M1682" i="23"/>
  <c r="L1683" i="23"/>
  <c r="M1683" i="23" s="1"/>
  <c r="L1684" i="23"/>
  <c r="M1684" i="23"/>
  <c r="L1685" i="23"/>
  <c r="M1685" i="23" s="1"/>
  <c r="L1686" i="23"/>
  <c r="M1686" i="23"/>
  <c r="L1687" i="23"/>
  <c r="M1687" i="23" s="1"/>
  <c r="L1688" i="23"/>
  <c r="M1688" i="23"/>
  <c r="L1689" i="23"/>
  <c r="M1689" i="23" s="1"/>
  <c r="L1690" i="23"/>
  <c r="M1690" i="23"/>
  <c r="L1691" i="23"/>
  <c r="M1691" i="23" s="1"/>
  <c r="L1692" i="23"/>
  <c r="M1692" i="23"/>
  <c r="L1693" i="23"/>
  <c r="M1693" i="23" s="1"/>
  <c r="L1694" i="23"/>
  <c r="M1694" i="23"/>
  <c r="L1695" i="23"/>
  <c r="M1695" i="23" s="1"/>
  <c r="L1696" i="23"/>
  <c r="M1696" i="23"/>
  <c r="L1697" i="23"/>
  <c r="M1697" i="23" s="1"/>
  <c r="L1698" i="23"/>
  <c r="M1698" i="23"/>
  <c r="L1699" i="23"/>
  <c r="M1699" i="23" s="1"/>
  <c r="L1700" i="23"/>
  <c r="M1700" i="23"/>
  <c r="L1701" i="23"/>
  <c r="M1701" i="23" s="1"/>
  <c r="L1702" i="23"/>
  <c r="M1702" i="23"/>
  <c r="L1703" i="23"/>
  <c r="M1703" i="23" s="1"/>
  <c r="L1704" i="23"/>
  <c r="M1704" i="23"/>
  <c r="L1705" i="23"/>
  <c r="M1705" i="23" s="1"/>
  <c r="L1706" i="23"/>
  <c r="M1706" i="23"/>
  <c r="L1707" i="23"/>
  <c r="M1707" i="23" s="1"/>
  <c r="L1708" i="23"/>
  <c r="M1708" i="23"/>
  <c r="L1709" i="23"/>
  <c r="M1709" i="23" s="1"/>
  <c r="L1710" i="23"/>
  <c r="M1710" i="23"/>
  <c r="L1711" i="23"/>
  <c r="M1711" i="23" s="1"/>
  <c r="L1712" i="23"/>
  <c r="M1712" i="23"/>
  <c r="L1713" i="23"/>
  <c r="M1713" i="23" s="1"/>
  <c r="L1714" i="23"/>
  <c r="M1714" i="23"/>
  <c r="L1715" i="23"/>
  <c r="M1715" i="23" s="1"/>
  <c r="L1716" i="23"/>
  <c r="M1716" i="23"/>
  <c r="L1717" i="23"/>
  <c r="M1717" i="23" s="1"/>
  <c r="L1718" i="23"/>
  <c r="M1718" i="23"/>
  <c r="L1719" i="23"/>
  <c r="M1719" i="23" s="1"/>
  <c r="L1720" i="23"/>
  <c r="M1720" i="23"/>
  <c r="L1721" i="23"/>
  <c r="M1721" i="23" s="1"/>
  <c r="L1722" i="23"/>
  <c r="M1722" i="23"/>
  <c r="L1723" i="23"/>
  <c r="M1723" i="23" s="1"/>
  <c r="L1724" i="23"/>
  <c r="M1724" i="23"/>
  <c r="L1725" i="23"/>
  <c r="M1725" i="23" s="1"/>
  <c r="L1726" i="23"/>
  <c r="M1726" i="23"/>
  <c r="L1727" i="23"/>
  <c r="M1727" i="23" s="1"/>
  <c r="L1728" i="23"/>
  <c r="M1728" i="23"/>
  <c r="L1729" i="23"/>
  <c r="M1729" i="23" s="1"/>
  <c r="L1730" i="23"/>
  <c r="M1730" i="23"/>
  <c r="L1731" i="23"/>
  <c r="M1731" i="23" s="1"/>
  <c r="L1732" i="23"/>
  <c r="M1732" i="23"/>
  <c r="L1733" i="23"/>
  <c r="M1733" i="23" s="1"/>
  <c r="L1734" i="23"/>
  <c r="M1734" i="23"/>
  <c r="L1735" i="23"/>
  <c r="M1735" i="23" s="1"/>
  <c r="L1736" i="23"/>
  <c r="M1736" i="23"/>
  <c r="L1737" i="23"/>
  <c r="M1737" i="23" s="1"/>
  <c r="L1738" i="23"/>
  <c r="M1738" i="23"/>
  <c r="L1739" i="23"/>
  <c r="M1739" i="23" s="1"/>
  <c r="L1740" i="23"/>
  <c r="M1740" i="23"/>
  <c r="L1741" i="23"/>
  <c r="M1741" i="23" s="1"/>
  <c r="L1742" i="23"/>
  <c r="M1742" i="23"/>
  <c r="L1743" i="23"/>
  <c r="M1743" i="23" s="1"/>
  <c r="L1744" i="23"/>
  <c r="M1744" i="23"/>
  <c r="L1745" i="23"/>
  <c r="M1745" i="23" s="1"/>
  <c r="L1746" i="23"/>
  <c r="M1746" i="23"/>
  <c r="L1747" i="23"/>
  <c r="M1747" i="23" s="1"/>
  <c r="L1748" i="23"/>
  <c r="M1748" i="23"/>
  <c r="L1749" i="23"/>
  <c r="M1749" i="23" s="1"/>
  <c r="L1750" i="23"/>
  <c r="M1750" i="23"/>
  <c r="L1751" i="23"/>
  <c r="M1751" i="23" s="1"/>
  <c r="L1752" i="23"/>
  <c r="M1752" i="23"/>
  <c r="L1753" i="23"/>
  <c r="M1753" i="23" s="1"/>
  <c r="L1754" i="23"/>
  <c r="M1754" i="23"/>
  <c r="L1755" i="23"/>
  <c r="M1755" i="23" s="1"/>
  <c r="L1756" i="23"/>
  <c r="M1756" i="23"/>
  <c r="L1757" i="23"/>
  <c r="M1757" i="23" s="1"/>
  <c r="L1758" i="23"/>
  <c r="M1758" i="23"/>
  <c r="L1759" i="23"/>
  <c r="M1759" i="23" s="1"/>
  <c r="L1760" i="23"/>
  <c r="M1760" i="23"/>
  <c r="L1761" i="23"/>
  <c r="M1761" i="23" s="1"/>
  <c r="L1762" i="23"/>
  <c r="M1762" i="23"/>
  <c r="L1763" i="23"/>
  <c r="M1763" i="23" s="1"/>
  <c r="L1764" i="23"/>
  <c r="M1764" i="23"/>
  <c r="L1765" i="23"/>
  <c r="M1765" i="23" s="1"/>
  <c r="L1766" i="23"/>
  <c r="M1766" i="23"/>
  <c r="L1767" i="23"/>
  <c r="M1767" i="23" s="1"/>
  <c r="L1768" i="23"/>
  <c r="M1768" i="23"/>
  <c r="L1769" i="23"/>
  <c r="M1769" i="23" s="1"/>
  <c r="L1770" i="23"/>
  <c r="M1770" i="23"/>
  <c r="L1771" i="23"/>
  <c r="M1771" i="23" s="1"/>
  <c r="L1772" i="23"/>
  <c r="M1772" i="23"/>
  <c r="L1773" i="23"/>
  <c r="M1773" i="23" s="1"/>
  <c r="L1774" i="23"/>
  <c r="M1774" i="23"/>
  <c r="L1775" i="23"/>
  <c r="M1775" i="23" s="1"/>
  <c r="L1776" i="23"/>
  <c r="M1776" i="23"/>
  <c r="L1777" i="23"/>
  <c r="M1777" i="23" s="1"/>
  <c r="L1778" i="23"/>
  <c r="M1778" i="23"/>
  <c r="L1779" i="23"/>
  <c r="M1779" i="23" s="1"/>
  <c r="L1780" i="23"/>
  <c r="M1780" i="23"/>
  <c r="L1781" i="23"/>
  <c r="M1781" i="23" s="1"/>
  <c r="L1782" i="23"/>
  <c r="M1782" i="23"/>
  <c r="L1783" i="23"/>
  <c r="M1783" i="23" s="1"/>
  <c r="L1784" i="23"/>
  <c r="M1784" i="23"/>
  <c r="L1785" i="23"/>
  <c r="M1785" i="23" s="1"/>
  <c r="L1786" i="23"/>
  <c r="M1786" i="23"/>
  <c r="L1787" i="23"/>
  <c r="M1787" i="23" s="1"/>
  <c r="L1788" i="23"/>
  <c r="M1788" i="23"/>
  <c r="L1789" i="23"/>
  <c r="M1789" i="23" s="1"/>
  <c r="L1790" i="23"/>
  <c r="M1790" i="23"/>
  <c r="L1791" i="23"/>
  <c r="M1791" i="23" s="1"/>
  <c r="L1792" i="23"/>
  <c r="M1792" i="23"/>
  <c r="L1793" i="23"/>
  <c r="M1793" i="23" s="1"/>
  <c r="L1794" i="23"/>
  <c r="M1794" i="23"/>
  <c r="L1795" i="23"/>
  <c r="M1795" i="23" s="1"/>
  <c r="L1796" i="23"/>
  <c r="M1796" i="23"/>
  <c r="L1797" i="23"/>
  <c r="M1797" i="23" s="1"/>
  <c r="L1798" i="23"/>
  <c r="M1798" i="23"/>
  <c r="L1799" i="23"/>
  <c r="M1799" i="23" s="1"/>
  <c r="L1800" i="23"/>
  <c r="M1800" i="23"/>
  <c r="L1801" i="23"/>
  <c r="M1801" i="23" s="1"/>
  <c r="L1802" i="23"/>
  <c r="M1802" i="23"/>
  <c r="L1803" i="23"/>
  <c r="M1803" i="23" s="1"/>
  <c r="L1804" i="23"/>
  <c r="M1804" i="23"/>
  <c r="L1805" i="23"/>
  <c r="M1805" i="23" s="1"/>
  <c r="L1806" i="23"/>
  <c r="M1806" i="23"/>
  <c r="L1807" i="23"/>
  <c r="M1807" i="23" s="1"/>
  <c r="L1808" i="23"/>
  <c r="M1808" i="23"/>
  <c r="L1809" i="23"/>
  <c r="M1809" i="23" s="1"/>
  <c r="L1810" i="23"/>
  <c r="M1810" i="23"/>
  <c r="L1811" i="23"/>
  <c r="M1811" i="23" s="1"/>
  <c r="L1812" i="23"/>
  <c r="M1812" i="23"/>
  <c r="L1813" i="23"/>
  <c r="M1813" i="23" s="1"/>
  <c r="L1814" i="23"/>
  <c r="M1814" i="23"/>
  <c r="L1815" i="23"/>
  <c r="M1815" i="23" s="1"/>
  <c r="L1816" i="23"/>
  <c r="M1816" i="23"/>
  <c r="L1817" i="23"/>
  <c r="M1817" i="23" s="1"/>
  <c r="L1818" i="23"/>
  <c r="M1818" i="23"/>
  <c r="L1819" i="23"/>
  <c r="M1819" i="23" s="1"/>
  <c r="L1820" i="23"/>
  <c r="M1820" i="23"/>
  <c r="L1821" i="23"/>
  <c r="M1821" i="23" s="1"/>
  <c r="L1822" i="23"/>
  <c r="M1822" i="23"/>
  <c r="L1823" i="23"/>
  <c r="M1823" i="23" s="1"/>
  <c r="L1824" i="23"/>
  <c r="M1824" i="23"/>
  <c r="L1825" i="23"/>
  <c r="M1825" i="23" s="1"/>
  <c r="L1826" i="23"/>
  <c r="M1826" i="23"/>
  <c r="L1827" i="23"/>
  <c r="M1827" i="23" s="1"/>
  <c r="L1828" i="23"/>
  <c r="M1828" i="23"/>
  <c r="L1829" i="23"/>
  <c r="M1829" i="23" s="1"/>
  <c r="L1830" i="23"/>
  <c r="M1830" i="23"/>
  <c r="L1831" i="23"/>
  <c r="M1831" i="23" s="1"/>
  <c r="L1832" i="23"/>
  <c r="M1832" i="23"/>
  <c r="L1833" i="23"/>
  <c r="M1833" i="23" s="1"/>
  <c r="L1834" i="23"/>
  <c r="M1834" i="23"/>
  <c r="L1835" i="23"/>
  <c r="M1835" i="23" s="1"/>
  <c r="L1836" i="23"/>
  <c r="M1836" i="23"/>
  <c r="L1837" i="23"/>
  <c r="M1837" i="23" s="1"/>
  <c r="L1838" i="23"/>
  <c r="M1838" i="23"/>
  <c r="L1839" i="23"/>
  <c r="M1839" i="23" s="1"/>
  <c r="L1840" i="23"/>
  <c r="M1840" i="23"/>
  <c r="L1841" i="23"/>
  <c r="M1841" i="23" s="1"/>
  <c r="L1842" i="23"/>
  <c r="M1842" i="23"/>
  <c r="L1843" i="23"/>
  <c r="M1843" i="23" s="1"/>
  <c r="L1844" i="23"/>
  <c r="M1844" i="23"/>
  <c r="L1845" i="23"/>
  <c r="M1845" i="23" s="1"/>
  <c r="L1846" i="23"/>
  <c r="M1846" i="23"/>
  <c r="L1847" i="23"/>
  <c r="M1847" i="23" s="1"/>
  <c r="L1848" i="23"/>
  <c r="M1848" i="23"/>
  <c r="L1849" i="23"/>
  <c r="M1849" i="23" s="1"/>
  <c r="L1850" i="23"/>
  <c r="M1850" i="23"/>
  <c r="L1851" i="23"/>
  <c r="M1851" i="23" s="1"/>
  <c r="L1852" i="23"/>
  <c r="M1852" i="23"/>
  <c r="L1853" i="23"/>
  <c r="M1853" i="23" s="1"/>
  <c r="L1854" i="23"/>
  <c r="M1854" i="23"/>
  <c r="L1855" i="23"/>
  <c r="M1855" i="23" s="1"/>
  <c r="L1856" i="23"/>
  <c r="M1856" i="23"/>
  <c r="L1857" i="23"/>
  <c r="M1857" i="23" s="1"/>
  <c r="L1858" i="23"/>
  <c r="M1858" i="23"/>
  <c r="L1859" i="23"/>
  <c r="M1859" i="23" s="1"/>
  <c r="L1860" i="23"/>
  <c r="M1860" i="23"/>
  <c r="L1861" i="23"/>
  <c r="M1861" i="23" s="1"/>
  <c r="L1862" i="23"/>
  <c r="M1862" i="23"/>
  <c r="L1863" i="23"/>
  <c r="M1863" i="23" s="1"/>
  <c r="L1864" i="23"/>
  <c r="M1864" i="23"/>
  <c r="L1865" i="23"/>
  <c r="M1865" i="23" s="1"/>
  <c r="L1866" i="23"/>
  <c r="M1866" i="23"/>
  <c r="L1867" i="23"/>
  <c r="M1867" i="23" s="1"/>
  <c r="L1868" i="23"/>
  <c r="M1868" i="23"/>
  <c r="L1869" i="23"/>
  <c r="M1869" i="23" s="1"/>
  <c r="L1870" i="23"/>
  <c r="M1870" i="23"/>
  <c r="L1871" i="23"/>
  <c r="M1871" i="23" s="1"/>
  <c r="L1872" i="23"/>
  <c r="M1872" i="23"/>
  <c r="L1873" i="23"/>
  <c r="M1873" i="23" s="1"/>
  <c r="L1874" i="23"/>
  <c r="M1874" i="23"/>
  <c r="L1875" i="23"/>
  <c r="M1875" i="23" s="1"/>
  <c r="L1876" i="23"/>
  <c r="M1876" i="23"/>
  <c r="L1877" i="23"/>
  <c r="M1877" i="23" s="1"/>
  <c r="L1878" i="23"/>
  <c r="M1878" i="23"/>
  <c r="L1879" i="23"/>
  <c r="M1879" i="23" s="1"/>
  <c r="L1880" i="23"/>
  <c r="M1880" i="23"/>
  <c r="L1881" i="23"/>
  <c r="M1881" i="23" s="1"/>
  <c r="L1882" i="23"/>
  <c r="M1882" i="23"/>
  <c r="L1883" i="23"/>
  <c r="M1883" i="23" s="1"/>
  <c r="L1884" i="23"/>
  <c r="M1884" i="23"/>
  <c r="L1885" i="23"/>
  <c r="M1885" i="23" s="1"/>
  <c r="L1886" i="23"/>
  <c r="M1886" i="23"/>
  <c r="L1887" i="23"/>
  <c r="M1887" i="23" s="1"/>
  <c r="L1888" i="23"/>
  <c r="M1888" i="23"/>
  <c r="L1889" i="23"/>
  <c r="M1889" i="23" s="1"/>
  <c r="L1890" i="23"/>
  <c r="M1890" i="23"/>
  <c r="L1891" i="23"/>
  <c r="M1891" i="23" s="1"/>
  <c r="L1892" i="23"/>
  <c r="M1892" i="23"/>
  <c r="L1893" i="23"/>
  <c r="M1893" i="23" s="1"/>
  <c r="L1894" i="23"/>
  <c r="M1894" i="23"/>
  <c r="L1895" i="23"/>
  <c r="M1895" i="23" s="1"/>
  <c r="L1896" i="23"/>
  <c r="M1896" i="23"/>
  <c r="L1897" i="23"/>
  <c r="M1897" i="23" s="1"/>
  <c r="L1898" i="23"/>
  <c r="M1898" i="23"/>
  <c r="L1899" i="23"/>
  <c r="M1899" i="23" s="1"/>
  <c r="L1900" i="23"/>
  <c r="M1900" i="23"/>
  <c r="L1901" i="23"/>
  <c r="M1901" i="23" s="1"/>
  <c r="L1902" i="23"/>
  <c r="M1902" i="23"/>
  <c r="L1903" i="23"/>
  <c r="M1903" i="23" s="1"/>
  <c r="L1904" i="23"/>
  <c r="M1904" i="23"/>
  <c r="L1905" i="23"/>
  <c r="M1905" i="23" s="1"/>
  <c r="L1906" i="23"/>
  <c r="M1906" i="23"/>
  <c r="L1907" i="23"/>
  <c r="M1907" i="23" s="1"/>
  <c r="L1908" i="23"/>
  <c r="M1908" i="23"/>
  <c r="L1909" i="23"/>
  <c r="M1909" i="23" s="1"/>
  <c r="L1910" i="23"/>
  <c r="M1910" i="23"/>
  <c r="L1911" i="23"/>
  <c r="M1911" i="23" s="1"/>
  <c r="L1912" i="23"/>
  <c r="M1912" i="23"/>
  <c r="L1913" i="23"/>
  <c r="M1913" i="23" s="1"/>
  <c r="L1914" i="23"/>
  <c r="M1914" i="23"/>
  <c r="L1915" i="23"/>
  <c r="M1915" i="23" s="1"/>
  <c r="L1916" i="23"/>
  <c r="M1916" i="23"/>
  <c r="L1917" i="23"/>
  <c r="M1917" i="23" s="1"/>
  <c r="L1918" i="23"/>
  <c r="M1918" i="23"/>
  <c r="L1919" i="23"/>
  <c r="M1919" i="23" s="1"/>
  <c r="L1920" i="23"/>
  <c r="M1920" i="23" s="1"/>
  <c r="L1921" i="23"/>
  <c r="M1921" i="23" s="1"/>
  <c r="L1922" i="23"/>
  <c r="M1922" i="23" s="1"/>
  <c r="L1923" i="23"/>
  <c r="M1923" i="23" s="1"/>
  <c r="L1924" i="23"/>
  <c r="M1924" i="23"/>
  <c r="L1925" i="23"/>
  <c r="M1925" i="23" s="1"/>
  <c r="L1926" i="23"/>
  <c r="M1926" i="23"/>
  <c r="L1927" i="23"/>
  <c r="M1927" i="23" s="1"/>
  <c r="L1928" i="23"/>
  <c r="M1928" i="23"/>
  <c r="L1929" i="23"/>
  <c r="M1929" i="23" s="1"/>
  <c r="L1930" i="23"/>
  <c r="M1930" i="23" s="1"/>
  <c r="L1931" i="23"/>
  <c r="M1931" i="23" s="1"/>
  <c r="L1932" i="23"/>
  <c r="M1932" i="23"/>
  <c r="L1933" i="23"/>
  <c r="M1933" i="23" s="1"/>
  <c r="L1934" i="23"/>
  <c r="M1934" i="23"/>
  <c r="L1935" i="23"/>
  <c r="M1935" i="23" s="1"/>
  <c r="L1936" i="23"/>
  <c r="M1936" i="23"/>
  <c r="L1937" i="23"/>
  <c r="M1937" i="23" s="1"/>
  <c r="L1938" i="23"/>
  <c r="M1938" i="23" s="1"/>
  <c r="L1939" i="23"/>
  <c r="M1939" i="23" s="1"/>
  <c r="L1940" i="23"/>
  <c r="M1940" i="23"/>
  <c r="L1941" i="23"/>
  <c r="M1941" i="23" s="1"/>
  <c r="L1942" i="23"/>
  <c r="M1942" i="23"/>
  <c r="L1943" i="23"/>
  <c r="M1943" i="23" s="1"/>
  <c r="L1944" i="23"/>
  <c r="M1944" i="23"/>
  <c r="L1945" i="23"/>
  <c r="M1945" i="23" s="1"/>
  <c r="L1946" i="23"/>
  <c r="M1946" i="23" s="1"/>
  <c r="L1947" i="23"/>
  <c r="M1947" i="23" s="1"/>
  <c r="L1948" i="23"/>
  <c r="M1948" i="23"/>
  <c r="L1949" i="23"/>
  <c r="M1949" i="23" s="1"/>
  <c r="L1950" i="23"/>
  <c r="M1950" i="23"/>
  <c r="L1951" i="23"/>
  <c r="M1951" i="23" s="1"/>
  <c r="L1952" i="23"/>
  <c r="M1952" i="23"/>
  <c r="L1953" i="23"/>
  <c r="M1953" i="23" s="1"/>
  <c r="L1954" i="23"/>
  <c r="M1954" i="23" s="1"/>
  <c r="L1955" i="23"/>
  <c r="M1955" i="23" s="1"/>
  <c r="L1956" i="23"/>
  <c r="M1956" i="23"/>
  <c r="L1957" i="23"/>
  <c r="M1957" i="23" s="1"/>
  <c r="L1958" i="23"/>
  <c r="M1958" i="23"/>
  <c r="L1959" i="23"/>
  <c r="M1959" i="23" s="1"/>
  <c r="L1960" i="23"/>
  <c r="M1960" i="23"/>
  <c r="L1961" i="23"/>
  <c r="M1961" i="23" s="1"/>
  <c r="L1962" i="23"/>
  <c r="M1962" i="23" s="1"/>
  <c r="L1963" i="23"/>
  <c r="M1963" i="23" s="1"/>
  <c r="L1964" i="23"/>
  <c r="M1964" i="23"/>
  <c r="L1965" i="23"/>
  <c r="M1965" i="23" s="1"/>
  <c r="L1966" i="23"/>
  <c r="M1966" i="23"/>
  <c r="L1967" i="23"/>
  <c r="M1967" i="23" s="1"/>
  <c r="L1968" i="23"/>
  <c r="M1968" i="23"/>
  <c r="L1969" i="23"/>
  <c r="M1969" i="23" s="1"/>
  <c r="L1970" i="23"/>
  <c r="M1970" i="23" s="1"/>
  <c r="L1971" i="23"/>
  <c r="M1971" i="23" s="1"/>
  <c r="L1972" i="23"/>
  <c r="M1972" i="23"/>
  <c r="L1973" i="23"/>
  <c r="M1973" i="23" s="1"/>
  <c r="L1974" i="23"/>
  <c r="M1974" i="23"/>
  <c r="L1975" i="23"/>
  <c r="M1975" i="23" s="1"/>
  <c r="L1976" i="23"/>
  <c r="M1976" i="23"/>
  <c r="L1977" i="23"/>
  <c r="M1977" i="23" s="1"/>
  <c r="L1978" i="23"/>
  <c r="M1978" i="23" s="1"/>
  <c r="L1979" i="23"/>
  <c r="M1979" i="23" s="1"/>
  <c r="L1980" i="23"/>
  <c r="M1980" i="23"/>
  <c r="L1981" i="23"/>
  <c r="M1981" i="23" s="1"/>
  <c r="L1982" i="23"/>
  <c r="M1982" i="23"/>
  <c r="L1983" i="23"/>
  <c r="M1983" i="23" s="1"/>
  <c r="L1984" i="23"/>
  <c r="M1984" i="23"/>
  <c r="L1985" i="23"/>
  <c r="M1985" i="23" s="1"/>
  <c r="L1986" i="23"/>
  <c r="M1986" i="23" s="1"/>
  <c r="L1987" i="23"/>
  <c r="M1987" i="23" s="1"/>
  <c r="L1988" i="23"/>
  <c r="M1988" i="23"/>
  <c r="L1989" i="23"/>
  <c r="M1989" i="23" s="1"/>
  <c r="L1990" i="23"/>
  <c r="M1990" i="23"/>
  <c r="L1991" i="23"/>
  <c r="M1991" i="23" s="1"/>
  <c r="L1992" i="23"/>
  <c r="M1992" i="23"/>
  <c r="L1993" i="23"/>
  <c r="M1993" i="23" s="1"/>
  <c r="L1994" i="23"/>
  <c r="M1994" i="23" s="1"/>
  <c r="L1995" i="23"/>
  <c r="M1995" i="23" s="1"/>
  <c r="L1996" i="23"/>
  <c r="M1996" i="23"/>
  <c r="L1997" i="23"/>
  <c r="M1997" i="23" s="1"/>
  <c r="L1998" i="23"/>
  <c r="M1998" i="23"/>
  <c r="L1999" i="23"/>
  <c r="M1999" i="23" s="1"/>
  <c r="L2000" i="23"/>
  <c r="M2000" i="23"/>
  <c r="L2001" i="23"/>
  <c r="M2001" i="23" s="1"/>
  <c r="L2002" i="23"/>
  <c r="M2002" i="23" s="1"/>
  <c r="L2003" i="23"/>
  <c r="M2003" i="23" s="1"/>
  <c r="L2004" i="23"/>
  <c r="M2004" i="23"/>
  <c r="L2005" i="23"/>
  <c r="M2005" i="23" s="1"/>
  <c r="L2006" i="23"/>
  <c r="M2006" i="23"/>
  <c r="L2007" i="23"/>
  <c r="M2007" i="23" s="1"/>
  <c r="L2008" i="23"/>
  <c r="M2008" i="23"/>
  <c r="L2009" i="23"/>
  <c r="M2009" i="23" s="1"/>
  <c r="L2010" i="23"/>
  <c r="M2010" i="23" s="1"/>
  <c r="L2011" i="23"/>
  <c r="M2011" i="23" s="1"/>
  <c r="L2012" i="23"/>
  <c r="M2012" i="23"/>
  <c r="L2013" i="23"/>
  <c r="M2013" i="23" s="1"/>
  <c r="L2014" i="23"/>
  <c r="M2014" i="23"/>
  <c r="L2015" i="23"/>
  <c r="M2015" i="23" s="1"/>
  <c r="L2016" i="23"/>
  <c r="M2016" i="23"/>
  <c r="L2017" i="23"/>
  <c r="M2017" i="23" s="1"/>
  <c r="L2018" i="23"/>
  <c r="M2018" i="23" s="1"/>
  <c r="L2019" i="23"/>
  <c r="M2019" i="23" s="1"/>
  <c r="L2020" i="23"/>
  <c r="M2020" i="23"/>
  <c r="L2021" i="23"/>
  <c r="M2021" i="23" s="1"/>
  <c r="L2022" i="23"/>
  <c r="M2022" i="23"/>
  <c r="L2023" i="23"/>
  <c r="M2023" i="23" s="1"/>
  <c r="L2024" i="23"/>
  <c r="M2024" i="23"/>
  <c r="L2025" i="23"/>
  <c r="M2025" i="23" s="1"/>
  <c r="L2026" i="23"/>
  <c r="M2026" i="23" s="1"/>
  <c r="L2027" i="23"/>
  <c r="M2027" i="23" s="1"/>
  <c r="L2028" i="23"/>
  <c r="M2028" i="23"/>
  <c r="L2029" i="23"/>
  <c r="M2029" i="23" s="1"/>
  <c r="L2030" i="23"/>
  <c r="M2030" i="23"/>
  <c r="L2031" i="23"/>
  <c r="M2031" i="23" s="1"/>
  <c r="L2032" i="23"/>
  <c r="M2032" i="23"/>
  <c r="L2033" i="23"/>
  <c r="M2033" i="23" s="1"/>
  <c r="L2034" i="23"/>
  <c r="M2034" i="23" s="1"/>
  <c r="L2035" i="23"/>
  <c r="M2035" i="23" s="1"/>
  <c r="L2036" i="23"/>
  <c r="M2036" i="23"/>
  <c r="L2037" i="23"/>
  <c r="M2037" i="23" s="1"/>
  <c r="L2038" i="23"/>
  <c r="M2038" i="23"/>
  <c r="L2039" i="23"/>
  <c r="M2039" i="23" s="1"/>
  <c r="L2040" i="23"/>
  <c r="M2040" i="23"/>
  <c r="L2041" i="23"/>
  <c r="M2041" i="23" s="1"/>
  <c r="L2042" i="23"/>
  <c r="M2042" i="23" s="1"/>
  <c r="L2043" i="23"/>
  <c r="M2043" i="23" s="1"/>
  <c r="L2044" i="23"/>
  <c r="M2044" i="23"/>
  <c r="L2045" i="23"/>
  <c r="M2045" i="23" s="1"/>
  <c r="L2046" i="23"/>
  <c r="M2046" i="23"/>
  <c r="L2047" i="23"/>
  <c r="M2047" i="23" s="1"/>
  <c r="L2048" i="23"/>
  <c r="M2048" i="23"/>
  <c r="L2049" i="23"/>
  <c r="M2049" i="23" s="1"/>
  <c r="L2050" i="23"/>
  <c r="M2050" i="23" s="1"/>
  <c r="L2051" i="23"/>
  <c r="M2051" i="23" s="1"/>
  <c r="L2052" i="23"/>
  <c r="M2052" i="23"/>
  <c r="L2053" i="23"/>
  <c r="M2053" i="23" s="1"/>
  <c r="L2054" i="23"/>
  <c r="M2054" i="23"/>
  <c r="L2055" i="23"/>
  <c r="M2055" i="23" s="1"/>
  <c r="L2056" i="23"/>
  <c r="M2056" i="23"/>
  <c r="L2057" i="23"/>
  <c r="M2057" i="23" s="1"/>
  <c r="L2058" i="23"/>
  <c r="M2058" i="23" s="1"/>
  <c r="L2059" i="23"/>
  <c r="M2059" i="23" s="1"/>
  <c r="L2060" i="23"/>
  <c r="M2060" i="23"/>
  <c r="L2061" i="23"/>
  <c r="M2061" i="23" s="1"/>
  <c r="L2062" i="23"/>
  <c r="M2062" i="23"/>
  <c r="L2063" i="23"/>
  <c r="M2063" i="23" s="1"/>
  <c r="L2064" i="23"/>
  <c r="M2064" i="23" s="1"/>
  <c r="L2065" i="23"/>
  <c r="M2065" i="23" s="1"/>
  <c r="L2066" i="23"/>
  <c r="M2066" i="23" s="1"/>
  <c r="L2067" i="23"/>
  <c r="M2067" i="23" s="1"/>
  <c r="L2068" i="23"/>
  <c r="M2068" i="23"/>
  <c r="L2069" i="23"/>
  <c r="M2069" i="23" s="1"/>
  <c r="L2070" i="23"/>
  <c r="M2070" i="23"/>
  <c r="L2071" i="23"/>
  <c r="M2071" i="23" s="1"/>
  <c r="L2072" i="23"/>
  <c r="M2072" i="23" s="1"/>
  <c r="L2073" i="23"/>
  <c r="M2073" i="23" s="1"/>
  <c r="L2074" i="23"/>
  <c r="M2074" i="23" s="1"/>
  <c r="L2075" i="23"/>
  <c r="M2075" i="23" s="1"/>
  <c r="L2076" i="23"/>
  <c r="M2076" i="23"/>
  <c r="L2077" i="23"/>
  <c r="M2077" i="23" s="1"/>
  <c r="L2078" i="23"/>
  <c r="M2078" i="23"/>
  <c r="L2079" i="23"/>
  <c r="M2079" i="23" s="1"/>
  <c r="L2080" i="23"/>
  <c r="M2080" i="23" s="1"/>
  <c r="L2081" i="23"/>
  <c r="M2081" i="23" s="1"/>
  <c r="L2082" i="23"/>
  <c r="M2082" i="23" s="1"/>
  <c r="L2083" i="23"/>
  <c r="M2083" i="23" s="1"/>
  <c r="L2084" i="23"/>
  <c r="M2084" i="23"/>
  <c r="L2085" i="23"/>
  <c r="M2085" i="23" s="1"/>
  <c r="L2086" i="23"/>
  <c r="M2086" i="23"/>
  <c r="L2087" i="23"/>
  <c r="M2087" i="23" s="1"/>
  <c r="L2088" i="23"/>
  <c r="M2088" i="23"/>
  <c r="L2089" i="23"/>
  <c r="M2089" i="23" s="1"/>
  <c r="L2090" i="23"/>
  <c r="M2090" i="23" s="1"/>
  <c r="L2091" i="23"/>
  <c r="M2091" i="23" s="1"/>
  <c r="L2092" i="23"/>
  <c r="M2092" i="23"/>
  <c r="L2093" i="23"/>
  <c r="M2093" i="23" s="1"/>
  <c r="L2094" i="23"/>
  <c r="M2094" i="23"/>
  <c r="L2095" i="23"/>
  <c r="M2095" i="23" s="1"/>
  <c r="L2096" i="23"/>
  <c r="M2096" i="23" s="1"/>
  <c r="L2097" i="23"/>
  <c r="M2097" i="23" s="1"/>
  <c r="L2098" i="23"/>
  <c r="M2098" i="23" s="1"/>
  <c r="L2099" i="23"/>
  <c r="M2099" i="23" s="1"/>
  <c r="L2100" i="23"/>
  <c r="M2100" i="23"/>
  <c r="L2101" i="23"/>
  <c r="M2101" i="23" s="1"/>
  <c r="L2102" i="23"/>
  <c r="M2102" i="23"/>
  <c r="L2103" i="23"/>
  <c r="M2103" i="23" s="1"/>
  <c r="L2104" i="23"/>
  <c r="M2104" i="23"/>
  <c r="L2105" i="23"/>
  <c r="M2105" i="23" s="1"/>
  <c r="L2106" i="23"/>
  <c r="M2106" i="23" s="1"/>
  <c r="L2107" i="23"/>
  <c r="M2107" i="23" s="1"/>
  <c r="L2108" i="23"/>
  <c r="M2108" i="23"/>
  <c r="L2109" i="23"/>
  <c r="M2109" i="23" s="1"/>
  <c r="L2110" i="23"/>
  <c r="M2110" i="23"/>
  <c r="L2111" i="23"/>
  <c r="M2111" i="23" s="1"/>
  <c r="L2112" i="23"/>
  <c r="M2112" i="23"/>
  <c r="L2113" i="23"/>
  <c r="M2113" i="23" s="1"/>
  <c r="L2114" i="23"/>
  <c r="M2114" i="23" s="1"/>
  <c r="L2115" i="23"/>
  <c r="M2115" i="23" s="1"/>
  <c r="L2116" i="23"/>
  <c r="M2116" i="23"/>
  <c r="L2117" i="23"/>
  <c r="M2117" i="23" s="1"/>
  <c r="L2118" i="23"/>
  <c r="M2118" i="23"/>
  <c r="L2119" i="23"/>
  <c r="M2119" i="23" s="1"/>
  <c r="L2120" i="23"/>
  <c r="M2120" i="23"/>
  <c r="L2121" i="23"/>
  <c r="M2121" i="23" s="1"/>
  <c r="L2122" i="23"/>
  <c r="M2122" i="23" s="1"/>
  <c r="L2123" i="23"/>
  <c r="M2123" i="23" s="1"/>
  <c r="L2124" i="23"/>
  <c r="M2124" i="23"/>
  <c r="L2125" i="23"/>
  <c r="M2125" i="23" s="1"/>
  <c r="L2126" i="23"/>
  <c r="M2126" i="23"/>
  <c r="L2127" i="23"/>
  <c r="M2127" i="23" s="1"/>
  <c r="L2128" i="23"/>
  <c r="M2128" i="23"/>
  <c r="L2129" i="23"/>
  <c r="M2129" i="23" s="1"/>
  <c r="L2130" i="23"/>
  <c r="M2130" i="23" s="1"/>
  <c r="L2131" i="23"/>
  <c r="M2131" i="23" s="1"/>
  <c r="L2132" i="23"/>
  <c r="M2132" i="23"/>
  <c r="L2133" i="23"/>
  <c r="M2133" i="23" s="1"/>
  <c r="L2134" i="23"/>
  <c r="M2134" i="23"/>
  <c r="L2135" i="23"/>
  <c r="M2135" i="23" s="1"/>
  <c r="L2136" i="23"/>
  <c r="M2136" i="23"/>
  <c r="L2137" i="23"/>
  <c r="M2137" i="23" s="1"/>
  <c r="L2138" i="23"/>
  <c r="M2138" i="23" s="1"/>
  <c r="L2139" i="23"/>
  <c r="M2139" i="23" s="1"/>
  <c r="L2140" i="23"/>
  <c r="M2140" i="23"/>
  <c r="L2141" i="23"/>
  <c r="M2141" i="23" s="1"/>
  <c r="L2142" i="23"/>
  <c r="M2142" i="23"/>
  <c r="L2143" i="23"/>
  <c r="M2143" i="23" s="1"/>
  <c r="L2144" i="23"/>
  <c r="M2144" i="23"/>
  <c r="L2145" i="23"/>
  <c r="M2145" i="23" s="1"/>
  <c r="L2146" i="23"/>
  <c r="M2146" i="23" s="1"/>
  <c r="L2147" i="23"/>
  <c r="M2147" i="23" s="1"/>
  <c r="L2148" i="23"/>
  <c r="M2148" i="23"/>
  <c r="L2149" i="23"/>
  <c r="M2149" i="23" s="1"/>
  <c r="L2150" i="23"/>
  <c r="M2150" i="23"/>
  <c r="L2151" i="23"/>
  <c r="M2151" i="23" s="1"/>
  <c r="L2152" i="23"/>
  <c r="M2152" i="23"/>
  <c r="L2153" i="23"/>
  <c r="M2153" i="23" s="1"/>
  <c r="L2154" i="23"/>
  <c r="M2154" i="23" s="1"/>
  <c r="L2155" i="23"/>
  <c r="M2155" i="23" s="1"/>
  <c r="L2156" i="23"/>
  <c r="M2156" i="23"/>
  <c r="L2157" i="23"/>
  <c r="M2157" i="23" s="1"/>
  <c r="L2158" i="23"/>
  <c r="M2158" i="23"/>
  <c r="L2159" i="23"/>
  <c r="M2159" i="23" s="1"/>
  <c r="L2160" i="23"/>
  <c r="M2160" i="23"/>
  <c r="L2161" i="23"/>
  <c r="M2161" i="23" s="1"/>
  <c r="L2162" i="23"/>
  <c r="M2162" i="23" s="1"/>
  <c r="L2163" i="23"/>
  <c r="M2163" i="23" s="1"/>
  <c r="L2164" i="23"/>
  <c r="M2164" i="23"/>
  <c r="L2165" i="23"/>
  <c r="M2165" i="23" s="1"/>
  <c r="L2166" i="23"/>
  <c r="M2166" i="23"/>
  <c r="L2167" i="23"/>
  <c r="M2167" i="23" s="1"/>
  <c r="L2168" i="23"/>
  <c r="M2168" i="23"/>
  <c r="L2169" i="23"/>
  <c r="M2169" i="23" s="1"/>
  <c r="L2170" i="23"/>
  <c r="M2170" i="23" s="1"/>
  <c r="L2171" i="23"/>
  <c r="M2171" i="23" s="1"/>
  <c r="L2172" i="23"/>
  <c r="M2172" i="23"/>
  <c r="L2173" i="23"/>
  <c r="M2173" i="23" s="1"/>
  <c r="L2174" i="23"/>
  <c r="M2174" i="23"/>
  <c r="L2175" i="23"/>
  <c r="M2175" i="23" s="1"/>
  <c r="L2176" i="23"/>
  <c r="M2176" i="23"/>
  <c r="L2177" i="23"/>
  <c r="M2177" i="23" s="1"/>
  <c r="L2178" i="23"/>
  <c r="M2178" i="23" s="1"/>
  <c r="L2179" i="23"/>
  <c r="M2179" i="23" s="1"/>
  <c r="L2180" i="23"/>
  <c r="M2180" i="23"/>
  <c r="L2181" i="23"/>
  <c r="M2181" i="23" s="1"/>
  <c r="L2182" i="23"/>
  <c r="M2182" i="23"/>
  <c r="L2183" i="23"/>
  <c r="M2183" i="23" s="1"/>
  <c r="L2184" i="23"/>
  <c r="M2184" i="23"/>
  <c r="L2185" i="23"/>
  <c r="M2185" i="23" s="1"/>
  <c r="L2186" i="23"/>
  <c r="M2186" i="23" s="1"/>
  <c r="L2187" i="23"/>
  <c r="M2187" i="23" s="1"/>
  <c r="L2188" i="23"/>
  <c r="M2188" i="23"/>
  <c r="L2189" i="23"/>
  <c r="M2189" i="23" s="1"/>
  <c r="L2190" i="23"/>
  <c r="M2190" i="23"/>
  <c r="L2191" i="23"/>
  <c r="M2191" i="23" s="1"/>
  <c r="L2192" i="23"/>
  <c r="M2192" i="23"/>
  <c r="L2193" i="23"/>
  <c r="M2193" i="23" s="1"/>
  <c r="L2194" i="23"/>
  <c r="M2194" i="23" s="1"/>
  <c r="L2195" i="23"/>
  <c r="M2195" i="23" s="1"/>
  <c r="L2196" i="23"/>
  <c r="M2196" i="23"/>
  <c r="L2197" i="23"/>
  <c r="M2197" i="23" s="1"/>
  <c r="L2198" i="23"/>
  <c r="M2198" i="23"/>
  <c r="L2199" i="23"/>
  <c r="M2199" i="23" s="1"/>
  <c r="L2200" i="23"/>
  <c r="M2200" i="23"/>
  <c r="L2201" i="23"/>
  <c r="M2201" i="23" s="1"/>
  <c r="L2202" i="23"/>
  <c r="M2202" i="23" s="1"/>
  <c r="L2203" i="23"/>
  <c r="M2203" i="23" s="1"/>
  <c r="L2204" i="23"/>
  <c r="M2204" i="23"/>
  <c r="L2205" i="23"/>
  <c r="M2205" i="23" s="1"/>
  <c r="L2206" i="23"/>
  <c r="M2206" i="23"/>
  <c r="L2207" i="23"/>
  <c r="M2207" i="23" s="1"/>
  <c r="L2208" i="23"/>
  <c r="M2208" i="23"/>
  <c r="L2209" i="23"/>
  <c r="M2209" i="23" s="1"/>
  <c r="L2210" i="23"/>
  <c r="M2210" i="23" s="1"/>
  <c r="L2211" i="23"/>
  <c r="M2211" i="23" s="1"/>
  <c r="L2212" i="23"/>
  <c r="M2212" i="23"/>
  <c r="L2213" i="23"/>
  <c r="M2213" i="23" s="1"/>
  <c r="L2214" i="23"/>
  <c r="M2214" i="23"/>
  <c r="L2215" i="23"/>
  <c r="M2215" i="23" s="1"/>
  <c r="L2216" i="23"/>
  <c r="M2216" i="23"/>
  <c r="L2217" i="23"/>
  <c r="M2217" i="23" s="1"/>
  <c r="L2218" i="23"/>
  <c r="M2218" i="23" s="1"/>
  <c r="L2219" i="23"/>
  <c r="M2219" i="23" s="1"/>
  <c r="L2220" i="23"/>
  <c r="M2220" i="23"/>
  <c r="L2221" i="23"/>
  <c r="M2221" i="23" s="1"/>
  <c r="L2222" i="23"/>
  <c r="M2222" i="23"/>
  <c r="L2223" i="23"/>
  <c r="M2223" i="23" s="1"/>
  <c r="L2224" i="23"/>
  <c r="M2224" i="23"/>
  <c r="L2225" i="23"/>
  <c r="M2225" i="23" s="1"/>
  <c r="L2226" i="23"/>
  <c r="M2226" i="23" s="1"/>
  <c r="L2227" i="23"/>
  <c r="M2227" i="23" s="1"/>
  <c r="L2228" i="23"/>
  <c r="M2228" i="23"/>
  <c r="L2229" i="23"/>
  <c r="M2229" i="23" s="1"/>
  <c r="L2230" i="23"/>
  <c r="M2230" i="23"/>
  <c r="L2231" i="23"/>
  <c r="M2231" i="23" s="1"/>
  <c r="L2232" i="23"/>
  <c r="M2232" i="23"/>
  <c r="L2233" i="23"/>
  <c r="M2233" i="23" s="1"/>
  <c r="L2234" i="23"/>
  <c r="M2234" i="23" s="1"/>
  <c r="L2235" i="23"/>
  <c r="M2235" i="23" s="1"/>
  <c r="L2236" i="23"/>
  <c r="M2236" i="23"/>
  <c r="L2237" i="23"/>
  <c r="M2237" i="23" s="1"/>
  <c r="L2238" i="23"/>
  <c r="M2238" i="23"/>
  <c r="L2239" i="23"/>
  <c r="M2239" i="23" s="1"/>
  <c r="L2240" i="23"/>
  <c r="M2240" i="23"/>
  <c r="L2241" i="23"/>
  <c r="M2241" i="23" s="1"/>
  <c r="L2242" i="23"/>
  <c r="M2242" i="23" s="1"/>
  <c r="L2243" i="23"/>
  <c r="M2243" i="23" s="1"/>
  <c r="L2244" i="23"/>
  <c r="M2244" i="23"/>
  <c r="L2245" i="23"/>
  <c r="M2245" i="23" s="1"/>
  <c r="L2246" i="23"/>
  <c r="M2246" i="23"/>
  <c r="L2247" i="23"/>
  <c r="M2247" i="23" s="1"/>
  <c r="L2248" i="23"/>
  <c r="M2248" i="23"/>
  <c r="L2249" i="23"/>
  <c r="M2249" i="23" s="1"/>
  <c r="L2250" i="23"/>
  <c r="M2250" i="23" s="1"/>
  <c r="L2251" i="23"/>
  <c r="M2251" i="23" s="1"/>
  <c r="L2252" i="23"/>
  <c r="M2252" i="23"/>
  <c r="L2253" i="23"/>
  <c r="M2253" i="23" s="1"/>
  <c r="L2254" i="23"/>
  <c r="M2254" i="23"/>
  <c r="L2255" i="23"/>
  <c r="M2255" i="23" s="1"/>
  <c r="L2256" i="23"/>
  <c r="M2256" i="23"/>
  <c r="L2257" i="23"/>
  <c r="M2257" i="23" s="1"/>
  <c r="L2258" i="23"/>
  <c r="M2258" i="23" s="1"/>
  <c r="L2259" i="23"/>
  <c r="M2259" i="23" s="1"/>
  <c r="L2260" i="23"/>
  <c r="M2260" i="23"/>
  <c r="L2261" i="23"/>
  <c r="M2261" i="23" s="1"/>
  <c r="L2262" i="23"/>
  <c r="M2262" i="23"/>
  <c r="L2263" i="23"/>
  <c r="M2263" i="23" s="1"/>
  <c r="L2264" i="23"/>
  <c r="M2264" i="23"/>
  <c r="L2265" i="23"/>
  <c r="M2265" i="23" s="1"/>
  <c r="L2266" i="23"/>
  <c r="M2266" i="23" s="1"/>
  <c r="L2267" i="23"/>
  <c r="M2267" i="23" s="1"/>
  <c r="L2268" i="23"/>
  <c r="M2268" i="23"/>
  <c r="L2269" i="23"/>
  <c r="M2269" i="23" s="1"/>
  <c r="L2270" i="23"/>
  <c r="M2270" i="23"/>
  <c r="L2271" i="23"/>
  <c r="M2271" i="23" s="1"/>
  <c r="L2272" i="23"/>
  <c r="M2272" i="23"/>
  <c r="L2273" i="23"/>
  <c r="M2273" i="23" s="1"/>
  <c r="L2274" i="23"/>
  <c r="M2274" i="23" s="1"/>
  <c r="L2275" i="23"/>
  <c r="M2275" i="23" s="1"/>
  <c r="L2276" i="23"/>
  <c r="M2276" i="23"/>
  <c r="L2277" i="23"/>
  <c r="M2277" i="23" s="1"/>
  <c r="L2278" i="23"/>
  <c r="M2278" i="23"/>
  <c r="L2279" i="23"/>
  <c r="M2279" i="23" s="1"/>
  <c r="L2280" i="23"/>
  <c r="M2280" i="23"/>
  <c r="L2281" i="23"/>
  <c r="M2281" i="23" s="1"/>
  <c r="L2282" i="23"/>
  <c r="M2282" i="23" s="1"/>
  <c r="L2283" i="23"/>
  <c r="M2283" i="23" s="1"/>
  <c r="L2284" i="23"/>
  <c r="M2284" i="23"/>
  <c r="L2285" i="23"/>
  <c r="M2285" i="23" s="1"/>
  <c r="L2286" i="23"/>
  <c r="M2286" i="23"/>
  <c r="L2287" i="23"/>
  <c r="M2287" i="23" s="1"/>
  <c r="L2288" i="23"/>
  <c r="M2288" i="23"/>
  <c r="L2289" i="23"/>
  <c r="M2289" i="23" s="1"/>
  <c r="L2290" i="23"/>
  <c r="M2290" i="23" s="1"/>
  <c r="L2291" i="23"/>
  <c r="M2291" i="23" s="1"/>
  <c r="L2292" i="23"/>
  <c r="M2292" i="23"/>
  <c r="L2293" i="23"/>
  <c r="M2293" i="23" s="1"/>
  <c r="L2294" i="23"/>
  <c r="M2294" i="23"/>
  <c r="L2295" i="23"/>
  <c r="M2295" i="23" s="1"/>
  <c r="L2296" i="23"/>
  <c r="M2296" i="23"/>
  <c r="L2297" i="23"/>
  <c r="M2297" i="23"/>
  <c r="L2298" i="23"/>
  <c r="M2298" i="23"/>
  <c r="L2299" i="23"/>
  <c r="M2299" i="23"/>
  <c r="L2300" i="23"/>
  <c r="M2300" i="23"/>
  <c r="L2301" i="23"/>
  <c r="M2301" i="23"/>
  <c r="L2302" i="23"/>
  <c r="M2302" i="23" s="1"/>
  <c r="L2303" i="23"/>
  <c r="M2303" i="23"/>
  <c r="L2304" i="23"/>
  <c r="M2304" i="23" s="1"/>
  <c r="L2305" i="23"/>
  <c r="M2305" i="23"/>
  <c r="L2306" i="23"/>
  <c r="M2306" i="23" s="1"/>
  <c r="L2307" i="23"/>
  <c r="M2307" i="23"/>
  <c r="L2308" i="23"/>
  <c r="M2308" i="23" s="1"/>
  <c r="L2309" i="23"/>
  <c r="M2309" i="23"/>
  <c r="L2310" i="23"/>
  <c r="M2310" i="23" s="1"/>
  <c r="L2311" i="23"/>
  <c r="M2311" i="23"/>
  <c r="L2312" i="23"/>
  <c r="M2312" i="23" s="1"/>
  <c r="L2313" i="23"/>
  <c r="M2313" i="23"/>
  <c r="L2314" i="23"/>
  <c r="M2314" i="23" s="1"/>
  <c r="L2315" i="23"/>
  <c r="M2315" i="23"/>
  <c r="L2316" i="23"/>
  <c r="M2316" i="23" s="1"/>
  <c r="L2317" i="23"/>
  <c r="M2317" i="23"/>
  <c r="L2318" i="23"/>
  <c r="M2318" i="23" s="1"/>
  <c r="L2319" i="23"/>
  <c r="M2319" i="23"/>
  <c r="L2320" i="23"/>
  <c r="M2320" i="23" s="1"/>
  <c r="L2321" i="23"/>
  <c r="M2321" i="23"/>
  <c r="L2322" i="23"/>
  <c r="M2322" i="23" s="1"/>
  <c r="L2323" i="23"/>
  <c r="M2323" i="23"/>
  <c r="L2324" i="23"/>
  <c r="M2324" i="23" s="1"/>
  <c r="L2325" i="23"/>
  <c r="M2325" i="23"/>
  <c r="L2326" i="23"/>
  <c r="M2326" i="23" s="1"/>
  <c r="L2327" i="23"/>
  <c r="M2327" i="23"/>
  <c r="L2328" i="23"/>
  <c r="M2328" i="23" s="1"/>
  <c r="L2329" i="23"/>
  <c r="M2329" i="23"/>
  <c r="L2330" i="23"/>
  <c r="M2330" i="23" s="1"/>
  <c r="L2331" i="23"/>
  <c r="M2331" i="23"/>
  <c r="L2332" i="23"/>
  <c r="M2332" i="23" s="1"/>
  <c r="L2333" i="23"/>
  <c r="M2333" i="23"/>
  <c r="L2334" i="23"/>
  <c r="M2334" i="23" s="1"/>
  <c r="L2335" i="23"/>
  <c r="M2335" i="23"/>
  <c r="L2336" i="23"/>
  <c r="M2336" i="23" s="1"/>
  <c r="L2337" i="23"/>
  <c r="M2337" i="23"/>
  <c r="L2338" i="23"/>
  <c r="M2338" i="23" s="1"/>
  <c r="L2339" i="23"/>
  <c r="M2339" i="23"/>
  <c r="L2340" i="23"/>
  <c r="M2340" i="23" s="1"/>
  <c r="L2341" i="23"/>
  <c r="M2341" i="23"/>
  <c r="L2342" i="23"/>
  <c r="M2342" i="23" s="1"/>
  <c r="L2343" i="23"/>
  <c r="M2343" i="23"/>
  <c r="L2344" i="23"/>
  <c r="M2344" i="23" s="1"/>
  <c r="L2345" i="23"/>
  <c r="M2345" i="23"/>
  <c r="L2346" i="23"/>
  <c r="M2346" i="23" s="1"/>
  <c r="L2347" i="23"/>
  <c r="M2347" i="23"/>
  <c r="L2348" i="23"/>
  <c r="M2348" i="23" s="1"/>
  <c r="L2349" i="23"/>
  <c r="M2349" i="23"/>
  <c r="L2350" i="23"/>
  <c r="M2350" i="23" s="1"/>
  <c r="L2351" i="23"/>
  <c r="M2351" i="23"/>
  <c r="L2352" i="23"/>
  <c r="M2352" i="23" s="1"/>
  <c r="L2353" i="23"/>
  <c r="M2353" i="23"/>
  <c r="L2354" i="23"/>
  <c r="M2354" i="23" s="1"/>
  <c r="L2355" i="23"/>
  <c r="M2355" i="23"/>
  <c r="L2356" i="23"/>
  <c r="M2356" i="23" s="1"/>
  <c r="L2357" i="23"/>
  <c r="M2357" i="23"/>
  <c r="L2358" i="23"/>
  <c r="M2358" i="23" s="1"/>
  <c r="L2359" i="23"/>
  <c r="M2359" i="23"/>
  <c r="L2360" i="23"/>
  <c r="M2360" i="23" s="1"/>
  <c r="L2361" i="23"/>
  <c r="M2361" i="23"/>
  <c r="L2362" i="23"/>
  <c r="M2362" i="23" s="1"/>
  <c r="L2363" i="23"/>
  <c r="M2363" i="23"/>
  <c r="L2364" i="23"/>
  <c r="M2364" i="23" s="1"/>
  <c r="L2365" i="23"/>
  <c r="M2365" i="23"/>
  <c r="L2366" i="23"/>
  <c r="M2366" i="23" s="1"/>
  <c r="L2367" i="23"/>
  <c r="M2367" i="23"/>
  <c r="L2368" i="23"/>
  <c r="M2368" i="23" s="1"/>
  <c r="L2369" i="23"/>
  <c r="M2369" i="23"/>
  <c r="L2370" i="23"/>
  <c r="M2370" i="23" s="1"/>
  <c r="L2371" i="23"/>
  <c r="M2371" i="23"/>
  <c r="L2372" i="23"/>
  <c r="M2372" i="23" s="1"/>
  <c r="L2373" i="23"/>
  <c r="M2373" i="23"/>
  <c r="L2374" i="23"/>
  <c r="M2374" i="23" s="1"/>
  <c r="L2375" i="23"/>
  <c r="M2375" i="23"/>
  <c r="L2376" i="23"/>
  <c r="M2376" i="23" s="1"/>
  <c r="L2377" i="23"/>
  <c r="M2377" i="23"/>
  <c r="L2378" i="23"/>
  <c r="M2378" i="23" s="1"/>
  <c r="L2379" i="23"/>
  <c r="M2379" i="23"/>
  <c r="L2380" i="23"/>
  <c r="M2380" i="23" s="1"/>
  <c r="L2381" i="23"/>
  <c r="M2381" i="23"/>
  <c r="L2382" i="23"/>
  <c r="M2382" i="23" s="1"/>
  <c r="L2383" i="23"/>
  <c r="M2383" i="23"/>
  <c r="L2384" i="23"/>
  <c r="M2384" i="23" s="1"/>
  <c r="L2385" i="23"/>
  <c r="M2385" i="23"/>
  <c r="L2386" i="23"/>
  <c r="M2386" i="23" s="1"/>
  <c r="L2387" i="23"/>
  <c r="M2387" i="23"/>
  <c r="L2388" i="23"/>
  <c r="M2388" i="23" s="1"/>
  <c r="L2389" i="23"/>
  <c r="M2389" i="23"/>
  <c r="L2390" i="23"/>
  <c r="M2390" i="23" s="1"/>
  <c r="L2391" i="23"/>
  <c r="M2391" i="23"/>
  <c r="L2392" i="23"/>
  <c r="M2392" i="23" s="1"/>
  <c r="L2393" i="23"/>
  <c r="M2393" i="23"/>
  <c r="L2394" i="23"/>
  <c r="M2394" i="23" s="1"/>
  <c r="L2395" i="23"/>
  <c r="M2395" i="23"/>
  <c r="L2396" i="23"/>
  <c r="M2396" i="23" s="1"/>
  <c r="L2397" i="23"/>
  <c r="M2397" i="23"/>
  <c r="L2398" i="23"/>
  <c r="M2398" i="23" s="1"/>
  <c r="L2399" i="23"/>
  <c r="M2399" i="23"/>
  <c r="L2400" i="23"/>
  <c r="M2400" i="23" s="1"/>
  <c r="L2401" i="23"/>
  <c r="M2401" i="23"/>
  <c r="L2402" i="23"/>
  <c r="M2402" i="23" s="1"/>
  <c r="L2403" i="23"/>
  <c r="M2403" i="23"/>
  <c r="L2404" i="23"/>
  <c r="M2404" i="23" s="1"/>
  <c r="L2405" i="23"/>
  <c r="M2405" i="23"/>
  <c r="L2406" i="23"/>
  <c r="M2406" i="23" s="1"/>
  <c r="L2407" i="23"/>
  <c r="M2407" i="23"/>
  <c r="L2408" i="23"/>
  <c r="M2408" i="23" s="1"/>
  <c r="L2409" i="23"/>
  <c r="M2409" i="23"/>
  <c r="L2410" i="23"/>
  <c r="M2410" i="23" s="1"/>
  <c r="L2411" i="23"/>
  <c r="M2411" i="23"/>
  <c r="L2412" i="23"/>
  <c r="M2412" i="23" s="1"/>
  <c r="L2413" i="23"/>
  <c r="M2413" i="23"/>
  <c r="L2414" i="23"/>
  <c r="M2414" i="23" s="1"/>
  <c r="L2415" i="23"/>
  <c r="M2415" i="23"/>
  <c r="L2416" i="23"/>
  <c r="M2416" i="23" s="1"/>
  <c r="L2417" i="23"/>
  <c r="M2417" i="23"/>
  <c r="L2418" i="23"/>
  <c r="M2418" i="23" s="1"/>
  <c r="L2419" i="23"/>
  <c r="M2419" i="23"/>
  <c r="L2420" i="23"/>
  <c r="M2420" i="23" s="1"/>
  <c r="L2421" i="23"/>
  <c r="M2421" i="23"/>
  <c r="L2422" i="23"/>
  <c r="M2422" i="23" s="1"/>
  <c r="L2423" i="23"/>
  <c r="M2423" i="23"/>
  <c r="L2424" i="23"/>
  <c r="M2424" i="23" s="1"/>
  <c r="L2425" i="23"/>
  <c r="M2425" i="23"/>
  <c r="L2426" i="23"/>
  <c r="M2426" i="23" s="1"/>
  <c r="L27" i="23"/>
  <c r="O2" i="23"/>
  <c r="N2" i="23" s="1"/>
  <c r="O10" i="23"/>
  <c r="N10" i="23" s="1"/>
  <c r="O9" i="23"/>
  <c r="N9" i="23" s="1"/>
  <c r="O8" i="23"/>
  <c r="N8" i="23" s="1"/>
  <c r="O7" i="23"/>
  <c r="N7" i="23" s="1"/>
  <c r="O6" i="23"/>
  <c r="N6" i="23" s="1"/>
  <c r="O5" i="23"/>
  <c r="N5" i="23" s="1"/>
  <c r="O4" i="23"/>
  <c r="N4" i="23" s="1"/>
  <c r="O3" i="23"/>
  <c r="N3" i="23" s="1"/>
  <c r="A1" i="23"/>
  <c r="J2" i="23"/>
  <c r="I2" i="23"/>
  <c r="H2" i="23"/>
  <c r="G2" i="23"/>
  <c r="F2" i="23"/>
  <c r="E2" i="23"/>
  <c r="D2" i="23"/>
  <c r="C2" i="23"/>
  <c r="B2" i="23"/>
  <c r="R6" i="23"/>
  <c r="M8" i="23" l="1"/>
  <c r="M4" i="23"/>
  <c r="M7" i="23"/>
  <c r="M3" i="23"/>
  <c r="M10" i="23"/>
  <c r="M6" i="23"/>
  <c r="M9" i="23"/>
  <c r="M5" i="23"/>
  <c r="A5" i="35"/>
  <c r="B24" i="34"/>
  <c r="D24" i="34"/>
  <c r="B14" i="34"/>
  <c r="B16" i="34" s="1"/>
  <c r="D14" i="34"/>
  <c r="R4" i="23"/>
  <c r="R2" i="23"/>
  <c r="D4" i="34" s="1"/>
  <c r="F21" i="34"/>
  <c r="A8" i="35"/>
  <c r="F11" i="34"/>
  <c r="A7" i="35"/>
  <c r="A4" i="35"/>
  <c r="F4" i="34"/>
  <c r="F6" i="34" s="1"/>
  <c r="H4" i="34"/>
  <c r="F1" i="34"/>
  <c r="A6" i="35"/>
  <c r="A3" i="35"/>
  <c r="B25" i="34"/>
  <c r="D25" i="34"/>
  <c r="F5" i="34"/>
  <c r="H5" i="34"/>
  <c r="F15" i="34"/>
  <c r="F14" i="34"/>
  <c r="F16" i="34"/>
  <c r="H15" i="34"/>
  <c r="H14" i="34"/>
  <c r="F25" i="34"/>
  <c r="F24" i="34"/>
  <c r="F26" i="34" s="1"/>
  <c r="H25" i="34"/>
  <c r="H24" i="34"/>
  <c r="B15" i="34"/>
  <c r="D15" i="34"/>
  <c r="R5" i="23"/>
  <c r="B5" i="34" s="1"/>
  <c r="R3" i="23"/>
  <c r="D5" i="34" s="1"/>
  <c r="V4" i="23"/>
  <c r="Y4" i="23" s="1"/>
  <c r="W2" i="23"/>
  <c r="Z2" i="23" s="1"/>
  <c r="B26" i="34"/>
  <c r="F27" i="34"/>
  <c r="F17" i="34"/>
  <c r="F19" i="34"/>
  <c r="B7" i="35" s="1"/>
  <c r="F7" i="34"/>
  <c r="B19" i="34"/>
  <c r="B4" i="35" s="1"/>
  <c r="S2" i="23" l="1"/>
  <c r="S3" i="23" s="1"/>
  <c r="B4" i="34"/>
  <c r="B6" i="34" s="1"/>
  <c r="B20" i="34"/>
  <c r="E4" i="35" s="1"/>
  <c r="B17" i="34"/>
  <c r="E20" i="34"/>
  <c r="G4" i="35" s="1"/>
  <c r="E19" i="34"/>
  <c r="D4" i="35" s="1"/>
  <c r="I20" i="34"/>
  <c r="G7" i="35" s="1"/>
  <c r="I19" i="34"/>
  <c r="D7" i="35" s="1"/>
  <c r="F30" i="34"/>
  <c r="E8" i="35" s="1"/>
  <c r="F20" i="34"/>
  <c r="E7" i="35" s="1"/>
  <c r="B27" i="34"/>
  <c r="V3" i="23" l="1"/>
  <c r="Y3" i="23" s="1"/>
  <c r="T3" i="23"/>
  <c r="B7" i="34" s="1"/>
  <c r="V2" i="23"/>
  <c r="Y2" i="23" s="1"/>
  <c r="F29" i="34"/>
  <c r="B8" i="35" s="1"/>
  <c r="F10" i="34"/>
  <c r="E6" i="35" s="1"/>
  <c r="F9" i="34"/>
  <c r="B6" i="35" s="1"/>
  <c r="E29" i="34"/>
  <c r="D5" i="35" s="1"/>
  <c r="E30" i="34"/>
  <c r="G5" i="35" s="1"/>
  <c r="C19" i="34"/>
  <c r="C4" i="35" s="1"/>
  <c r="C20" i="34"/>
  <c r="F4" i="35" s="1"/>
  <c r="G20" i="34"/>
  <c r="F7" i="35" s="1"/>
  <c r="G19" i="34"/>
  <c r="C7" i="35" s="1"/>
  <c r="C29" i="34"/>
  <c r="C5" i="35" s="1"/>
  <c r="C30" i="34"/>
  <c r="F5" i="35" s="1"/>
  <c r="B29" i="34"/>
  <c r="B5" i="35" s="1"/>
  <c r="B30" i="34"/>
  <c r="E5" i="35" s="1"/>
  <c r="G10" i="34"/>
  <c r="F6" i="35" s="1"/>
  <c r="G9" i="34"/>
  <c r="C6" i="35" s="1"/>
  <c r="I10" i="34"/>
  <c r="G6" i="35" s="1"/>
  <c r="I9" i="34"/>
  <c r="D6" i="35" s="1"/>
  <c r="W3" i="23" l="1"/>
  <c r="T8" i="23"/>
  <c r="T4" i="23"/>
  <c r="W4" i="23" s="1"/>
  <c r="Z4" i="23" s="1"/>
  <c r="I29" i="34"/>
  <c r="D8" i="35" s="1"/>
  <c r="I30" i="34"/>
  <c r="G8" i="35" s="1"/>
  <c r="G30" i="34"/>
  <c r="F8" i="35" s="1"/>
  <c r="G29" i="34"/>
  <c r="C8" i="35" s="1"/>
  <c r="Z3" i="23" l="1"/>
  <c r="Z8" i="23" s="1"/>
  <c r="W8" i="23"/>
  <c r="T9" i="23"/>
  <c r="S12" i="23"/>
  <c r="B10" i="34" s="1"/>
  <c r="E3" i="35" s="1"/>
  <c r="S7" i="23"/>
  <c r="S8" i="23" s="1"/>
  <c r="S11" i="23" s="1"/>
  <c r="B9" i="34" s="1"/>
  <c r="B3" i="35" s="1"/>
  <c r="V7" i="23" l="1"/>
  <c r="V8" i="23" s="1"/>
  <c r="T11" i="23" s="1"/>
  <c r="C9" i="34" s="1"/>
  <c r="C3" i="35" s="1"/>
  <c r="W9" i="23"/>
  <c r="T12" i="23"/>
  <c r="C10" i="34" s="1"/>
  <c r="F3" i="35" s="1"/>
  <c r="Y7" i="23"/>
  <c r="Y8" i="23" s="1"/>
  <c r="U11" i="23" s="1"/>
  <c r="E9" i="34" s="1"/>
  <c r="D3" i="35" s="1"/>
  <c r="Z9" i="23"/>
  <c r="U12" i="23"/>
  <c r="E10" i="34" s="1"/>
  <c r="G3" i="35" s="1"/>
</calcChain>
</file>

<file path=xl/sharedStrings.xml><?xml version="1.0" encoding="utf-8"?>
<sst xmlns="http://schemas.openxmlformats.org/spreadsheetml/2006/main" count="178" uniqueCount="68">
  <si>
    <t>T (sec)</t>
  </si>
  <si>
    <t>x (ft)</t>
  </si>
  <si>
    <t>fe (kips)</t>
  </si>
  <si>
    <t>acc (ft/s²)</t>
  </si>
  <si>
    <t>vel (kts)</t>
  </si>
  <si>
    <t>vy (kts)</t>
  </si>
  <si>
    <t>vx (kts)</t>
  </si>
  <si>
    <t>yaw (deg)</t>
  </si>
  <si>
    <t>y (ft)</t>
  </si>
  <si>
    <t>Time to disconnect</t>
  </si>
  <si>
    <t>Zero</t>
  </si>
  <si>
    <t>Type of EDS</t>
  </si>
  <si>
    <t>Environment</t>
  </si>
  <si>
    <t>Red Circle (%WD)</t>
  </si>
  <si>
    <t>Time to Red Circle (sec)</t>
  </si>
  <si>
    <t>Drifting Velocity</t>
  </si>
  <si>
    <t>Consider</t>
  </si>
  <si>
    <t>Allowable Offset (% WD)</t>
  </si>
  <si>
    <t>Governing Factor</t>
  </si>
  <si>
    <t>POD to Center (%WD)</t>
  </si>
  <si>
    <t>Time to Allow Offset (sec)</t>
  </si>
  <si>
    <t>Shearless</t>
  </si>
  <si>
    <t>Pipe Shear</t>
  </si>
  <si>
    <t>Casing Shear</t>
  </si>
  <si>
    <t>Beam Sea (90°)</t>
  </si>
  <si>
    <t>Environmental Direction</t>
  </si>
  <si>
    <t>Head Sea (180°)</t>
  </si>
  <si>
    <t>Shear-less</t>
  </si>
  <si>
    <t xml:space="preserve"> </t>
  </si>
  <si>
    <t>Max Stress Ratio</t>
  </si>
  <si>
    <t>1yN90</t>
  </si>
  <si>
    <t>1yW90</t>
  </si>
  <si>
    <t>1ySW90</t>
  </si>
  <si>
    <t>1yN180</t>
  </si>
  <si>
    <t>1yW180</t>
  </si>
  <si>
    <t>1ySW180</t>
  </si>
  <si>
    <t>1-Year North Current + SW Wind/Waves</t>
  </si>
  <si>
    <t>1-Year W Current + E Wind/Waves</t>
  </si>
  <si>
    <t>1-Year SW Bottom Current + NE Wind/Waves</t>
  </si>
  <si>
    <t>WD %</t>
  </si>
  <si>
    <t>POD (St)</t>
  </si>
  <si>
    <t>Critical Des</t>
  </si>
  <si>
    <t>POD (Dr)</t>
  </si>
  <si>
    <t>Sheet Name</t>
  </si>
  <si>
    <t>WD</t>
  </si>
  <si>
    <t>x</t>
  </si>
  <si>
    <t>y</t>
  </si>
  <si>
    <t>yaw</t>
  </si>
  <si>
    <t>vx</t>
  </si>
  <si>
    <t>vy</t>
  </si>
  <si>
    <t>vel</t>
  </si>
  <si>
    <t>acc</t>
  </si>
  <si>
    <t>fe</t>
  </si>
  <si>
    <t>fr</t>
  </si>
  <si>
    <t>offset</t>
  </si>
  <si>
    <t>ft</t>
  </si>
  <si>
    <t>offset'</t>
  </si>
  <si>
    <t>Sheet Number</t>
  </si>
  <si>
    <t>Red Circle (Shearless)</t>
  </si>
  <si>
    <t>POD From WC</t>
  </si>
  <si>
    <t>Red Circle (Pipe Shear)</t>
  </si>
  <si>
    <t>Red Circle (Casing Shear)</t>
  </si>
  <si>
    <t>Dr</t>
  </si>
  <si>
    <t>St</t>
  </si>
  <si>
    <t>Dir</t>
  </si>
  <si>
    <t>Offset</t>
  </si>
  <si>
    <t>Drift Vel</t>
  </si>
  <si>
    <t>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</si>
</sst>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2" fillId="0" borderId="0" xfId="0" applyFont="1"/>
    <xf numFmtId="2" fontId="2" fillId="0" borderId="0" xfId="0" applyNumberFormat="1" applyFont="1"/>
    <xf numFmtId="0" fontId="3" fillId="4" borderId="6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Alignment="1"/>
    <xf numFmtId="2" fontId="2" fillId="0" borderId="1" xfId="1" applyNumberFormat="1" applyFont="1" applyBorder="1" applyAlignment="1">
      <alignment vertical="center"/>
    </xf>
    <xf numFmtId="0" fontId="2" fillId="0" borderId="1" xfId="0" applyFont="1" applyBorder="1"/>
    <xf numFmtId="2" fontId="2" fillId="0" borderId="1" xfId="1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4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vertical="center"/>
    </xf>
    <xf numFmtId="2" fontId="2" fillId="0" borderId="0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left" vertical="center"/>
    </xf>
    <xf numFmtId="0" fontId="5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1" fontId="5" fillId="0" borderId="0" xfId="0" applyNumberFormat="1" applyFont="1" applyBorder="1" applyAlignment="1">
      <alignment horizontal="left" vertical="center"/>
    </xf>
    <xf numFmtId="0" fontId="5" fillId="4" borderId="6" xfId="0" applyFont="1" applyFill="1" applyBorder="1" applyAlignment="1">
      <alignment horizontal="left" vertical="center"/>
    </xf>
    <xf numFmtId="2" fontId="5" fillId="0" borderId="6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64" fontId="5" fillId="0" borderId="0" xfId="0" applyNumberFormat="1" applyFont="1"/>
    <xf numFmtId="0" fontId="5" fillId="5" borderId="0" xfId="0" applyFont="1" applyFill="1" applyBorder="1" applyAlignment="1">
      <alignment horizontal="left" vertical="center"/>
    </xf>
    <xf numFmtId="2" fontId="5" fillId="0" borderId="0" xfId="0" applyNumberFormat="1" applyFont="1"/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Border="1" applyAlignment="1">
      <alignment horizontal="left" vertical="center"/>
    </xf>
    <xf numFmtId="11" fontId="6" fillId="2" borderId="0" xfId="0" applyNumberFormat="1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/>
    </xf>
    <xf numFmtId="1" fontId="5" fillId="0" borderId="0" xfId="0" applyNumberFormat="1" applyFont="1"/>
    <xf numFmtId="1" fontId="5" fillId="0" borderId="0" xfId="0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4" fillId="0" borderId="1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'1yN90'!$A$27:$A$4027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'1yN90'!$K$27:$K$4027</c:f>
              <c:numCache>
                <c:formatCode>0.00E+00</c:formatCode>
                <c:ptCount val="4001"/>
                <c:pt idx="0">
                  <c:v>0</c:v>
                </c:pt>
                <c:pt idx="1">
                  <c:v>2.8242968022586824E-5</c:v>
                </c:pt>
                <c:pt idx="2">
                  <c:v>1.1180419628062952E-4</c:v>
                </c:pt>
                <c:pt idx="3">
                  <c:v>2.3521230789234129E-4</c:v>
                </c:pt>
                <c:pt idx="4">
                  <c:v>3.9873357050318925E-4</c:v>
                </c:pt>
                <c:pt idx="5">
                  <c:v>6.0218577800671036E-4</c:v>
                </c:pt>
                <c:pt idx="6">
                  <c:v>8.4536239109341807E-4</c:v>
                </c:pt>
                <c:pt idx="7">
                  <c:v>1.1280615404387717E-3</c:v>
                </c:pt>
                <c:pt idx="8">
                  <c:v>1.4500837859605445E-3</c:v>
                </c:pt>
                <c:pt idx="9">
                  <c:v>1.8112320834050212E-3</c:v>
                </c:pt>
                <c:pt idx="10">
                  <c:v>2.2113117556954889E-3</c:v>
                </c:pt>
                <c:pt idx="11">
                  <c:v>2.650130458880625E-3</c:v>
                </c:pt>
                <c:pt idx="12">
                  <c:v>3.1274981489281166E-3</c:v>
                </c:pt>
                <c:pt idx="13">
                  <c:v>3.643227049148586E-3</c:v>
                </c:pt>
                <c:pt idx="14">
                  <c:v>4.1971316182271819E-3</c:v>
                </c:pt>
                <c:pt idx="15">
                  <c:v>4.7890285188501745E-3</c:v>
                </c:pt>
                <c:pt idx="16">
                  <c:v>5.4187365869138235E-3</c:v>
                </c:pt>
                <c:pt idx="17">
                  <c:v>6.0860768013028506E-3</c:v>
                </c:pt>
                <c:pt idx="18">
                  <c:v>6.7908722542260836E-3</c:v>
                </c:pt>
                <c:pt idx="19">
                  <c:v>7.5329481220975675E-3</c:v>
                </c:pt>
                <c:pt idx="20">
                  <c:v>8.3121316369512022E-3</c:v>
                </c:pt>
                <c:pt idx="21">
                  <c:v>9.1282520583777105E-3</c:v>
                </c:pt>
                <c:pt idx="22">
                  <c:v>9.9811406459727695E-3</c:v>
                </c:pt>
                <c:pt idx="23">
                  <c:v>1.0870630632285385E-2</c:v>
                </c:pt>
                <c:pt idx="24">
                  <c:v>1.1796557196256569E-2</c:v>
                </c:pt>
                <c:pt idx="25">
                  <c:v>1.2758757437136368E-2</c:v>
                </c:pt>
                <c:pt idx="26">
                  <c:v>1.3757070348872016E-2</c:v>
                </c:pt>
                <c:pt idx="27">
                  <c:v>1.4791336794954575E-2</c:v>
                </c:pt>
                <c:pt idx="28">
                  <c:v>1.5861399483716107E-2</c:v>
                </c:pt>
                <c:pt idx="29">
                  <c:v>1.6967102944067534E-2</c:v>
                </c:pt>
                <c:pt idx="30">
                  <c:v>1.8108293501669058E-2</c:v>
                </c:pt>
                <c:pt idx="31">
                  <c:v>1.9284819255522466E-2</c:v>
                </c:pt>
                <c:pt idx="32">
                  <c:v>2.0496530054978097E-2</c:v>
                </c:pt>
                <c:pt idx="33">
                  <c:v>2.1743277477148219E-2</c:v>
                </c:pt>
                <c:pt idx="34">
                  <c:v>2.3024914804716686E-2</c:v>
                </c:pt>
                <c:pt idx="35">
                  <c:v>2.4341297004140158E-2</c:v>
                </c:pt>
                <c:pt idx="36">
                  <c:v>2.5692280704228646E-2</c:v>
                </c:pt>
                <c:pt idx="37">
                  <c:v>2.7077724175102298E-2</c:v>
                </c:pt>
                <c:pt idx="38">
                  <c:v>2.8497487307513537E-2</c:v>
                </c:pt>
                <c:pt idx="39">
                  <c:v>2.995143159252877E-2</c:v>
                </c:pt>
                <c:pt idx="40">
                  <c:v>3.1439420101562476E-2</c:v>
                </c:pt>
                <c:pt idx="41">
                  <c:v>3.2961317466756609E-2</c:v>
                </c:pt>
                <c:pt idx="42">
                  <c:v>3.4516989861697739E-2</c:v>
                </c:pt>
                <c:pt idx="43">
                  <c:v>3.6106304982467113E-2</c:v>
                </c:pt>
                <c:pt idx="44">
                  <c:v>3.7729132029014872E-2</c:v>
                </c:pt>
                <c:pt idx="45">
                  <c:v>3.9385341686854598E-2</c:v>
                </c:pt>
                <c:pt idx="46">
                  <c:v>4.1074806109069065E-2</c:v>
                </c:pt>
                <c:pt idx="47">
                  <c:v>4.2797398898624189E-2</c:v>
                </c:pt>
                <c:pt idx="48">
                  <c:v>4.455299509098351E-2</c:v>
                </c:pt>
                <c:pt idx="49">
                  <c:v>4.6341471137017073E-2</c:v>
                </c:pt>
                <c:pt idx="50">
                  <c:v>4.8162704886200967E-2</c:v>
                </c:pt>
                <c:pt idx="51">
                  <c:v>5.0016575570099843E-2</c:v>
                </c:pt>
                <c:pt idx="52">
                  <c:v>5.1902963786128797E-2</c:v>
                </c:pt>
                <c:pt idx="53">
                  <c:v>5.3821751481588333E-2</c:v>
                </c:pt>
                <c:pt idx="54">
                  <c:v>5.5772821937967391E-2</c:v>
                </c:pt>
                <c:pt idx="55">
                  <c:v>5.7756059755510021E-2</c:v>
                </c:pt>
                <c:pt idx="56">
                  <c:v>5.9771350838039985E-2</c:v>
                </c:pt>
                <c:pt idx="57">
                  <c:v>6.1818582378039347E-2</c:v>
                </c:pt>
                <c:pt idx="58">
                  <c:v>6.3897642841975175E-2</c:v>
                </c:pt>
                <c:pt idx="59">
                  <c:v>6.6008421955871505E-2</c:v>
                </c:pt>
                <c:pt idx="60">
                  <c:v>6.8150810691120445E-2</c:v>
                </c:pt>
                <c:pt idx="61">
                  <c:v>7.0324701250528462E-2</c:v>
                </c:pt>
                <c:pt idx="62">
                  <c:v>7.25299870545945E-2</c:v>
                </c:pt>
                <c:pt idx="63">
                  <c:v>7.4766562728014727E-2</c:v>
                </c:pt>
                <c:pt idx="64">
                  <c:v>7.7034324086409894E-2</c:v>
                </c:pt>
                <c:pt idx="65">
                  <c:v>7.933316812327193E-2</c:v>
                </c:pt>
                <c:pt idx="66">
                  <c:v>8.1662992997125261E-2</c:v>
                </c:pt>
                <c:pt idx="67">
                  <c:v>8.4023698018899237E-2</c:v>
                </c:pt>
                <c:pt idx="68">
                  <c:v>8.6415183639507828E-2</c:v>
                </c:pt>
                <c:pt idx="69">
                  <c:v>8.8837351437633674E-2</c:v>
                </c:pt>
                <c:pt idx="70">
                  <c:v>9.1290104107710907E-2</c:v>
                </c:pt>
                <c:pt idx="71">
                  <c:v>9.3773345448106143E-2</c:v>
                </c:pt>
                <c:pt idx="72">
                  <c:v>9.628698034949125E-2</c:v>
                </c:pt>
                <c:pt idx="73">
                  <c:v>9.8830914783407151E-2</c:v>
                </c:pt>
                <c:pt idx="74">
                  <c:v>0.10140505579101372</c:v>
                </c:pt>
                <c:pt idx="75">
                  <c:v>0.10400931147202098</c:v>
                </c:pt>
                <c:pt idx="76">
                  <c:v>0.10664359097380539</c:v>
                </c:pt>
                <c:pt idx="77">
                  <c:v>0.10930780448069891</c:v>
                </c:pt>
                <c:pt idx="78">
                  <c:v>0.11200186320345246</c:v>
                </c:pt>
                <c:pt idx="79">
                  <c:v>0.11472567936887235</c:v>
                </c:pt>
                <c:pt idx="80">
                  <c:v>0.1174791662096243</c:v>
                </c:pt>
                <c:pt idx="81">
                  <c:v>0.12026223795420189</c:v>
                </c:pt>
                <c:pt idx="82">
                  <c:v>0.12307480981706051</c:v>
                </c:pt>
                <c:pt idx="83">
                  <c:v>0.12591679798890676</c:v>
                </c:pt>
                <c:pt idx="84">
                  <c:v>0.12878811962714923</c:v>
                </c:pt>
                <c:pt idx="85">
                  <c:v>0.13168869284650225</c:v>
                </c:pt>
                <c:pt idx="86">
                  <c:v>0.13461843670974166</c:v>
                </c:pt>
                <c:pt idx="87">
                  <c:v>0.13757727121861135</c:v>
                </c:pt>
                <c:pt idx="88">
                  <c:v>0.14056511730407162</c:v>
                </c:pt>
                <c:pt idx="89">
                  <c:v>0.14358189681266317</c:v>
                </c:pt>
                <c:pt idx="90">
                  <c:v>0.14662753248963525</c:v>
                </c:pt>
                <c:pt idx="91">
                  <c:v>0.14970194796339178</c:v>
                </c:pt>
                <c:pt idx="92">
                  <c:v>0.15280506773067568</c:v>
                </c:pt>
                <c:pt idx="93">
                  <c:v>0.15593681714204743</c:v>
                </c:pt>
                <c:pt idx="94">
                  <c:v>0.15909712238767737</c:v>
                </c:pt>
                <c:pt idx="95">
                  <c:v>0.16228591048344351</c:v>
                </c:pt>
                <c:pt idx="96">
                  <c:v>0.16550310925730821</c:v>
                </c:pt>
                <c:pt idx="97">
                  <c:v>0.16874864733598838</c:v>
                </c:pt>
                <c:pt idx="98">
                  <c:v>0.17202245413189052</c:v>
                </c:pt>
                <c:pt idx="99">
                  <c:v>0.17532445983031356</c:v>
                </c:pt>
                <c:pt idx="100">
                  <c:v>0.1786545953769047</c:v>
                </c:pt>
                <c:pt idx="101">
                  <c:v>0.18201279246536617</c:v>
                </c:pt>
                <c:pt idx="102">
                  <c:v>0.18539898352540082</c:v>
                </c:pt>
                <c:pt idx="103">
                  <c:v>0.18881310171088697</c:v>
                </c:pt>
                <c:pt idx="104">
                  <c:v>0.19225508088828908</c:v>
                </c:pt>
                <c:pt idx="105">
                  <c:v>0.1957248556252747</c:v>
                </c:pt>
                <c:pt idx="106">
                  <c:v>0.19922236117955192</c:v>
                </c:pt>
                <c:pt idx="107">
                  <c:v>0.20274753348791391</c:v>
                </c:pt>
                <c:pt idx="108">
                  <c:v>0.20630030915547429</c:v>
                </c:pt>
                <c:pt idx="109">
                  <c:v>0.2098806254451083</c:v>
                </c:pt>
                <c:pt idx="110">
                  <c:v>0.21348842026707246</c:v>
                </c:pt>
                <c:pt idx="111">
                  <c:v>0.21712363216881245</c:v>
                </c:pt>
                <c:pt idx="112">
                  <c:v>0.22078620032494367</c:v>
                </c:pt>
                <c:pt idx="113">
                  <c:v>0.22447606452741081</c:v>
                </c:pt>
                <c:pt idx="114">
                  <c:v>0.22819316517580712</c:v>
                </c:pt>
                <c:pt idx="115">
                  <c:v>0.23193744326786028</c:v>
                </c:pt>
                <c:pt idx="116">
                  <c:v>0.23570884039007733</c:v>
                </c:pt>
                <c:pt idx="117">
                  <c:v>0.23950729870853268</c:v>
                </c:pt>
                <c:pt idx="118">
                  <c:v>0.24333276095982226</c:v>
                </c:pt>
                <c:pt idx="119">
                  <c:v>0.24718517044214242</c:v>
                </c:pt>
                <c:pt idx="120">
                  <c:v>0.25106447100652751</c:v>
                </c:pt>
                <c:pt idx="121">
                  <c:v>0.25497060704820707</c:v>
                </c:pt>
                <c:pt idx="122">
                  <c:v>0.25890352349810947</c:v>
                </c:pt>
                <c:pt idx="123">
                  <c:v>0.26286316581448449</c:v>
                </c:pt>
                <c:pt idx="124">
                  <c:v>0.2668494799746578</c:v>
                </c:pt>
                <c:pt idx="125">
                  <c:v>0.27086241246690052</c:v>
                </c:pt>
                <c:pt idx="126">
                  <c:v>0.27490191028242217</c:v>
                </c:pt>
                <c:pt idx="127">
                  <c:v>0.27896792090747707</c:v>
                </c:pt>
                <c:pt idx="128">
                  <c:v>0.28306039231558067</c:v>
                </c:pt>
                <c:pt idx="129">
                  <c:v>0.28717927295983658</c:v>
                </c:pt>
                <c:pt idx="130">
                  <c:v>0.29132451176536867</c:v>
                </c:pt>
                <c:pt idx="131">
                  <c:v>0.29549605812185165</c:v>
                </c:pt>
                <c:pt idx="132">
                  <c:v>0.29969386187614988</c:v>
                </c:pt>
                <c:pt idx="133">
                  <c:v>0.30391787332504272</c:v>
                </c:pt>
                <c:pt idx="134">
                  <c:v>0.30816804320789432</c:v>
                </c:pt>
                <c:pt idx="135">
                  <c:v>0.31244432269746203</c:v>
                </c:pt>
                <c:pt idx="136">
                  <c:v>0.3167466633882382</c:v>
                </c:pt>
                <c:pt idx="137">
                  <c:v>0.3210750172851668</c:v>
                </c:pt>
                <c:pt idx="138">
                  <c:v>0.32542933679340369</c:v>
                </c:pt>
                <c:pt idx="139">
                  <c:v>0.32980957470846878</c:v>
                </c:pt>
                <c:pt idx="140">
                  <c:v>0.33421568420675862</c:v>
                </c:pt>
                <c:pt idx="141">
                  <c:v>0.3386476188364142</c:v>
                </c:pt>
                <c:pt idx="142">
                  <c:v>0.34310533250849917</c:v>
                </c:pt>
                <c:pt idx="143">
                  <c:v>0.34758877948847827</c:v>
                </c:pt>
                <c:pt idx="144">
                  <c:v>0.35209791438797122</c:v>
                </c:pt>
                <c:pt idx="145">
                  <c:v>0.35663269215675791</c:v>
                </c:pt>
                <c:pt idx="146">
                  <c:v>0.3611930680750316</c:v>
                </c:pt>
                <c:pt idx="147">
                  <c:v>0.36577899774586364</c:v>
                </c:pt>
                <c:pt idx="148">
                  <c:v>0.37039043708788449</c:v>
                </c:pt>
                <c:pt idx="149">
                  <c:v>0.37502734232815094</c:v>
                </c:pt>
                <c:pt idx="150">
                  <c:v>0.37968966999520287</c:v>
                </c:pt>
                <c:pt idx="151">
                  <c:v>0.38437737691228452</c:v>
                </c:pt>
                <c:pt idx="152">
                  <c:v>0.38909042019072315</c:v>
                </c:pt>
                <c:pt idx="153">
                  <c:v>0.39382875722346145</c:v>
                </c:pt>
                <c:pt idx="154">
                  <c:v>0.39859234567872692</c:v>
                </c:pt>
                <c:pt idx="155">
                  <c:v>0.40338114349383147</c:v>
                </c:pt>
                <c:pt idx="156">
                  <c:v>0.40819510886909222</c:v>
                </c:pt>
                <c:pt idx="157">
                  <c:v>0.41303420026187626</c:v>
                </c:pt>
                <c:pt idx="158">
                  <c:v>0.41789837638073851</c:v>
                </c:pt>
                <c:pt idx="159">
                  <c:v>0.42278759617967904</c:v>
                </c:pt>
                <c:pt idx="160">
                  <c:v>0.42770181885255731</c:v>
                </c:pt>
                <c:pt idx="161">
                  <c:v>0.43264100382804277</c:v>
                </c:pt>
                <c:pt idx="162">
                  <c:v>0.43760511076502451</c:v>
                </c:pt>
                <c:pt idx="163">
                  <c:v>0.44259409954795631</c:v>
                </c:pt>
                <c:pt idx="164">
                  <c:v>0.44760793028215579</c:v>
                </c:pt>
                <c:pt idx="165">
                  <c:v>0.45264656328913605</c:v>
                </c:pt>
                <c:pt idx="166">
                  <c:v>0.45770995910195261</c:v>
                </c:pt>
                <c:pt idx="167">
                  <c:v>0.4627980784605622</c:v>
                </c:pt>
                <c:pt idx="168">
                  <c:v>0.46791088230721195</c:v>
                </c:pt>
                <c:pt idx="169">
                  <c:v>0.47304833178181682</c:v>
                </c:pt>
                <c:pt idx="170">
                  <c:v>0.47821038821736539</c:v>
                </c:pt>
                <c:pt idx="171">
                  <c:v>0.48339701313531031</c:v>
                </c:pt>
                <c:pt idx="172">
                  <c:v>0.48860816824096215</c:v>
                </c:pt>
                <c:pt idx="173">
                  <c:v>0.49384381541886035</c:v>
                </c:pt>
                <c:pt idx="174">
                  <c:v>0.49910391672811821</c:v>
                </c:pt>
                <c:pt idx="175">
                  <c:v>0.50438843439770198</c:v>
                </c:pt>
                <c:pt idx="176">
                  <c:v>0.50969733082163293</c:v>
                </c:pt>
                <c:pt idx="177">
                  <c:v>0.51503056855402263</c:v>
                </c:pt>
                <c:pt idx="178">
                  <c:v>0.5203881103038791</c:v>
                </c:pt>
                <c:pt idx="179">
                  <c:v>0.52576991892947411</c:v>
                </c:pt>
                <c:pt idx="180">
                  <c:v>0.53117595743195711</c:v>
                </c:pt>
                <c:pt idx="181">
                  <c:v>0.53660618894749612</c:v>
                </c:pt>
                <c:pt idx="182">
                  <c:v>0.54206057673630514</c:v>
                </c:pt>
                <c:pt idx="183">
                  <c:v>0.54753908416687591</c:v>
                </c:pt>
                <c:pt idx="184">
                  <c:v>0.55304167471056476</c:v>
                </c:pt>
                <c:pt idx="185">
                  <c:v>0.55856831195961032</c:v>
                </c:pt>
                <c:pt idx="186">
                  <c:v>0.56411895961278058</c:v>
                </c:pt>
                <c:pt idx="187">
                  <c:v>0.56969358132602488</c:v>
                </c:pt>
                <c:pt idx="188">
                  <c:v>0.57529214032075249</c:v>
                </c:pt>
                <c:pt idx="189">
                  <c:v>0.58091459916419441</c:v>
                </c:pt>
                <c:pt idx="190">
                  <c:v>0.5865609198999705</c:v>
                </c:pt>
                <c:pt idx="191">
                  <c:v>0.59223106403309755</c:v>
                </c:pt>
                <c:pt idx="192">
                  <c:v>0.59792499253246278</c:v>
                </c:pt>
                <c:pt idx="193">
                  <c:v>0.60364266580374126</c:v>
                </c:pt>
                <c:pt idx="194">
                  <c:v>0.60938404368325017</c:v>
                </c:pt>
                <c:pt idx="195">
                  <c:v>0.61514908544287972</c:v>
                </c:pt>
                <c:pt idx="196">
                  <c:v>0.62093774979205552</c:v>
                </c:pt>
                <c:pt idx="197">
                  <c:v>0.62674999488006888</c:v>
                </c:pt>
                <c:pt idx="198">
                  <c:v>0.63258577829872653</c:v>
                </c:pt>
                <c:pt idx="199">
                  <c:v>0.63844505708520483</c:v>
                </c:pt>
                <c:pt idx="200">
                  <c:v>0.64432778772506594</c:v>
                </c:pt>
                <c:pt idx="201">
                  <c:v>0.65023392615540088</c:v>
                </c:pt>
                <c:pt idx="202">
                  <c:v>0.65616342776807457</c:v>
                </c:pt>
                <c:pt idx="203">
                  <c:v>0.66211624741304709</c:v>
                </c:pt>
                <c:pt idx="204">
                  <c:v>0.66809233940178314</c:v>
                </c:pt>
                <c:pt idx="205">
                  <c:v>0.67409165751071365</c:v>
                </c:pt>
                <c:pt idx="206">
                  <c:v>0.68011415498476224</c:v>
                </c:pt>
                <c:pt idx="207">
                  <c:v>0.68615978454093263</c:v>
                </c:pt>
                <c:pt idx="208">
                  <c:v>0.69222849837193712</c:v>
                </c:pt>
                <c:pt idx="209">
                  <c:v>0.69832024814988158</c:v>
                </c:pt>
                <c:pt idx="210">
                  <c:v>0.70443498502999924</c:v>
                </c:pt>
                <c:pt idx="211">
                  <c:v>0.71057265965441851</c:v>
                </c:pt>
                <c:pt idx="212">
                  <c:v>0.71673322215598489</c:v>
                </c:pt>
                <c:pt idx="213">
                  <c:v>0.72291662216211838</c:v>
                </c:pt>
                <c:pt idx="214">
                  <c:v>0.72912280879871649</c:v>
                </c:pt>
                <c:pt idx="215">
                  <c:v>0.73535173069408988</c:v>
                </c:pt>
                <c:pt idx="216">
                  <c:v>0.74160333598293904</c:v>
                </c:pt>
                <c:pt idx="217">
                  <c:v>0.74787757231037189</c:v>
                </c:pt>
                <c:pt idx="218">
                  <c:v>0.75417438683594529</c:v>
                </c:pt>
                <c:pt idx="219">
                  <c:v>0.76049372623776179</c:v>
                </c:pt>
                <c:pt idx="220">
                  <c:v>0.76683553671657378</c:v>
                </c:pt>
                <c:pt idx="221">
                  <c:v>0.7731997639999475</c:v>
                </c:pt>
                <c:pt idx="222">
                  <c:v>0.77958635334644</c:v>
                </c:pt>
                <c:pt idx="223">
                  <c:v>0.78599524954981281</c:v>
                </c:pt>
                <c:pt idx="224">
                  <c:v>0.79242639694328354</c:v>
                </c:pt>
                <c:pt idx="225">
                  <c:v>0.79887973940379475</c:v>
                </c:pt>
                <c:pt idx="226">
                  <c:v>0.80535522035632034</c:v>
                </c:pt>
                <c:pt idx="227">
                  <c:v>0.81185278277819628</c:v>
                </c:pt>
                <c:pt idx="228">
                  <c:v>0.81837236920347878</c:v>
                </c:pt>
                <c:pt idx="229">
                  <c:v>0.82491392172732869</c:v>
                </c:pt>
                <c:pt idx="230">
                  <c:v>0.8314773820104232</c:v>
                </c:pt>
                <c:pt idx="231">
                  <c:v>0.83806269128338606</c:v>
                </c:pt>
                <c:pt idx="232">
                  <c:v>0.84466979035125245</c:v>
                </c:pt>
                <c:pt idx="233">
                  <c:v>0.85129861959794029</c:v>
                </c:pt>
                <c:pt idx="234">
                  <c:v>0.85794911899076343</c:v>
                </c:pt>
                <c:pt idx="235">
                  <c:v>0.8646212280849499</c:v>
                </c:pt>
                <c:pt idx="236">
                  <c:v>0.87131488602818796</c:v>
                </c:pt>
                <c:pt idx="237">
                  <c:v>0.87803003156519088</c:v>
                </c:pt>
                <c:pt idx="238">
                  <c:v>0.88476660304227939</c:v>
                </c:pt>
                <c:pt idx="239">
                  <c:v>0.89152453841198609</c:v>
                </c:pt>
                <c:pt idx="240">
                  <c:v>0.89830377523766813</c:v>
                </c:pt>
                <c:pt idx="241">
                  <c:v>0.90510425069814959</c:v>
                </c:pt>
                <c:pt idx="242">
                  <c:v>0.91192590159236553</c:v>
                </c:pt>
                <c:pt idx="243">
                  <c:v>0.9187686643440317</c:v>
                </c:pt>
                <c:pt idx="244">
                  <c:v>0.92563247500632195</c:v>
                </c:pt>
                <c:pt idx="245">
                  <c:v>0.93251726926656453</c:v>
                </c:pt>
                <c:pt idx="246">
                  <c:v>0.93942298245094391</c:v>
                </c:pt>
                <c:pt idx="247">
                  <c:v>0.94634954952921935</c:v>
                </c:pt>
                <c:pt idx="248">
                  <c:v>0.95329690511945475</c:v>
                </c:pt>
                <c:pt idx="249">
                  <c:v>0.96026498349275402</c:v>
                </c:pt>
                <c:pt idx="250">
                  <c:v>0.96725371857801445</c:v>
                </c:pt>
                <c:pt idx="251">
                  <c:v>0.97426304396667673</c:v>
                </c:pt>
                <c:pt idx="252">
                  <c:v>0.98129289291749511</c:v>
                </c:pt>
                <c:pt idx="253">
                  <c:v>0.98834319836130691</c:v>
                </c:pt>
                <c:pt idx="254">
                  <c:v>0.99541389290580851</c:v>
                </c:pt>
                <c:pt idx="255">
                  <c:v>1.0025049088403577</c:v>
                </c:pt>
                <c:pt idx="256">
                  <c:v>1.009616178140716</c:v>
                </c:pt>
                <c:pt idx="257">
                  <c:v>1.0167476324738984</c:v>
                </c:pt>
                <c:pt idx="258">
                  <c:v>1.0238992032029561</c:v>
                </c:pt>
                <c:pt idx="259">
                  <c:v>1.0310708213917241</c:v>
                </c:pt>
                <c:pt idx="260">
                  <c:v>1.0382624178097031</c:v>
                </c:pt>
                <c:pt idx="261">
                  <c:v>1.0454739229368071</c:v>
                </c:pt>
                <c:pt idx="262">
                  <c:v>1.0527052669681956</c:v>
                </c:pt>
                <c:pt idx="263">
                  <c:v>1.0599563798190406</c:v>
                </c:pt>
                <c:pt idx="264">
                  <c:v>1.0672271911293887</c:v>
                </c:pt>
                <c:pt idx="265">
                  <c:v>1.0745176302689001</c:v>
                </c:pt>
                <c:pt idx="266">
                  <c:v>1.0818276263416975</c:v>
                </c:pt>
                <c:pt idx="267">
                  <c:v>1.0891571081911366</c:v>
                </c:pt>
                <c:pt idx="268">
                  <c:v>1.0965060044046067</c:v>
                </c:pt>
                <c:pt idx="269">
                  <c:v>1.1038742433183277</c:v>
                </c:pt>
                <c:pt idx="270">
                  <c:v>1.1112617530221045</c:v>
                </c:pt>
                <c:pt idx="271">
                  <c:v>1.118668461364152</c:v>
                </c:pt>
                <c:pt idx="272">
                  <c:v>1.1260942959558289</c:v>
                </c:pt>
                <c:pt idx="273">
                  <c:v>1.1335391841764453</c:v>
                </c:pt>
                <c:pt idx="274">
                  <c:v>1.1410030531779631</c:v>
                </c:pt>
                <c:pt idx="275">
                  <c:v>1.148485829889808</c:v>
                </c:pt>
                <c:pt idx="276">
                  <c:v>1.1559874410235866</c:v>
                </c:pt>
                <c:pt idx="277">
                  <c:v>1.1635078130777985</c:v>
                </c:pt>
                <c:pt idx="278">
                  <c:v>1.1710468723426064</c:v>
                </c:pt>
                <c:pt idx="279">
                  <c:v>1.1786045449045159</c:v>
                </c:pt>
                <c:pt idx="280">
                  <c:v>1.1861807566510854</c:v>
                </c:pt>
                <c:pt idx="281">
                  <c:v>1.1937754332756285</c:v>
                </c:pt>
                <c:pt idx="282">
                  <c:v>1.2013885002818723</c:v>
                </c:pt>
                <c:pt idx="283">
                  <c:v>1.2090198829886389</c:v>
                </c:pt>
                <c:pt idx="284">
                  <c:v>1.2166695065345265</c:v>
                </c:pt>
                <c:pt idx="285">
                  <c:v>1.2243372958824699</c:v>
                </c:pt>
                <c:pt idx="286">
                  <c:v>1.23202317582447</c:v>
                </c:pt>
                <c:pt idx="287">
                  <c:v>1.2397270709861081</c:v>
                </c:pt>
                <c:pt idx="288">
                  <c:v>1.2474489058312028</c:v>
                </c:pt>
                <c:pt idx="289">
                  <c:v>1.2551886046663838</c:v>
                </c:pt>
                <c:pt idx="290">
                  <c:v>1.262946091645613</c:v>
                </c:pt>
                <c:pt idx="291">
                  <c:v>1.2707212907747849</c:v>
                </c:pt>
                <c:pt idx="292">
                  <c:v>1.2785141259162187</c:v>
                </c:pt>
                <c:pt idx="293">
                  <c:v>1.2863245207931993</c:v>
                </c:pt>
                <c:pt idx="294">
                  <c:v>1.2941523989944401</c:v>
                </c:pt>
                <c:pt idx="295">
                  <c:v>1.301997683978583</c:v>
                </c:pt>
                <c:pt idx="296">
                  <c:v>1.3098602990786328</c:v>
                </c:pt>
                <c:pt idx="297">
                  <c:v>1.3177401675063967</c:v>
                </c:pt>
                <c:pt idx="298">
                  <c:v>1.3256372123569284</c:v>
                </c:pt>
                <c:pt idx="299">
                  <c:v>1.3335513566128792</c:v>
                </c:pt>
                <c:pt idx="300">
                  <c:v>1.3414825231489111</c:v>
                </c:pt>
                <c:pt idx="301">
                  <c:v>1.349430634736019</c:v>
                </c:pt>
                <c:pt idx="302">
                  <c:v>1.357395614045884</c:v>
                </c:pt>
                <c:pt idx="303">
                  <c:v>1.3653773836551557</c:v>
                </c:pt>
                <c:pt idx="304">
                  <c:v>1.373375866049785</c:v>
                </c:pt>
                <c:pt idx="305">
                  <c:v>1.3813909836292275</c:v>
                </c:pt>
                <c:pt idx="306">
                  <c:v>1.3894226587107277</c:v>
                </c:pt>
                <c:pt idx="307">
                  <c:v>1.3974708135335312</c:v>
                </c:pt>
                <c:pt idx="308">
                  <c:v>1.4055353702630475</c:v>
                </c:pt>
                <c:pt idx="309">
                  <c:v>1.4136162509950672</c:v>
                </c:pt>
                <c:pt idx="310">
                  <c:v>1.4217133777598312</c:v>
                </c:pt>
                <c:pt idx="311">
                  <c:v>1.4298266725262394</c:v>
                </c:pt>
                <c:pt idx="312">
                  <c:v>1.4379560572058712</c:v>
                </c:pt>
                <c:pt idx="313">
                  <c:v>1.4461014536570815</c:v>
                </c:pt>
                <c:pt idx="314">
                  <c:v>1.4542627836890456</c:v>
                </c:pt>
                <c:pt idx="315">
                  <c:v>1.4624399690657537</c:v>
                </c:pt>
                <c:pt idx="316">
                  <c:v>1.4706329315100344</c:v>
                </c:pt>
                <c:pt idx="317">
                  <c:v>1.4788415927074714</c:v>
                </c:pt>
                <c:pt idx="318">
                  <c:v>1.4870658743103684</c:v>
                </c:pt>
                <c:pt idx="319">
                  <c:v>1.4953056979416541</c:v>
                </c:pt>
                <c:pt idx="320">
                  <c:v>1.5035609851987373</c:v>
                </c:pt>
                <c:pt idx="321">
                  <c:v>1.511831657657394</c:v>
                </c:pt>
                <c:pt idx="322">
                  <c:v>1.5201176368755425</c:v>
                </c:pt>
                <c:pt idx="323">
                  <c:v>1.5284188443970887</c:v>
                </c:pt>
                <c:pt idx="324">
                  <c:v>1.5367352017556637</c:v>
                </c:pt>
                <c:pt idx="325">
                  <c:v>1.5450666304783607</c:v>
                </c:pt>
                <c:pt idx="326">
                  <c:v>1.5534130520894491</c:v>
                </c:pt>
                <c:pt idx="327">
                  <c:v>1.5617743881140438</c:v>
                </c:pt>
                <c:pt idx="328">
                  <c:v>1.5701505600817616</c:v>
                </c:pt>
                <c:pt idx="329">
                  <c:v>1.5785414895303469</c:v>
                </c:pt>
                <c:pt idx="330">
                  <c:v>1.5869470980092524</c:v>
                </c:pt>
                <c:pt idx="331">
                  <c:v>1.5953673070831926</c:v>
                </c:pt>
                <c:pt idx="332">
                  <c:v>1.6038020383356741</c:v>
                </c:pt>
                <c:pt idx="333">
                  <c:v>1.612251213372514</c:v>
                </c:pt>
                <c:pt idx="334">
                  <c:v>1.620714753825286</c:v>
                </c:pt>
                <c:pt idx="335">
                  <c:v>1.6291925813547707</c:v>
                </c:pt>
                <c:pt idx="336">
                  <c:v>1.6376846176543316</c:v>
                </c:pt>
                <c:pt idx="337">
                  <c:v>1.6461907844533479</c:v>
                </c:pt>
                <c:pt idx="338">
                  <c:v>1.6547110035204988</c:v>
                </c:pt>
                <c:pt idx="339">
                  <c:v>1.663245196667136</c:v>
                </c:pt>
                <c:pt idx="340">
                  <c:v>1.671793285750502</c:v>
                </c:pt>
                <c:pt idx="341">
                  <c:v>1.680355192677039</c:v>
                </c:pt>
                <c:pt idx="342">
                  <c:v>1.6889308394055584</c:v>
                </c:pt>
                <c:pt idx="343">
                  <c:v>1.6975201479504736</c:v>
                </c:pt>
                <c:pt idx="344">
                  <c:v>1.7061230403849357</c:v>
                </c:pt>
                <c:pt idx="345">
                  <c:v>1.7147394388439268</c:v>
                </c:pt>
                <c:pt idx="346">
                  <c:v>1.7233692655274202</c:v>
                </c:pt>
                <c:pt idx="347">
                  <c:v>1.7320124427033796</c:v>
                </c:pt>
                <c:pt idx="348">
                  <c:v>1.7406688927108331</c:v>
                </c:pt>
                <c:pt idx="349">
                  <c:v>1.7493385379628195</c:v>
                </c:pt>
                <c:pt idx="350">
                  <c:v>1.7580213009494052</c:v>
                </c:pt>
                <c:pt idx="351">
                  <c:v>1.7667171042405907</c:v>
                </c:pt>
                <c:pt idx="352">
                  <c:v>1.7754258704892161</c:v>
                </c:pt>
                <c:pt idx="353">
                  <c:v>1.7841475224338006</c:v>
                </c:pt>
                <c:pt idx="354">
                  <c:v>1.7928819829014564</c:v>
                </c:pt>
                <c:pt idx="355">
                  <c:v>1.8016291748105995</c:v>
                </c:pt>
                <c:pt idx="356">
                  <c:v>1.8103890211737825</c:v>
                </c:pt>
                <c:pt idx="357">
                  <c:v>1.819161445100419</c:v>
                </c:pt>
                <c:pt idx="358">
                  <c:v>1.8279463697994935</c:v>
                </c:pt>
                <c:pt idx="359">
                  <c:v>1.8367437185822189</c:v>
                </c:pt>
                <c:pt idx="360">
                  <c:v>1.8455534148647046</c:v>
                </c:pt>
                <c:pt idx="361">
                  <c:v>1.854375382170564</c:v>
                </c:pt>
                <c:pt idx="362">
                  <c:v>1.8632095441334773</c:v>
                </c:pt>
                <c:pt idx="363">
                  <c:v>1.8720558244997436</c:v>
                </c:pt>
                <c:pt idx="364">
                  <c:v>1.8809141471308282</c:v>
                </c:pt>
                <c:pt idx="365">
                  <c:v>1.8897844360058047</c:v>
                </c:pt>
                <c:pt idx="366">
                  <c:v>1.8986666152238194</c:v>
                </c:pt>
                <c:pt idx="367">
                  <c:v>1.9075606090065085</c:v>
                </c:pt>
                <c:pt idx="368">
                  <c:v>1.9164663417003989</c:v>
                </c:pt>
                <c:pt idx="369">
                  <c:v>1.9253837377792788</c:v>
                </c:pt>
                <c:pt idx="370">
                  <c:v>1.9343127218464582</c:v>
                </c:pt>
                <c:pt idx="371">
                  <c:v>1.9432532186371261</c:v>
                </c:pt>
                <c:pt idx="372">
                  <c:v>1.9522051530206073</c:v>
                </c:pt>
                <c:pt idx="373">
                  <c:v>1.9611684500025275</c:v>
                </c:pt>
                <c:pt idx="374">
                  <c:v>1.9701430347270992</c:v>
                </c:pt>
                <c:pt idx="375">
                  <c:v>1.9791288324792287</c:v>
                </c:pt>
                <c:pt idx="376">
                  <c:v>1.9881257686866918</c:v>
                </c:pt>
                <c:pt idx="377">
                  <c:v>1.9971337689221806</c:v>
                </c:pt>
                <c:pt idx="378">
                  <c:v>2.0061527589054622</c:v>
                </c:pt>
                <c:pt idx="379">
                  <c:v>2.0151826645053337</c:v>
                </c:pt>
                <c:pt idx="380">
                  <c:v>2.0242234117417</c:v>
                </c:pt>
                <c:pt idx="381">
                  <c:v>2.0332749267875125</c:v>
                </c:pt>
                <c:pt idx="382">
                  <c:v>2.0423371359707643</c:v>
                </c:pt>
                <c:pt idx="383">
                  <c:v>2.051409965776362</c:v>
                </c:pt>
                <c:pt idx="384">
                  <c:v>2.0604933428480292</c:v>
                </c:pt>
                <c:pt idx="385">
                  <c:v>2.069587193990218</c:v>
                </c:pt>
                <c:pt idx="386">
                  <c:v>2.0786914461698487</c:v>
                </c:pt>
                <c:pt idx="387">
                  <c:v>2.0878060265181819</c:v>
                </c:pt>
                <c:pt idx="388">
                  <c:v>2.096930862332556</c:v>
                </c:pt>
                <c:pt idx="389">
                  <c:v>2.1060658810781492</c:v>
                </c:pt>
                <c:pt idx="390">
                  <c:v>2.1152110103896633</c:v>
                </c:pt>
                <c:pt idx="391">
                  <c:v>2.1243661780730094</c:v>
                </c:pt>
                <c:pt idx="392">
                  <c:v>2.1335313121069919</c:v>
                </c:pt>
                <c:pt idx="393">
                  <c:v>2.1427063406448932</c:v>
                </c:pt>
                <c:pt idx="394">
                  <c:v>2.1518911920160888</c:v>
                </c:pt>
                <c:pt idx="395">
                  <c:v>2.161085794727613</c:v>
                </c:pt>
                <c:pt idx="396">
                  <c:v>2.1702900774656722</c:v>
                </c:pt>
                <c:pt idx="397">
                  <c:v>2.1795039690971931</c:v>
                </c:pt>
                <c:pt idx="398">
                  <c:v>2.188727398671265</c:v>
                </c:pt>
                <c:pt idx="399">
                  <c:v>2.1979602954206117</c:v>
                </c:pt>
                <c:pt idx="400">
                  <c:v>2.20720258876301</c:v>
                </c:pt>
                <c:pt idx="401">
                  <c:v>2.2164542083027006</c:v>
                </c:pt>
                <c:pt idx="402">
                  <c:v>2.225715083831723</c:v>
                </c:pt>
                <c:pt idx="403">
                  <c:v>2.2349851453312741</c:v>
                </c:pt>
                <c:pt idx="404">
                  <c:v>2.2442643229730495</c:v>
                </c:pt>
                <c:pt idx="405">
                  <c:v>2.2535525471204694</c:v>
                </c:pt>
                <c:pt idx="406">
                  <c:v>2.2628497483300043</c:v>
                </c:pt>
                <c:pt idx="407">
                  <c:v>2.2721558573523644</c:v>
                </c:pt>
                <c:pt idx="408">
                  <c:v>2.2814708051337163</c:v>
                </c:pt>
                <c:pt idx="409">
                  <c:v>2.2907945228168476</c:v>
                </c:pt>
                <c:pt idx="410">
                  <c:v>2.3001269417423797</c:v>
                </c:pt>
                <c:pt idx="411">
                  <c:v>2.3094679934498026</c:v>
                </c:pt>
                <c:pt idx="412">
                  <c:v>2.3188176096786735</c:v>
                </c:pt>
                <c:pt idx="413">
                  <c:v>2.3281757223696249</c:v>
                </c:pt>
                <c:pt idx="414">
                  <c:v>2.3375422636654228</c:v>
                </c:pt>
                <c:pt idx="415">
                  <c:v>2.3469171659120365</c:v>
                </c:pt>
                <c:pt idx="416">
                  <c:v>2.3563003616595859</c:v>
                </c:pt>
                <c:pt idx="417">
                  <c:v>2.3656917836633506</c:v>
                </c:pt>
                <c:pt idx="418">
                  <c:v>2.3750913648847103</c:v>
                </c:pt>
                <c:pt idx="419">
                  <c:v>2.3844990384920708</c:v>
                </c:pt>
                <c:pt idx="420">
                  <c:v>2.3939147378617567</c:v>
                </c:pt>
                <c:pt idx="421">
                  <c:v>2.4033383965789095</c:v>
                </c:pt>
                <c:pt idx="422">
                  <c:v>2.4127699484383274</c:v>
                </c:pt>
                <c:pt idx="423">
                  <c:v>2.4222093274453043</c:v>
                </c:pt>
                <c:pt idx="424">
                  <c:v>2.4316564678164307</c:v>
                </c:pt>
                <c:pt idx="425">
                  <c:v>2.4411113039803718</c:v>
                </c:pt>
                <c:pt idx="426">
                  <c:v>2.4505737705786435</c:v>
                </c:pt>
                <c:pt idx="427">
                  <c:v>2.4600438024663318</c:v>
                </c:pt>
                <c:pt idx="428">
                  <c:v>2.4695213347128373</c:v>
                </c:pt>
                <c:pt idx="429">
                  <c:v>2.4790063026025235</c:v>
                </c:pt>
                <c:pt idx="430">
                  <c:v>2.4884986416354256</c:v>
                </c:pt>
                <c:pt idx="431">
                  <c:v>2.4979982875278957</c:v>
                </c:pt>
                <c:pt idx="432">
                  <c:v>2.5075051762131988</c:v>
                </c:pt>
                <c:pt idx="433">
                  <c:v>2.5170192438421504</c:v>
                </c:pt>
                <c:pt idx="434">
                  <c:v>2.5265404267836806</c:v>
                </c:pt>
                <c:pt idx="435">
                  <c:v>2.5360686616254031</c:v>
                </c:pt>
                <c:pt idx="436">
                  <c:v>2.5456038851741689</c:v>
                </c:pt>
                <c:pt idx="437">
                  <c:v>2.5551460344565546</c:v>
                </c:pt>
                <c:pt idx="438">
                  <c:v>2.5646950467193999</c:v>
                </c:pt>
                <c:pt idx="439">
                  <c:v>2.5742508594302644</c:v>
                </c:pt>
                <c:pt idx="440">
                  <c:v>2.5838134102778718</c:v>
                </c:pt>
                <c:pt idx="441">
                  <c:v>2.5933826371725912</c:v>
                </c:pt>
                <c:pt idx="442">
                  <c:v>2.6029584782468236</c:v>
                </c:pt>
                <c:pt idx="443">
                  <c:v>2.6125408718554164</c:v>
                </c:pt>
                <c:pt idx="444">
                  <c:v>2.6221297565760229</c:v>
                </c:pt>
                <c:pt idx="445">
                  <c:v>2.6317250712095128</c:v>
                </c:pt>
                <c:pt idx="446">
                  <c:v>2.6413267547802559</c:v>
                </c:pt>
                <c:pt idx="447">
                  <c:v>2.6509347465364614</c:v>
                </c:pt>
                <c:pt idx="448">
                  <c:v>2.660548985950526</c:v>
                </c:pt>
                <c:pt idx="449">
                  <c:v>2.6701694127192539</c:v>
                </c:pt>
                <c:pt idx="450">
                  <c:v>2.6797959667641909</c:v>
                </c:pt>
                <c:pt idx="451">
                  <c:v>2.6894285882317983</c:v>
                </c:pt>
                <c:pt idx="452">
                  <c:v>2.6990672174937864</c:v>
                </c:pt>
                <c:pt idx="453">
                  <c:v>2.708711795147217</c:v>
                </c:pt>
                <c:pt idx="454">
                  <c:v>2.7183622620147987</c:v>
                </c:pt>
                <c:pt idx="455">
                  <c:v>2.7280185591450188</c:v>
                </c:pt>
                <c:pt idx="456">
                  <c:v>2.7376806278122907</c:v>
                </c:pt>
                <c:pt idx="457">
                  <c:v>2.7473484095171625</c:v>
                </c:pt>
                <c:pt idx="458">
                  <c:v>2.7570218459863791</c:v>
                </c:pt>
                <c:pt idx="459">
                  <c:v>2.7667008791730452</c:v>
                </c:pt>
                <c:pt idx="460">
                  <c:v>2.7763854512567141</c:v>
                </c:pt>
                <c:pt idx="461">
                  <c:v>2.7860755046434376</c:v>
                </c:pt>
                <c:pt idx="462">
                  <c:v>2.7957709819658909</c:v>
                </c:pt>
                <c:pt idx="463">
                  <c:v>2.805471826083354</c:v>
                </c:pt>
                <c:pt idx="464">
                  <c:v>2.8151779800818146</c:v>
                </c:pt>
                <c:pt idx="465">
                  <c:v>2.8248893872739442</c:v>
                </c:pt>
                <c:pt idx="466">
                  <c:v>2.8346059911991262</c:v>
                </c:pt>
                <c:pt idx="467">
                  <c:v>2.8443277356234145</c:v>
                </c:pt>
                <c:pt idx="468">
                  <c:v>2.8540545645395663</c:v>
                </c:pt>
                <c:pt idx="469">
                  <c:v>2.8637864221669593</c:v>
                </c:pt>
                <c:pt idx="470">
                  <c:v>2.8735232529515353</c:v>
                </c:pt>
                <c:pt idx="471">
                  <c:v>2.8832650015657775</c:v>
                </c:pt>
                <c:pt idx="472">
                  <c:v>2.8930116129085937</c:v>
                </c:pt>
                <c:pt idx="473">
                  <c:v>2.9027630321052142</c:v>
                </c:pt>
                <c:pt idx="474">
                  <c:v>2.9125192045071242</c:v>
                </c:pt>
                <c:pt idx="475">
                  <c:v>2.9222800756919258</c:v>
                </c:pt>
                <c:pt idx="476">
                  <c:v>2.932045591463186</c:v>
                </c:pt>
                <c:pt idx="477">
                  <c:v>2.9418156978503189</c:v>
                </c:pt>
                <c:pt idx="478">
                  <c:v>2.951590341108397</c:v>
                </c:pt>
                <c:pt idx="479">
                  <c:v>2.9613694677180216</c:v>
                </c:pt>
                <c:pt idx="480">
                  <c:v>2.971153024385095</c:v>
                </c:pt>
                <c:pt idx="481">
                  <c:v>2.9809409580406507</c:v>
                </c:pt>
                <c:pt idx="482">
                  <c:v>2.9907332158406357</c:v>
                </c:pt>
                <c:pt idx="483">
                  <c:v>3.0005297451657094</c:v>
                </c:pt>
                <c:pt idx="484">
                  <c:v>3.0103304936209705</c:v>
                </c:pt>
                <c:pt idx="485">
                  <c:v>3.0201354090357801</c:v>
                </c:pt>
                <c:pt idx="486">
                  <c:v>3.0299444394634234</c:v>
                </c:pt>
                <c:pt idx="487">
                  <c:v>3.0397575331809321</c:v>
                </c:pt>
                <c:pt idx="488">
                  <c:v>3.0495746386887324</c:v>
                </c:pt>
                <c:pt idx="489">
                  <c:v>3.0593957047104228</c:v>
                </c:pt>
                <c:pt idx="490">
                  <c:v>3.0692206801924296</c:v>
                </c:pt>
                <c:pt idx="491">
                  <c:v>3.0790495143037262</c:v>
                </c:pt>
                <c:pt idx="492">
                  <c:v>3.0888821564354947</c:v>
                </c:pt>
                <c:pt idx="493">
                  <c:v>3.098718556200823</c:v>
                </c:pt>
                <c:pt idx="494">
                  <c:v>3.1085586634343469</c:v>
                </c:pt>
                <c:pt idx="495">
                  <c:v>3.1184024281919047</c:v>
                </c:pt>
                <c:pt idx="496">
                  <c:v>3.1282498007501984</c:v>
                </c:pt>
                <c:pt idx="497">
                  <c:v>3.1381007316064053</c:v>
                </c:pt>
                <c:pt idx="498">
                  <c:v>3.1479551714777911</c:v>
                </c:pt>
                <c:pt idx="499">
                  <c:v>3.1578130713013923</c:v>
                </c:pt>
                <c:pt idx="500">
                  <c:v>3.167674382233518</c:v>
                </c:pt>
                <c:pt idx="501">
                  <c:v>3.1775390556494418</c:v>
                </c:pt>
                <c:pt idx="502">
                  <c:v>3.1874070431429509</c:v>
                </c:pt>
                <c:pt idx="503">
                  <c:v>3.1972782965259037</c:v>
                </c:pt>
                <c:pt idx="504">
                  <c:v>3.2071527678278535</c:v>
                </c:pt>
                <c:pt idx="505">
                  <c:v>3.2170304092955604</c:v>
                </c:pt>
                <c:pt idx="506">
                  <c:v>3.2269111733925806</c:v>
                </c:pt>
                <c:pt idx="507">
                  <c:v>3.2367950127988152</c:v>
                </c:pt>
                <c:pt idx="508">
                  <c:v>3.2466818804100193</c:v>
                </c:pt>
                <c:pt idx="509">
                  <c:v>3.2565717293373764</c:v>
                </c:pt>
                <c:pt idx="510">
                  <c:v>3.2664645129069774</c:v>
                </c:pt>
                <c:pt idx="511">
                  <c:v>3.276360184659393</c:v>
                </c:pt>
                <c:pt idx="512">
                  <c:v>3.2862586983491262</c:v>
                </c:pt>
                <c:pt idx="513">
                  <c:v>3.2961600079441622</c:v>
                </c:pt>
                <c:pt idx="514">
                  <c:v>3.3060640676254263</c:v>
                </c:pt>
                <c:pt idx="515">
                  <c:v>3.3159708317863266</c:v>
                </c:pt>
                <c:pt idx="516">
                  <c:v>3.3258802550321631</c:v>
                </c:pt>
                <c:pt idx="517">
                  <c:v>3.3357922921796761</c:v>
                </c:pt>
                <c:pt idx="518">
                  <c:v>3.345706898256485</c:v>
                </c:pt>
                <c:pt idx="519">
                  <c:v>3.3556240285005368</c:v>
                </c:pt>
                <c:pt idx="520">
                  <c:v>3.365543638359604</c:v>
                </c:pt>
                <c:pt idx="521">
                  <c:v>3.375465683490682</c:v>
                </c:pt>
                <c:pt idx="522">
                  <c:v>3.3853901197595015</c:v>
                </c:pt>
                <c:pt idx="523">
                  <c:v>3.3953169032399209</c:v>
                </c:pt>
                <c:pt idx="524">
                  <c:v>3.4052459902133609</c:v>
                </c:pt>
                <c:pt idx="525">
                  <c:v>3.4151773371682874</c:v>
                </c:pt>
                <c:pt idx="526">
                  <c:v>3.4251109007995586</c:v>
                </c:pt>
                <c:pt idx="527">
                  <c:v>3.4350466380078917</c:v>
                </c:pt>
                <c:pt idx="528">
                  <c:v>3.4449845058992929</c:v>
                </c:pt>
                <c:pt idx="529">
                  <c:v>3.4549244617844193</c:v>
                </c:pt>
                <c:pt idx="530">
                  <c:v>3.4648664631780104</c:v>
                </c:pt>
                <c:pt idx="531">
                  <c:v>3.4748104677982754</c:v>
                </c:pt>
                <c:pt idx="532">
                  <c:v>3.4847564335663028</c:v>
                </c:pt>
                <c:pt idx="533">
                  <c:v>3.4947043186054509</c:v>
                </c:pt>
                <c:pt idx="534">
                  <c:v>3.5046540812407234</c:v>
                </c:pt>
                <c:pt idx="535">
                  <c:v>3.5146056799981396</c:v>
                </c:pt>
                <c:pt idx="536">
                  <c:v>3.524559073604145</c:v>
                </c:pt>
                <c:pt idx="537">
                  <c:v>3.5345142209849483</c:v>
                </c:pt>
                <c:pt idx="538">
                  <c:v>3.5444710812659403</c:v>
                </c:pt>
                <c:pt idx="539">
                  <c:v>3.5544296137709943</c:v>
                </c:pt>
                <c:pt idx="540">
                  <c:v>3.5643897780218743</c:v>
                </c:pt>
                <c:pt idx="541">
                  <c:v>3.5743515337375942</c:v>
                </c:pt>
                <c:pt idx="542">
                  <c:v>3.5843148408337453</c:v>
                </c:pt>
                <c:pt idx="543">
                  <c:v>3.5942796594218689</c:v>
                </c:pt>
                <c:pt idx="544">
                  <c:v>3.6042459498087833</c:v>
                </c:pt>
                <c:pt idx="545">
                  <c:v>3.6142136724959797</c:v>
                </c:pt>
                <c:pt idx="546">
                  <c:v>3.6241827881788797</c:v>
                </c:pt>
                <c:pt idx="547">
                  <c:v>3.6341532577462656</c:v>
                </c:pt>
                <c:pt idx="548">
                  <c:v>3.6441250422795437</c:v>
                </c:pt>
                <c:pt idx="549">
                  <c:v>3.654098103052116</c:v>
                </c:pt>
                <c:pt idx="550">
                  <c:v>3.6640724015287036</c:v>
                </c:pt>
                <c:pt idx="551">
                  <c:v>3.6740478993646795</c:v>
                </c:pt>
                <c:pt idx="552">
                  <c:v>3.684024558405369</c:v>
                </c:pt>
                <c:pt idx="553">
                  <c:v>3.6940023406853846</c:v>
                </c:pt>
                <c:pt idx="554">
                  <c:v>3.7039812084279804</c:v>
                </c:pt>
                <c:pt idx="555">
                  <c:v>3.7139611240443173</c:v>
                </c:pt>
                <c:pt idx="556">
                  <c:v>3.7239420501327962</c:v>
                </c:pt>
                <c:pt idx="557">
                  <c:v>3.7339239494784007</c:v>
                </c:pt>
                <c:pt idx="558">
                  <c:v>3.7439067850519669</c:v>
                </c:pt>
                <c:pt idx="559">
                  <c:v>3.7538905200095187</c:v>
                </c:pt>
                <c:pt idx="560">
                  <c:v>3.7638751176915557</c:v>
                </c:pt>
                <c:pt idx="561">
                  <c:v>3.7738605416224003</c:v>
                </c:pt>
                <c:pt idx="562">
                  <c:v>3.7838467555094382</c:v>
                </c:pt>
                <c:pt idx="563">
                  <c:v>3.7938337232424826</c:v>
                </c:pt>
                <c:pt idx="564">
                  <c:v>3.8038214088930338</c:v>
                </c:pt>
                <c:pt idx="565">
                  <c:v>3.8138097767136094</c:v>
                </c:pt>
                <c:pt idx="566">
                  <c:v>3.8237987911370022</c:v>
                </c:pt>
                <c:pt idx="567">
                  <c:v>3.8337884167756338</c:v>
                </c:pt>
                <c:pt idx="568">
                  <c:v>3.8437786184207892</c:v>
                </c:pt>
                <c:pt idx="569">
                  <c:v>3.8537693610419486</c:v>
                </c:pt>
                <c:pt idx="570">
                  <c:v>3.8637606097860955</c:v>
                </c:pt>
                <c:pt idx="571">
                  <c:v>3.8737523299769503</c:v>
                </c:pt>
                <c:pt idx="572">
                  <c:v>3.8837444871143214</c:v>
                </c:pt>
                <c:pt idx="573">
                  <c:v>3.8937370468733761</c:v>
                </c:pt>
                <c:pt idx="574">
                  <c:v>3.9037299751038979</c:v>
                </c:pt>
                <c:pt idx="575">
                  <c:v>3.9137232378296263</c:v>
                </c:pt>
                <c:pt idx="576">
                  <c:v>3.9237168012475303</c:v>
                </c:pt>
                <c:pt idx="577">
                  <c:v>3.9337106317270587</c:v>
                </c:pt>
                <c:pt idx="578">
                  <c:v>3.9437046958094713</c:v>
                </c:pt>
                <c:pt idx="579">
                  <c:v>3.953698960207138</c:v>
                </c:pt>
                <c:pt idx="580">
                  <c:v>3.963693391802745</c:v>
                </c:pt>
                <c:pt idx="581">
                  <c:v>3.9736879576486617</c:v>
                </c:pt>
                <c:pt idx="582">
                  <c:v>3.9836826249662125</c:v>
                </c:pt>
                <c:pt idx="583">
                  <c:v>3.9936773611449192</c:v>
                </c:pt>
                <c:pt idx="584">
                  <c:v>4.003672133741822</c:v>
                </c:pt>
                <c:pt idx="585">
                  <c:v>4.013666910480767</c:v>
                </c:pt>
                <c:pt idx="586">
                  <c:v>4.0236616592516663</c:v>
                </c:pt>
                <c:pt idx="587">
                  <c:v>4.0336563481097896</c:v>
                </c:pt>
                <c:pt idx="588">
                  <c:v>4.0436509452750871</c:v>
                </c:pt>
                <c:pt idx="589">
                  <c:v>4.0536454191314091</c:v>
                </c:pt>
                <c:pt idx="590">
                  <c:v>4.0636397382258354</c:v>
                </c:pt>
                <c:pt idx="591">
                  <c:v>4.0736338712679538</c:v>
                </c:pt>
                <c:pt idx="592">
                  <c:v>4.0836277871291315</c:v>
                </c:pt>
                <c:pt idx="593">
                  <c:v>4.0936214548418297</c:v>
                </c:pt>
                <c:pt idx="594">
                  <c:v>4.1036148435988524</c:v>
                </c:pt>
                <c:pt idx="595">
                  <c:v>4.1136079227526556</c:v>
                </c:pt>
                <c:pt idx="596">
                  <c:v>4.1236006618146224</c:v>
                </c:pt>
                <c:pt idx="597">
                  <c:v>4.1335930304543638</c:v>
                </c:pt>
                <c:pt idx="598">
                  <c:v>4.1435849984989925</c:v>
                </c:pt>
                <c:pt idx="599">
                  <c:v>4.153576535932439</c:v>
                </c:pt>
                <c:pt idx="600">
                  <c:v>4.1635676128946875</c:v>
                </c:pt>
                <c:pt idx="601">
                  <c:v>4.1735581996811106</c:v>
                </c:pt>
                <c:pt idx="602">
                  <c:v>4.1835482667417612</c:v>
                </c:pt>
                <c:pt idx="603">
                  <c:v>4.193537784680621</c:v>
                </c:pt>
                <c:pt idx="604">
                  <c:v>4.203526724254945</c:v>
                </c:pt>
                <c:pt idx="605">
                  <c:v>4.2135150563745158</c:v>
                </c:pt>
                <c:pt idx="606">
                  <c:v>4.2235027521009521</c:v>
                </c:pt>
                <c:pt idx="607">
                  <c:v>4.233489782647001</c:v>
                </c:pt>
                <c:pt idx="608">
                  <c:v>4.2434761193758286</c:v>
                </c:pt>
                <c:pt idx="609">
                  <c:v>4.25346173380035</c:v>
                </c:pt>
                <c:pt idx="610">
                  <c:v>4.2634465975824387</c:v>
                </c:pt>
                <c:pt idx="611">
                  <c:v>4.2734306825323563</c:v>
                </c:pt>
                <c:pt idx="612">
                  <c:v>4.283413960607918</c:v>
                </c:pt>
                <c:pt idx="613">
                  <c:v>4.293396403913893</c:v>
                </c:pt>
                <c:pt idx="614">
                  <c:v>4.3033779847012603</c:v>
                </c:pt>
                <c:pt idx="615">
                  <c:v>4.3133586753665147</c:v>
                </c:pt>
                <c:pt idx="616">
                  <c:v>4.3233384484509694</c:v>
                </c:pt>
                <c:pt idx="617">
                  <c:v>4.3333172766400851</c:v>
                </c:pt>
                <c:pt idx="618">
                  <c:v>4.3432951327627425</c:v>
                </c:pt>
                <c:pt idx="619">
                  <c:v>4.3532719897905938</c:v>
                </c:pt>
                <c:pt idx="620">
                  <c:v>4.3632478208373087</c:v>
                </c:pt>
                <c:pt idx="621">
                  <c:v>4.3732225991579456</c:v>
                </c:pt>
                <c:pt idx="622">
                  <c:v>4.3831962981482455</c:v>
                </c:pt>
                <c:pt idx="623">
                  <c:v>4.3931688913439375</c:v>
                </c:pt>
                <c:pt idx="624">
                  <c:v>4.403140352420035</c:v>
                </c:pt>
                <c:pt idx="625">
                  <c:v>4.413110655190204</c:v>
                </c:pt>
                <c:pt idx="626">
                  <c:v>4.4230797736060454</c:v>
                </c:pt>
                <c:pt idx="627">
                  <c:v>4.4330476817564026</c:v>
                </c:pt>
                <c:pt idx="628">
                  <c:v>4.4430143538667295</c:v>
                </c:pt>
                <c:pt idx="629">
                  <c:v>4.4529797642983544</c:v>
                </c:pt>
                <c:pt idx="630">
                  <c:v>4.4629438875478717</c:v>
                </c:pt>
                <c:pt idx="631">
                  <c:v>4.472906698246411</c:v>
                </c:pt>
                <c:pt idx="632">
                  <c:v>4.4828681711589748</c:v>
                </c:pt>
                <c:pt idx="633">
                  <c:v>4.4928282811838098</c:v>
                </c:pt>
                <c:pt idx="634">
                  <c:v>4.5027870033516733</c:v>
                </c:pt>
                <c:pt idx="635">
                  <c:v>4.5127443128252374</c:v>
                </c:pt>
                <c:pt idx="636">
                  <c:v>4.5227001848983512</c:v>
                </c:pt>
                <c:pt idx="637">
                  <c:v>4.5326545949954351</c:v>
                </c:pt>
                <c:pt idx="638">
                  <c:v>4.5426075186708017</c:v>
                </c:pt>
                <c:pt idx="639">
                  <c:v>4.552558931607968</c:v>
                </c:pt>
                <c:pt idx="640">
                  <c:v>4.5625088096190485</c:v>
                </c:pt>
                <c:pt idx="641">
                  <c:v>4.5724571286440581</c:v>
                </c:pt>
                <c:pt idx="642">
                  <c:v>4.5824038647502725</c:v>
                </c:pt>
                <c:pt idx="643">
                  <c:v>4.5923489941315756</c:v>
                </c:pt>
                <c:pt idx="644">
                  <c:v>4.6022924931078055</c:v>
                </c:pt>
                <c:pt idx="645">
                  <c:v>4.6122343381241198</c:v>
                </c:pt>
                <c:pt idx="646">
                  <c:v>4.6221745057503298</c:v>
                </c:pt>
                <c:pt idx="647">
                  <c:v>4.6321129726802708</c:v>
                </c:pt>
                <c:pt idx="648">
                  <c:v>4.6420497157311651</c:v>
                </c:pt>
                <c:pt idx="649">
                  <c:v>4.6519847118429327</c:v>
                </c:pt>
                <c:pt idx="650">
                  <c:v>4.6619179380776261</c:v>
                </c:pt>
                <c:pt idx="651">
                  <c:v>4.6718493716187632</c:v>
                </c:pt>
                <c:pt idx="652">
                  <c:v>4.6817789897706481</c:v>
                </c:pt>
                <c:pt idx="653">
                  <c:v>4.6917067699578281</c:v>
                </c:pt>
                <c:pt idx="654">
                  <c:v>4.7016326897243683</c:v>
                </c:pt>
                <c:pt idx="655">
                  <c:v>4.7115567267333134</c:v>
                </c:pt>
                <c:pt idx="656">
                  <c:v>4.7214788587659822</c:v>
                </c:pt>
                <c:pt idx="657">
                  <c:v>4.7313990637214074</c:v>
                </c:pt>
                <c:pt idx="658">
                  <c:v>4.7413173196156659</c:v>
                </c:pt>
                <c:pt idx="659">
                  <c:v>4.7512336045812846</c:v>
                </c:pt>
                <c:pt idx="660">
                  <c:v>4.7611478968666221</c:v>
                </c:pt>
                <c:pt idx="661">
                  <c:v>4.7710601748352506</c:v>
                </c:pt>
                <c:pt idx="662">
                  <c:v>4.7809704169653262</c:v>
                </c:pt>
                <c:pt idx="663">
                  <c:v>4.790878601849025</c:v>
                </c:pt>
                <c:pt idx="664">
                  <c:v>4.8007847081918573</c:v>
                </c:pt>
                <c:pt idx="665">
                  <c:v>4.8106887148121364</c:v>
                </c:pt>
                <c:pt idx="666">
                  <c:v>4.8205906006403474</c:v>
                </c:pt>
                <c:pt idx="667">
                  <c:v>4.830490344718517</c:v>
                </c:pt>
                <c:pt idx="668">
                  <c:v>4.8403879261996652</c:v>
                </c:pt>
                <c:pt idx="669">
                  <c:v>4.8502833243471626</c:v>
                </c:pt>
                <c:pt idx="670">
                  <c:v>4.860176518534149</c:v>
                </c:pt>
                <c:pt idx="671">
                  <c:v>4.8700674882429684</c:v>
                </c:pt>
                <c:pt idx="672">
                  <c:v>4.8799562130645286</c:v>
                </c:pt>
                <c:pt idx="673">
                  <c:v>4.8898426726977462</c:v>
                </c:pt>
                <c:pt idx="674">
                  <c:v>4.8997268469489548</c:v>
                </c:pt>
                <c:pt idx="675">
                  <c:v>4.909608715731312</c:v>
                </c:pt>
                <c:pt idx="676">
                  <c:v>4.9194882590642344</c:v>
                </c:pt>
                <c:pt idx="677">
                  <c:v>4.9293654570727972</c:v>
                </c:pt>
                <c:pt idx="678">
                  <c:v>4.9392402899871701</c:v>
                </c:pt>
                <c:pt idx="679">
                  <c:v>4.9491127381420252</c:v>
                </c:pt>
                <c:pt idx="680">
                  <c:v>4.9589827819760108</c:v>
                </c:pt>
                <c:pt idx="681">
                  <c:v>4.9688504020311139</c:v>
                </c:pt>
                <c:pt idx="682">
                  <c:v>4.9787155789521496</c:v>
                </c:pt>
                <c:pt idx="683">
                  <c:v>4.988578293486154</c:v>
                </c:pt>
                <c:pt idx="684">
                  <c:v>4.9984385264818494</c:v>
                </c:pt>
                <c:pt idx="685">
                  <c:v>5.0082962588890751</c:v>
                </c:pt>
                <c:pt idx="686">
                  <c:v>5.0181514717582223</c:v>
                </c:pt>
                <c:pt idx="687">
                  <c:v>5.0280041462396925</c:v>
                </c:pt>
                <c:pt idx="688">
                  <c:v>5.0378542635833048</c:v>
                </c:pt>
                <c:pt idx="689">
                  <c:v>5.0477018051378106</c:v>
                </c:pt>
                <c:pt idx="690">
                  <c:v>5.0575467523502642</c:v>
                </c:pt>
                <c:pt idx="691">
                  <c:v>5.0673890867655516</c:v>
                </c:pt>
                <c:pt idx="692">
                  <c:v>5.0772287900257904</c:v>
                </c:pt>
                <c:pt idx="693">
                  <c:v>5.087065843869822</c:v>
                </c:pt>
                <c:pt idx="694">
                  <c:v>5.0969002301326398</c:v>
                </c:pt>
                <c:pt idx="695">
                  <c:v>5.1067319307448882</c:v>
                </c:pt>
                <c:pt idx="696">
                  <c:v>5.1165609277322952</c:v>
                </c:pt>
                <c:pt idx="697">
                  <c:v>5.1263872032151632</c:v>
                </c:pt>
                <c:pt idx="698">
                  <c:v>5.1362107394078134</c:v>
                </c:pt>
                <c:pt idx="699">
                  <c:v>5.1460315186180932</c:v>
                </c:pt>
                <c:pt idx="700">
                  <c:v>5.1558495232467987</c:v>
                </c:pt>
                <c:pt idx="701">
                  <c:v>5.1656647357872014</c:v>
                </c:pt>
                <c:pt idx="702">
                  <c:v>5.1754771388245029</c:v>
                </c:pt>
                <c:pt idx="703">
                  <c:v>5.1852867150353239</c:v>
                </c:pt>
                <c:pt idx="704">
                  <c:v>5.1950934471871646</c:v>
                </c:pt>
                <c:pt idx="705">
                  <c:v>5.2048973181379203</c:v>
                </c:pt>
                <c:pt idx="706">
                  <c:v>5.2146983108353719</c:v>
                </c:pt>
                <c:pt idx="707">
                  <c:v>5.2244964083166412</c:v>
                </c:pt>
                <c:pt idx="708">
                  <c:v>5.2342915937077166</c:v>
                </c:pt>
                <c:pt idx="709">
                  <c:v>5.2440838502229159</c:v>
                </c:pt>
                <c:pt idx="710">
                  <c:v>5.2538731611644351</c:v>
                </c:pt>
                <c:pt idx="711">
                  <c:v>5.2636595099217889</c:v>
                </c:pt>
                <c:pt idx="712">
                  <c:v>5.2734428799713653</c:v>
                </c:pt>
                <c:pt idx="713">
                  <c:v>5.2832232548758773</c:v>
                </c:pt>
                <c:pt idx="714">
                  <c:v>5.2930006182839184</c:v>
                </c:pt>
                <c:pt idx="715">
                  <c:v>5.3027749539294451</c:v>
                </c:pt>
                <c:pt idx="716">
                  <c:v>5.312546245631304</c:v>
                </c:pt>
                <c:pt idx="717">
                  <c:v>5.322314477292708</c:v>
                </c:pt>
                <c:pt idx="718">
                  <c:v>5.3320796329008138</c:v>
                </c:pt>
                <c:pt idx="719">
                  <c:v>5.3418416965261759</c:v>
                </c:pt>
                <c:pt idx="720">
                  <c:v>5.3516006523223156</c:v>
                </c:pt>
                <c:pt idx="721">
                  <c:v>5.3613564845252162</c:v>
                </c:pt>
                <c:pt idx="722">
                  <c:v>5.3711091774528823</c:v>
                </c:pt>
                <c:pt idx="723">
                  <c:v>5.3808587155047967</c:v>
                </c:pt>
                <c:pt idx="724">
                  <c:v>5.3906050831615389</c:v>
                </c:pt>
                <c:pt idx="725">
                  <c:v>5.4003482649842418</c:v>
                </c:pt>
                <c:pt idx="726">
                  <c:v>5.410088245614193</c:v>
                </c:pt>
                <c:pt idx="727">
                  <c:v>5.4198250097723122</c:v>
                </c:pt>
                <c:pt idx="728">
                  <c:v>5.429558542258726</c:v>
                </c:pt>
                <c:pt idx="729">
                  <c:v>5.4392888279522849</c:v>
                </c:pt>
                <c:pt idx="730">
                  <c:v>5.4490158518101275</c:v>
                </c:pt>
                <c:pt idx="731">
                  <c:v>5.4587395988672416</c:v>
                </c:pt>
                <c:pt idx="732">
                  <c:v>5.4684600542359458</c:v>
                </c:pt>
                <c:pt idx="733">
                  <c:v>5.4781772031055187</c:v>
                </c:pt>
                <c:pt idx="734">
                  <c:v>5.4878910307417037</c:v>
                </c:pt>
                <c:pt idx="735">
                  <c:v>5.497601522486276</c:v>
                </c:pt>
                <c:pt idx="736">
                  <c:v>5.5073086637566018</c:v>
                </c:pt>
                <c:pt idx="737">
                  <c:v>5.5170124400451996</c:v>
                </c:pt>
                <c:pt idx="738">
                  <c:v>5.5267128369192795</c:v>
                </c:pt>
                <c:pt idx="739">
                  <c:v>5.5364098400203527</c:v>
                </c:pt>
                <c:pt idx="740">
                  <c:v>5.5461034350637464</c:v>
                </c:pt>
                <c:pt idx="741">
                  <c:v>5.5557936078382113</c:v>
                </c:pt>
                <c:pt idx="742">
                  <c:v>5.5654803442054757</c:v>
                </c:pt>
                <c:pt idx="743">
                  <c:v>5.5751636300998024</c:v>
                </c:pt>
                <c:pt idx="744">
                  <c:v>5.5848434515276084</c:v>
                </c:pt>
                <c:pt idx="745">
                  <c:v>5.5945197945669785</c:v>
                </c:pt>
                <c:pt idx="746">
                  <c:v>5.6041926453672994</c:v>
                </c:pt>
                <c:pt idx="747">
                  <c:v>5.6138619901488207</c:v>
                </c:pt>
                <c:pt idx="748">
                  <c:v>5.6235278152022401</c:v>
                </c:pt>
                <c:pt idx="749">
                  <c:v>5.6331901068882724</c:v>
                </c:pt>
                <c:pt idx="750">
                  <c:v>5.6428488516372806</c:v>
                </c:pt>
                <c:pt idx="751">
                  <c:v>5.6525040359488088</c:v>
                </c:pt>
                <c:pt idx="752">
                  <c:v>5.6621556463912119</c:v>
                </c:pt>
                <c:pt idx="753">
                  <c:v>5.671803669601247</c:v>
                </c:pt>
                <c:pt idx="754">
                  <c:v>5.681448092283679</c:v>
                </c:pt>
                <c:pt idx="755">
                  <c:v>5.6910889012108221</c:v>
                </c:pt>
                <c:pt idx="756">
                  <c:v>5.7007260832222233</c:v>
                </c:pt>
                <c:pt idx="757">
                  <c:v>5.7103596252242088</c:v>
                </c:pt>
                <c:pt idx="758">
                  <c:v>5.719989514189499</c:v>
                </c:pt>
                <c:pt idx="759">
                  <c:v>5.7296157371568368</c:v>
                </c:pt>
                <c:pt idx="760">
                  <c:v>5.7392382812305716</c:v>
                </c:pt>
                <c:pt idx="761">
                  <c:v>5.7488571335802829</c:v>
                </c:pt>
                <c:pt idx="762">
                  <c:v>5.7584722814403886</c:v>
                </c:pt>
                <c:pt idx="763">
                  <c:v>5.7680837121097657</c:v>
                </c:pt>
                <c:pt idx="764">
                  <c:v>5.7776914129513628</c:v>
                </c:pt>
                <c:pt idx="765">
                  <c:v>5.7872953713918385</c:v>
                </c:pt>
                <c:pt idx="766">
                  <c:v>5.7968955749211348</c:v>
                </c:pt>
                <c:pt idx="767">
                  <c:v>5.8064920110921525</c:v>
                </c:pt>
                <c:pt idx="768">
                  <c:v>5.8160846675203635</c:v>
                </c:pt>
                <c:pt idx="769">
                  <c:v>5.8256735318834245</c:v>
                </c:pt>
                <c:pt idx="770">
                  <c:v>5.8352585919208035</c:v>
                </c:pt>
                <c:pt idx="771">
                  <c:v>5.8448398354334508</c:v>
                </c:pt>
                <c:pt idx="772">
                  <c:v>5.8544172502833645</c:v>
                </c:pt>
                <c:pt idx="773">
                  <c:v>5.8639908243932934</c:v>
                </c:pt>
                <c:pt idx="774">
                  <c:v>5.8735605457463551</c:v>
                </c:pt>
                <c:pt idx="775">
                  <c:v>5.8831264023856527</c:v>
                </c:pt>
                <c:pt idx="776">
                  <c:v>5.8926883824139242</c:v>
                </c:pt>
                <c:pt idx="777">
                  <c:v>5.9022464739932179</c:v>
                </c:pt>
                <c:pt idx="778">
                  <c:v>5.911800665344515</c:v>
                </c:pt>
                <c:pt idx="779">
                  <c:v>5.9213509447473545</c:v>
                </c:pt>
                <c:pt idx="780">
                  <c:v>5.9308973005395123</c:v>
                </c:pt>
                <c:pt idx="781">
                  <c:v>5.9404397211166717</c:v>
                </c:pt>
                <c:pt idx="782">
                  <c:v>5.9499781949320365</c:v>
                </c:pt>
                <c:pt idx="783">
                  <c:v>5.9595127104959742</c:v>
                </c:pt>
                <c:pt idx="784">
                  <c:v>5.9690432563757483</c:v>
                </c:pt>
                <c:pt idx="785">
                  <c:v>5.9785698211951086</c:v>
                </c:pt>
                <c:pt idx="786">
                  <c:v>5.9880923936339636</c:v>
                </c:pt>
                <c:pt idx="787">
                  <c:v>5.9976109624280767</c:v>
                </c:pt>
                <c:pt idx="788">
                  <c:v>6.0071255163686974</c:v>
                </c:pt>
                <c:pt idx="789">
                  <c:v>6.0166360443022411</c:v>
                </c:pt>
                <c:pt idx="790">
                  <c:v>6.0261425351299662</c:v>
                </c:pt>
                <c:pt idx="791">
                  <c:v>6.0356449778076238</c:v>
                </c:pt>
                <c:pt idx="792">
                  <c:v>6.0451433613451639</c:v>
                </c:pt>
                <c:pt idx="793">
                  <c:v>6.0546376748063642</c:v>
                </c:pt>
                <c:pt idx="794">
                  <c:v>6.064127907308535</c:v>
                </c:pt>
                <c:pt idx="795">
                  <c:v>6.0736140480222058</c:v>
                </c:pt>
                <c:pt idx="796">
                  <c:v>6.0830960861708077</c:v>
                </c:pt>
                <c:pt idx="797">
                  <c:v>6.0925740110302966</c:v>
                </c:pt>
                <c:pt idx="798">
                  <c:v>6.1020478119289203</c:v>
                </c:pt>
                <c:pt idx="799">
                  <c:v>6.1115174782468591</c:v>
                </c:pt>
                <c:pt idx="800">
                  <c:v>6.1209829994158991</c:v>
                </c:pt>
                <c:pt idx="801">
                  <c:v>6.1304443649191622</c:v>
                </c:pt>
                <c:pt idx="802">
                  <c:v>6.1399015642907697</c:v>
                </c:pt>
                <c:pt idx="803">
                  <c:v>6.1493545871155515</c:v>
                </c:pt>
                <c:pt idx="804">
                  <c:v>6.1588034230287132</c:v>
                </c:pt>
                <c:pt idx="805">
                  <c:v>6.1682480617155724</c:v>
                </c:pt>
                <c:pt idx="806">
                  <c:v>6.1776884929112139</c:v>
                </c:pt>
                <c:pt idx="807">
                  <c:v>6.1871247064002191</c:v>
                </c:pt>
                <c:pt idx="808">
                  <c:v>6.1965566920163813</c:v>
                </c:pt>
                <c:pt idx="809">
                  <c:v>6.2059844396423474</c:v>
                </c:pt>
                <c:pt idx="810">
                  <c:v>6.2154079392093822</c:v>
                </c:pt>
                <c:pt idx="811">
                  <c:v>6.2248271806970745</c:v>
                </c:pt>
                <c:pt idx="812">
                  <c:v>6.2342421541330006</c:v>
                </c:pt>
                <c:pt idx="813">
                  <c:v>6.2436528495924755</c:v>
                </c:pt>
                <c:pt idx="814">
                  <c:v>6.2530592571982293</c:v>
                </c:pt>
                <c:pt idx="815">
                  <c:v>6.2624613671201885</c:v>
                </c:pt>
                <c:pt idx="816">
                  <c:v>6.2718591695750918</c:v>
                </c:pt>
                <c:pt idx="817">
                  <c:v>6.2812526548262877</c:v>
                </c:pt>
                <c:pt idx="818">
                  <c:v>6.2906418131834378</c:v>
                </c:pt>
                <c:pt idx="819">
                  <c:v>6.3000266350021858</c:v>
                </c:pt>
                <c:pt idx="820">
                  <c:v>6.3094071106839715</c:v>
                </c:pt>
                <c:pt idx="821">
                  <c:v>6.318783230675673</c:v>
                </c:pt>
                <c:pt idx="822">
                  <c:v>6.3281549854693475</c:v>
                </c:pt>
                <c:pt idx="823">
                  <c:v>6.3375223656020125</c:v>
                </c:pt>
                <c:pt idx="824">
                  <c:v>6.3468853616552927</c:v>
                </c:pt>
                <c:pt idx="825">
                  <c:v>6.3562439642552189</c:v>
                </c:pt>
                <c:pt idx="826">
                  <c:v>6.3655981640719341</c:v>
                </c:pt>
                <c:pt idx="827">
                  <c:v>6.3749479518194123</c:v>
                </c:pt>
                <c:pt idx="828">
                  <c:v>6.3842933182552102</c:v>
                </c:pt>
                <c:pt idx="829">
                  <c:v>6.3936342541802151</c:v>
                </c:pt>
                <c:pt idx="830">
                  <c:v>6.4029707504383468</c:v>
                </c:pt>
                <c:pt idx="831">
                  <c:v>6.4123027979163432</c:v>
                </c:pt>
                <c:pt idx="832">
                  <c:v>6.4216303875434741</c:v>
                </c:pt>
                <c:pt idx="833">
                  <c:v>6.4309535102912747</c:v>
                </c:pt>
                <c:pt idx="834">
                  <c:v>6.4402721571733128</c:v>
                </c:pt>
                <c:pt idx="835">
                  <c:v>6.4495863192449363</c:v>
                </c:pt>
                <c:pt idx="836">
                  <c:v>6.4588959876029888</c:v>
                </c:pt>
                <c:pt idx="837">
                  <c:v>6.4682011533856167</c:v>
                </c:pt>
                <c:pt idx="838">
                  <c:v>6.4775018077719446</c:v>
                </c:pt>
                <c:pt idx="839">
                  <c:v>6.4867979419819131</c:v>
                </c:pt>
                <c:pt idx="840">
                  <c:v>6.4960895472759361</c:v>
                </c:pt>
                <c:pt idx="841">
                  <c:v>6.5053766149547414</c:v>
                </c:pt>
                <c:pt idx="842">
                  <c:v>6.5146591363590893</c:v>
                </c:pt>
                <c:pt idx="843">
                  <c:v>6.5239371028695352</c:v>
                </c:pt>
                <c:pt idx="844">
                  <c:v>6.5332105059061893</c:v>
                </c:pt>
                <c:pt idx="845">
                  <c:v>6.5424793369284719</c:v>
                </c:pt>
                <c:pt idx="846">
                  <c:v>6.5517435874348866</c:v>
                </c:pt>
                <c:pt idx="847">
                  <c:v>6.5610032489627725</c:v>
                </c:pt>
                <c:pt idx="848">
                  <c:v>6.5702583130881047</c:v>
                </c:pt>
                <c:pt idx="849">
                  <c:v>6.5795087714252087</c:v>
                </c:pt>
                <c:pt idx="850">
                  <c:v>6.5887546156265673</c:v>
                </c:pt>
                <c:pt idx="851">
                  <c:v>6.5979958373825784</c:v>
                </c:pt>
                <c:pt idx="852">
                  <c:v>6.6072324284213151</c:v>
                </c:pt>
                <c:pt idx="853">
                  <c:v>6.6164643805083232</c:v>
                </c:pt>
                <c:pt idx="854">
                  <c:v>6.6256916854463874</c:v>
                </c:pt>
                <c:pt idx="855">
                  <c:v>6.6349143350752913</c:v>
                </c:pt>
                <c:pt idx="856">
                  <c:v>6.6441323212716075</c:v>
                </c:pt>
                <c:pt idx="857">
                  <c:v>6.6533456359484804</c:v>
                </c:pt>
                <c:pt idx="858">
                  <c:v>6.6625542710553987</c:v>
                </c:pt>
                <c:pt idx="859">
                  <c:v>6.6717582185779793</c:v>
                </c:pt>
                <c:pt idx="860">
                  <c:v>6.6809574705377486</c:v>
                </c:pt>
                <c:pt idx="861">
                  <c:v>6.6901520189919266</c:v>
                </c:pt>
                <c:pt idx="862">
                  <c:v>6.6993418560332145</c:v>
                </c:pt>
                <c:pt idx="863">
                  <c:v>6.7085269737895779</c:v>
                </c:pt>
                <c:pt idx="864">
                  <c:v>6.7177073644240508</c:v>
                </c:pt>
                <c:pt idx="865">
                  <c:v>6.7268830201344931</c:v>
                </c:pt>
                <c:pt idx="866">
                  <c:v>6.7360539331534204</c:v>
                </c:pt>
                <c:pt idx="867">
                  <c:v>6.7452200957477588</c:v>
                </c:pt>
                <c:pt idx="868">
                  <c:v>6.7543815002186633</c:v>
                </c:pt>
                <c:pt idx="869">
                  <c:v>6.763538138901307</c:v>
                </c:pt>
                <c:pt idx="870">
                  <c:v>6.7726900041646898</c:v>
                </c:pt>
                <c:pt idx="871">
                  <c:v>6.7818370884113914</c:v>
                </c:pt>
                <c:pt idx="872">
                  <c:v>6.7909793840774331</c:v>
                </c:pt>
                <c:pt idx="873">
                  <c:v>6.8001168836320307</c:v>
                </c:pt>
                <c:pt idx="874">
                  <c:v>6.8092495795773988</c:v>
                </c:pt>
                <c:pt idx="875">
                  <c:v>6.8183774644486022</c:v>
                </c:pt>
                <c:pt idx="876">
                  <c:v>6.827500530813281</c:v>
                </c:pt>
                <c:pt idx="877">
                  <c:v>6.8366187712715325</c:v>
                </c:pt>
                <c:pt idx="878">
                  <c:v>6.8457321784556848</c:v>
                </c:pt>
                <c:pt idx="879">
                  <c:v>6.8548407450300717</c:v>
                </c:pt>
                <c:pt idx="880">
                  <c:v>6.8639444636909017</c:v>
                </c:pt>
                <c:pt idx="881">
                  <c:v>6.8730433271659672</c:v>
                </c:pt>
                <c:pt idx="882">
                  <c:v>6.8821373282144531</c:v>
                </c:pt>
                <c:pt idx="883">
                  <c:v>6.8912264596267008</c:v>
                </c:pt>
                <c:pt idx="884">
                  <c:v>6.9003107142239655</c:v>
                </c:pt>
                <c:pt idx="885">
                  <c:v>6.9093900848582051</c:v>
                </c:pt>
                <c:pt idx="886">
                  <c:v>6.9184645644118357</c:v>
                </c:pt>
                <c:pt idx="887">
                  <c:v>6.9275341457975594</c:v>
                </c:pt>
                <c:pt idx="888">
                  <c:v>6.9365988219580812</c:v>
                </c:pt>
                <c:pt idx="889">
                  <c:v>6.9456585858659299</c:v>
                </c:pt>
                <c:pt idx="890">
                  <c:v>6.9547134305232241</c:v>
                </c:pt>
                <c:pt idx="891">
                  <c:v>6.9637633489614492</c:v>
                </c:pt>
                <c:pt idx="892">
                  <c:v>6.9728083342412681</c:v>
                </c:pt>
                <c:pt idx="893">
                  <c:v>6.9818483794522601</c:v>
                </c:pt>
                <c:pt idx="894">
                  <c:v>6.9908834777127522</c:v>
                </c:pt>
                <c:pt idx="895">
                  <c:v>6.9999136221695641</c:v>
                </c:pt>
                <c:pt idx="896">
                  <c:v>7.0089388059978459</c:v>
                </c:pt>
                <c:pt idx="897">
                  <c:v>7.0179590224008308</c:v>
                </c:pt>
                <c:pt idx="898">
                  <c:v>7.0269742646096658</c:v>
                </c:pt>
                <c:pt idx="899">
                  <c:v>7.0359845258831548</c:v>
                </c:pt>
                <c:pt idx="900">
                  <c:v>7.0449897995076185</c:v>
                </c:pt>
                <c:pt idx="901">
                  <c:v>7.0539900787966348</c:v>
                </c:pt>
                <c:pt idx="902">
                  <c:v>7.0629853570908798</c:v>
                </c:pt>
                <c:pt idx="903">
                  <c:v>7.0719756277579027</c:v>
                </c:pt>
                <c:pt idx="904">
                  <c:v>7.0809608841919145</c:v>
                </c:pt>
                <c:pt idx="905">
                  <c:v>7.0899411198136253</c:v>
                </c:pt>
                <c:pt idx="906">
                  <c:v>7.0989163280700236</c:v>
                </c:pt>
                <c:pt idx="907">
                  <c:v>7.107886502434166</c:v>
                </c:pt>
                <c:pt idx="908">
                  <c:v>7.1168516364050181</c:v>
                </c:pt>
                <c:pt idx="909">
                  <c:v>7.1258117235072191</c:v>
                </c:pt>
                <c:pt idx="910">
                  <c:v>7.1347667572909419</c:v>
                </c:pt>
                <c:pt idx="911">
                  <c:v>7.1437167313316063</c:v>
                </c:pt>
                <c:pt idx="912">
                  <c:v>7.1526616392297973</c:v>
                </c:pt>
                <c:pt idx="913">
                  <c:v>7.1616014746110066</c:v>
                </c:pt>
                <c:pt idx="914">
                  <c:v>7.1705362311254532</c:v>
                </c:pt>
                <c:pt idx="915">
                  <c:v>7.1794659024479177</c:v>
                </c:pt>
                <c:pt idx="916">
                  <c:v>7.1883904822774998</c:v>
                </c:pt>
                <c:pt idx="917">
                  <c:v>7.1973099643375145</c:v>
                </c:pt>
                <c:pt idx="918">
                  <c:v>7.2062243423752284</c:v>
                </c:pt>
                <c:pt idx="919">
                  <c:v>7.2151336101616961</c:v>
                </c:pt>
                <c:pt idx="920">
                  <c:v>7.2240377614916182</c:v>
                </c:pt>
                <c:pt idx="921">
                  <c:v>7.232936790183091</c:v>
                </c:pt>
                <c:pt idx="922">
                  <c:v>7.2418306900774887</c:v>
                </c:pt>
                <c:pt idx="923">
                  <c:v>7.2507194550392162</c:v>
                </c:pt>
                <c:pt idx="924">
                  <c:v>7.2596030789555881</c:v>
                </c:pt>
                <c:pt idx="925">
                  <c:v>7.2684815557366171</c:v>
                </c:pt>
                <c:pt idx="926">
                  <c:v>7.2773548793148386</c:v>
                </c:pt>
                <c:pt idx="927">
                  <c:v>7.286223043645121</c:v>
                </c:pt>
                <c:pt idx="928">
                  <c:v>7.2950860427045336</c:v>
                </c:pt>
                <c:pt idx="929">
                  <c:v>7.3039438704921249</c:v>
                </c:pt>
                <c:pt idx="930">
                  <c:v>7.3127965210287531</c:v>
                </c:pt>
                <c:pt idx="931">
                  <c:v>7.3216439883569269</c:v>
                </c:pt>
                <c:pt idx="932">
                  <c:v>7.3304862665406505</c:v>
                </c:pt>
                <c:pt idx="933">
                  <c:v>7.3393233496651735</c:v>
                </c:pt>
                <c:pt idx="934">
                  <c:v>7.3481552318369197</c:v>
                </c:pt>
                <c:pt idx="935">
                  <c:v>7.3569819071832532</c:v>
                </c:pt>
                <c:pt idx="936">
                  <c:v>7.3658033698523209</c:v>
                </c:pt>
                <c:pt idx="937">
                  <c:v>7.3746196140128841</c:v>
                </c:pt>
                <c:pt idx="938">
                  <c:v>7.3834306338541644</c:v>
                </c:pt>
                <c:pt idx="939">
                  <c:v>7.3922364235856532</c:v>
                </c:pt>
                <c:pt idx="940">
                  <c:v>7.4010369774369682</c:v>
                </c:pt>
                <c:pt idx="941">
                  <c:v>7.4098322896576505</c:v>
                </c:pt>
                <c:pt idx="942">
                  <c:v>7.4186223545170584</c:v>
                </c:pt>
                <c:pt idx="943">
                  <c:v>7.4274071663041399</c:v>
                </c:pt>
                <c:pt idx="944">
                  <c:v>7.4361867193273188</c:v>
                </c:pt>
                <c:pt idx="945">
                  <c:v>7.4449610079143023</c:v>
                </c:pt>
                <c:pt idx="946">
                  <c:v>7.4537300264119395</c:v>
                </c:pt>
                <c:pt idx="947">
                  <c:v>7.462493769186036</c:v>
                </c:pt>
                <c:pt idx="948">
                  <c:v>7.471252230621225</c:v>
                </c:pt>
                <c:pt idx="949">
                  <c:v>7.4800054051207887</c:v>
                </c:pt>
                <c:pt idx="950">
                  <c:v>7.4887532871064897</c:v>
                </c:pt>
                <c:pt idx="951">
                  <c:v>7.4974958710184429</c:v>
                </c:pt>
                <c:pt idx="952">
                  <c:v>7.5062331513149392</c:v>
                </c:pt>
                <c:pt idx="953">
                  <c:v>7.5149651224722751</c:v>
                </c:pt>
                <c:pt idx="954">
                  <c:v>7.5236917789846398</c:v>
                </c:pt>
                <c:pt idx="955">
                  <c:v>7.5324131153639184</c:v>
                </c:pt>
                <c:pt idx="956">
                  <c:v>7.5411291261395812</c:v>
                </c:pt>
                <c:pt idx="957">
                  <c:v>7.5498398058584746</c:v>
                </c:pt>
                <c:pt idx="958">
                  <c:v>7.5585451490847086</c:v>
                </c:pt>
                <c:pt idx="959">
                  <c:v>7.5672451503995219</c:v>
                </c:pt>
                <c:pt idx="960">
                  <c:v>7.5759398044010728</c:v>
                </c:pt>
                <c:pt idx="961">
                  <c:v>7.5846291057043382</c:v>
                </c:pt>
                <c:pt idx="962">
                  <c:v>7.5933130489409608</c:v>
                </c:pt>
                <c:pt idx="963">
                  <c:v>7.6019916287590608</c:v>
                </c:pt>
                <c:pt idx="964">
                  <c:v>7.610664839823146</c:v>
                </c:pt>
                <c:pt idx="965">
                  <c:v>7.6193326768139213</c:v>
                </c:pt>
                <c:pt idx="966">
                  <c:v>7.627995134428156</c:v>
                </c:pt>
                <c:pt idx="967">
                  <c:v>7.6366522073785488</c:v>
                </c:pt>
                <c:pt idx="968">
                  <c:v>7.6453038903935662</c:v>
                </c:pt>
                <c:pt idx="969">
                  <c:v>7.6539501782173209</c:v>
                </c:pt>
                <c:pt idx="970">
                  <c:v>7.6625910656093934</c:v>
                </c:pt>
                <c:pt idx="971">
                  <c:v>7.6712265473447294</c:v>
                </c:pt>
                <c:pt idx="972">
                  <c:v>7.6798566182134609</c:v>
                </c:pt>
                <c:pt idx="973">
                  <c:v>7.6884812730208125</c:v>
                </c:pt>
                <c:pt idx="974">
                  <c:v>7.6971005065869038</c:v>
                </c:pt>
                <c:pt idx="975">
                  <c:v>7.7057143137466602</c:v>
                </c:pt>
                <c:pt idx="976">
                  <c:v>7.7143226893496344</c:v>
                </c:pt>
                <c:pt idx="977">
                  <c:v>7.7229256282599028</c:v>
                </c:pt>
                <c:pt idx="978">
                  <c:v>7.731523125355916</c:v>
                </c:pt>
                <c:pt idx="979">
                  <c:v>7.740115175530331</c:v>
                </c:pt>
                <c:pt idx="980">
                  <c:v>7.7487017736899295</c:v>
                </c:pt>
                <c:pt idx="981">
                  <c:v>7.7572829147554438</c:v>
                </c:pt>
                <c:pt idx="982">
                  <c:v>7.7658585936614486</c:v>
                </c:pt>
                <c:pt idx="983">
                  <c:v>7.7744288053561821</c:v>
                </c:pt>
                <c:pt idx="984">
                  <c:v>7.7829935448014869</c:v>
                </c:pt>
                <c:pt idx="985">
                  <c:v>7.791552806972593</c:v>
                </c:pt>
                <c:pt idx="986">
                  <c:v>7.800106586858055</c:v>
                </c:pt>
                <c:pt idx="987">
                  <c:v>7.8086548794595849</c:v>
                </c:pt>
                <c:pt idx="988">
                  <c:v>7.8171976797919225</c:v>
                </c:pt>
                <c:pt idx="989">
                  <c:v>7.8257349828827358</c:v>
                </c:pt>
                <c:pt idx="990">
                  <c:v>7.8342667837724349</c:v>
                </c:pt>
                <c:pt idx="991">
                  <c:v>7.8427930775141039</c:v>
                </c:pt>
                <c:pt idx="992">
                  <c:v>7.8513138591733558</c:v>
                </c:pt>
                <c:pt idx="993">
                  <c:v>7.8598291238281615</c:v>
                </c:pt>
                <c:pt idx="994">
                  <c:v>7.8683388665688039</c:v>
                </c:pt>
                <c:pt idx="995">
                  <c:v>7.876843082497663</c:v>
                </c:pt>
                <c:pt idx="996">
                  <c:v>7.8853417667291774</c:v>
                </c:pt>
                <c:pt idx="997">
                  <c:v>7.893834914389636</c:v>
                </c:pt>
                <c:pt idx="998">
                  <c:v>7.9023225206171404</c:v>
                </c:pt>
                <c:pt idx="999">
                  <c:v>7.9108045805613907</c:v>
                </c:pt>
                <c:pt idx="1000">
                  <c:v>7.9192810893836532</c:v>
                </c:pt>
                <c:pt idx="1001">
                  <c:v>7.9277520422565733</c:v>
                </c:pt>
                <c:pt idx="1002">
                  <c:v>7.9362174343640861</c:v>
                </c:pt>
                <c:pt idx="1003">
                  <c:v>7.9446772609012717</c:v>
                </c:pt>
                <c:pt idx="1004">
                  <c:v>7.9531315170742589</c:v>
                </c:pt>
                <c:pt idx="1005">
                  <c:v>7.9615801981001084</c:v>
                </c:pt>
                <c:pt idx="1006">
                  <c:v>7.9700232992066606</c:v>
                </c:pt>
                <c:pt idx="1007">
                  <c:v>7.978460815632463</c:v>
                </c:pt>
                <c:pt idx="1008">
                  <c:v>7.9868927426266199</c:v>
                </c:pt>
                <c:pt idx="1009">
                  <c:v>7.9953190754486885</c:v>
                </c:pt>
                <c:pt idx="1010">
                  <c:v>8.0037398093685521</c:v>
                </c:pt>
                <c:pt idx="1011">
                  <c:v>8.0121549396663241</c:v>
                </c:pt>
                <c:pt idx="1012">
                  <c:v>8.0205644616322278</c:v>
                </c:pt>
                <c:pt idx="1013">
                  <c:v>8.0289683705664547</c:v>
                </c:pt>
                <c:pt idx="1014">
                  <c:v>8.0373666617791102</c:v>
                </c:pt>
                <c:pt idx="1015">
                  <c:v>8.0457593305900321</c:v>
                </c:pt>
                <c:pt idx="1016">
                  <c:v>8.0541463723287094</c:v>
                </c:pt>
                <c:pt idx="1017">
                  <c:v>8.0625277823341968</c:v>
                </c:pt>
                <c:pt idx="1018">
                  <c:v>8.0709035559549793</c:v>
                </c:pt>
                <c:pt idx="1019">
                  <c:v>8.0792736885488345</c:v>
                </c:pt>
                <c:pt idx="1020">
                  <c:v>8.0876381754827626</c:v>
                </c:pt>
                <c:pt idx="1021">
                  <c:v>8.0959970121328855</c:v>
                </c:pt>
                <c:pt idx="1022">
                  <c:v>8.1043501938842937</c:v>
                </c:pt>
                <c:pt idx="1023">
                  <c:v>8.1126977161309632</c:v>
                </c:pt>
                <c:pt idx="1024">
                  <c:v>8.1210395742756738</c:v>
                </c:pt>
                <c:pt idx="1025">
                  <c:v>8.1293757637298416</c:v>
                </c:pt>
                <c:pt idx="1026">
                  <c:v>8.1377062799134858</c:v>
                </c:pt>
                <c:pt idx="1027">
                  <c:v>8.1460311182550473</c:v>
                </c:pt>
                <c:pt idx="1028">
                  <c:v>8.1543502741913567</c:v>
                </c:pt>
                <c:pt idx="1029">
                  <c:v>8.1626637431674745</c:v>
                </c:pt>
                <c:pt idx="1030">
                  <c:v>8.1709715206366305</c:v>
                </c:pt>
                <c:pt idx="1031">
                  <c:v>8.1792736020600749</c:v>
                </c:pt>
                <c:pt idx="1032">
                  <c:v>8.1875699829070268</c:v>
                </c:pt>
                <c:pt idx="1033">
                  <c:v>8.1958606586545351</c:v>
                </c:pt>
                <c:pt idx="1034">
                  <c:v>8.2041456247873974</c:v>
                </c:pt>
                <c:pt idx="1035">
                  <c:v>8.2124248767980301</c:v>
                </c:pt>
                <c:pt idx="1036">
                  <c:v>8.2206984101864222</c:v>
                </c:pt>
                <c:pt idx="1037">
                  <c:v>8.2289662204599949</c:v>
                </c:pt>
                <c:pt idx="1038">
                  <c:v>8.2372283031334863</c:v>
                </c:pt>
                <c:pt idx="1039">
                  <c:v>8.245484653728937</c:v>
                </c:pt>
                <c:pt idx="1040">
                  <c:v>8.2537352677754878</c:v>
                </c:pt>
                <c:pt idx="1041">
                  <c:v>8.2619801408093494</c:v>
                </c:pt>
                <c:pt idx="1042">
                  <c:v>8.2702192683736886</c:v>
                </c:pt>
                <c:pt idx="1043">
                  <c:v>8.2784526460185326</c:v>
                </c:pt>
                <c:pt idx="1044">
                  <c:v>8.2866802693006871</c:v>
                </c:pt>
                <c:pt idx="1045">
                  <c:v>8.2949021337836069</c:v>
                </c:pt>
                <c:pt idx="1046">
                  <c:v>8.3031182350373491</c:v>
                </c:pt>
                <c:pt idx="1047">
                  <c:v>8.3113285686384355</c:v>
                </c:pt>
                <c:pt idx="1048">
                  <c:v>8.3195331301698179</c:v>
                </c:pt>
                <c:pt idx="1049">
                  <c:v>8.3277319152207028</c:v>
                </c:pt>
                <c:pt idx="1050">
                  <c:v>8.3359249193865459</c:v>
                </c:pt>
                <c:pt idx="1051">
                  <c:v>8.3441121382689154</c:v>
                </c:pt>
                <c:pt idx="1052">
                  <c:v>8.3522935674753995</c:v>
                </c:pt>
                <c:pt idx="1053">
                  <c:v>8.360469202619532</c:v>
                </c:pt>
                <c:pt idx="1054">
                  <c:v>8.3686390393207244</c:v>
                </c:pt>
                <c:pt idx="1055">
                  <c:v>8.3768030732041225</c:v>
                </c:pt>
                <c:pt idx="1056">
                  <c:v>8.3849612999005725</c:v>
                </c:pt>
                <c:pt idx="1057">
                  <c:v>8.3931137150465069</c:v>
                </c:pt>
                <c:pt idx="1058">
                  <c:v>8.4012603142838671</c:v>
                </c:pt>
                <c:pt idx="1059">
                  <c:v>8.4094010932600103</c:v>
                </c:pt>
                <c:pt idx="1060">
                  <c:v>8.417536047627646</c:v>
                </c:pt>
                <c:pt idx="1061">
                  <c:v>8.4256651730447114</c:v>
                </c:pt>
                <c:pt idx="1062">
                  <c:v>8.4337884651743398</c:v>
                </c:pt>
                <c:pt idx="1063">
                  <c:v>8.441905919684741</c:v>
                </c:pt>
                <c:pt idx="1064">
                  <c:v>8.4500175322491238</c:v>
                </c:pt>
                <c:pt idx="1065">
                  <c:v>8.4581232985456296</c:v>
                </c:pt>
                <c:pt idx="1066">
                  <c:v>8.4662232142572496</c:v>
                </c:pt>
                <c:pt idx="1067">
                  <c:v>8.4743172750717228</c:v>
                </c:pt>
                <c:pt idx="1068">
                  <c:v>8.4824054766814676</c:v>
                </c:pt>
                <c:pt idx="1069">
                  <c:v>8.4904878147835365</c:v>
                </c:pt>
                <c:pt idx="1070">
                  <c:v>8.4985642850794925</c:v>
                </c:pt>
                <c:pt idx="1071">
                  <c:v>8.5066348832753267</c:v>
                </c:pt>
                <c:pt idx="1072">
                  <c:v>8.5146996050814305</c:v>
                </c:pt>
                <c:pt idx="1073">
                  <c:v>8.5227584462124923</c:v>
                </c:pt>
                <c:pt idx="1074">
                  <c:v>8.5308114023874158</c:v>
                </c:pt>
                <c:pt idx="1075">
                  <c:v>8.5388584693292238</c:v>
                </c:pt>
                <c:pt idx="1076">
                  <c:v>8.5468996427650623</c:v>
                </c:pt>
                <c:pt idx="1077">
                  <c:v>8.5549349184260475</c:v>
                </c:pt>
                <c:pt idx="1078">
                  <c:v>8.5629642920472087</c:v>
                </c:pt>
                <c:pt idx="1079">
                  <c:v>8.5709877593674602</c:v>
                </c:pt>
                <c:pt idx="1080">
                  <c:v>8.5790053161294715</c:v>
                </c:pt>
                <c:pt idx="1081">
                  <c:v>8.5870169580796549</c:v>
                </c:pt>
                <c:pt idx="1082">
                  <c:v>8.5950226809680341</c:v>
                </c:pt>
                <c:pt idx="1083">
                  <c:v>8.6030224805482121</c:v>
                </c:pt>
                <c:pt idx="1084">
                  <c:v>8.6110163525773213</c:v>
                </c:pt>
                <c:pt idx="1085">
                  <c:v>8.6190042928158945</c:v>
                </c:pt>
                <c:pt idx="1086">
                  <c:v>8.6269862970278712</c:v>
                </c:pt>
                <c:pt idx="1087">
                  <c:v>8.634962360980456</c:v>
                </c:pt>
                <c:pt idx="1088">
                  <c:v>8.6429324804441254</c:v>
                </c:pt>
                <c:pt idx="1089">
                  <c:v>8.6508966511925021</c:v>
                </c:pt>
                <c:pt idx="1090">
                  <c:v>8.6588548690023242</c:v>
                </c:pt>
                <c:pt idx="1091">
                  <c:v>8.6668071296533835</c:v>
                </c:pt>
                <c:pt idx="1092">
                  <c:v>8.6747534289284509</c:v>
                </c:pt>
                <c:pt idx="1093">
                  <c:v>8.6826937626132192</c:v>
                </c:pt>
                <c:pt idx="1094">
                  <c:v>8.6906281264962146</c:v>
                </c:pt>
                <c:pt idx="1095">
                  <c:v>8.6985565163687966</c:v>
                </c:pt>
                <c:pt idx="1096">
                  <c:v>8.706478928025053</c:v>
                </c:pt>
                <c:pt idx="1097">
                  <c:v>8.714395357261731</c:v>
                </c:pt>
                <c:pt idx="1098">
                  <c:v>8.722305799878221</c:v>
                </c:pt>
                <c:pt idx="1099">
                  <c:v>8.7302102516764712</c:v>
                </c:pt>
                <c:pt idx="1100">
                  <c:v>8.7381087084609241</c:v>
                </c:pt>
                <c:pt idx="1101">
                  <c:v>8.7460011660385</c:v>
                </c:pt>
                <c:pt idx="1102">
                  <c:v>8.7538876202184941</c:v>
                </c:pt>
                <c:pt idx="1103">
                  <c:v>8.7617680668125431</c:v>
                </c:pt>
                <c:pt idx="1104">
                  <c:v>8.7696425016345732</c:v>
                </c:pt>
                <c:pt idx="1105">
                  <c:v>8.7775109205007631</c:v>
                </c:pt>
                <c:pt idx="1106">
                  <c:v>8.7853733192294605</c:v>
                </c:pt>
                <c:pt idx="1107">
                  <c:v>8.7932296936411394</c:v>
                </c:pt>
                <c:pt idx="1108">
                  <c:v>8.8010800395583679</c:v>
                </c:pt>
                <c:pt idx="1109">
                  <c:v>8.8089243528057377</c:v>
                </c:pt>
                <c:pt idx="1110">
                  <c:v>8.8167626292098262</c:v>
                </c:pt>
                <c:pt idx="1111">
                  <c:v>8.8245948645991543</c:v>
                </c:pt>
                <c:pt idx="1112">
                  <c:v>8.8324210548041364</c:v>
                </c:pt>
                <c:pt idx="1113">
                  <c:v>8.8402411956570148</c:v>
                </c:pt>
                <c:pt idx="1114">
                  <c:v>8.8480552829918366</c:v>
                </c:pt>
                <c:pt idx="1115">
                  <c:v>8.8558633126443986</c:v>
                </c:pt>
                <c:pt idx="1116">
                  <c:v>8.8636652804522331</c:v>
                </c:pt>
                <c:pt idx="1117">
                  <c:v>8.8714611822545031</c:v>
                </c:pt>
                <c:pt idx="1118">
                  <c:v>8.8792510138920289</c:v>
                </c:pt>
                <c:pt idx="1119">
                  <c:v>8.8870347712071958</c:v>
                </c:pt>
                <c:pt idx="1120">
                  <c:v>8.8948124500439611</c:v>
                </c:pt>
                <c:pt idx="1121">
                  <c:v>8.9025840462477586</c:v>
                </c:pt>
                <c:pt idx="1122">
                  <c:v>8.9103495556655048</c:v>
                </c:pt>
                <c:pt idx="1123">
                  <c:v>8.9181089741455715</c:v>
                </c:pt>
                <c:pt idx="1124">
                  <c:v>8.925862297537682</c:v>
                </c:pt>
                <c:pt idx="1125">
                  <c:v>8.9336095216929703</c:v>
                </c:pt>
                <c:pt idx="1126">
                  <c:v>8.9413506424638456</c:v>
                </c:pt>
                <c:pt idx="1127">
                  <c:v>8.9490856557040654</c:v>
                </c:pt>
                <c:pt idx="1128">
                  <c:v>8.9568145572686202</c:v>
                </c:pt>
                <c:pt idx="1129">
                  <c:v>8.9645373430137241</c:v>
                </c:pt>
                <c:pt idx="1130">
                  <c:v>8.9722540087968152</c:v>
                </c:pt>
                <c:pt idx="1131">
                  <c:v>8.9799645504765024</c:v>
                </c:pt>
                <c:pt idx="1132">
                  <c:v>8.9876689639125207</c:v>
                </c:pt>
                <c:pt idx="1133">
                  <c:v>8.9953672449657276</c:v>
                </c:pt>
                <c:pt idx="1134">
                  <c:v>9.0030593894980839</c:v>
                </c:pt>
                <c:pt idx="1135">
                  <c:v>9.0107453933726234</c:v>
                </c:pt>
                <c:pt idx="1136">
                  <c:v>9.0184252524533903</c:v>
                </c:pt>
                <c:pt idx="1137">
                  <c:v>9.0260989626054808</c:v>
                </c:pt>
                <c:pt idx="1138">
                  <c:v>9.0337665196949697</c:v>
                </c:pt>
                <c:pt idx="1139">
                  <c:v>9.0414279195889371</c:v>
                </c:pt>
                <c:pt idx="1140">
                  <c:v>9.0490831581553852</c:v>
                </c:pt>
                <c:pt idx="1141">
                  <c:v>9.0567322312632843</c:v>
                </c:pt>
                <c:pt idx="1142">
                  <c:v>9.0643751347825141</c:v>
                </c:pt>
                <c:pt idx="1143">
                  <c:v>9.0720118645838834</c:v>
                </c:pt>
                <c:pt idx="1144">
                  <c:v>9.079642416539059</c:v>
                </c:pt>
                <c:pt idx="1145">
                  <c:v>9.0872667865206314</c:v>
                </c:pt>
                <c:pt idx="1146">
                  <c:v>9.0948849704020152</c:v>
                </c:pt>
                <c:pt idx="1147">
                  <c:v>9.1024969640575186</c:v>
                </c:pt>
                <c:pt idx="1148">
                  <c:v>9.1101027633622653</c:v>
                </c:pt>
                <c:pt idx="1149">
                  <c:v>9.1177023641922244</c:v>
                </c:pt>
                <c:pt idx="1150">
                  <c:v>9.125295762424221</c:v>
                </c:pt>
                <c:pt idx="1151">
                  <c:v>9.1328829539358694</c:v>
                </c:pt>
                <c:pt idx="1152">
                  <c:v>9.1404639346056413</c:v>
                </c:pt>
                <c:pt idx="1153">
                  <c:v>9.148038700312771</c:v>
                </c:pt>
                <c:pt idx="1154">
                  <c:v>9.1556072469373628</c:v>
                </c:pt>
                <c:pt idx="1155">
                  <c:v>9.1631695703602958</c:v>
                </c:pt>
                <c:pt idx="1156">
                  <c:v>9.1707256664632926</c:v>
                </c:pt>
                <c:pt idx="1157">
                  <c:v>9.1782755311288593</c:v>
                </c:pt>
                <c:pt idx="1158">
                  <c:v>9.1858191602403458</c:v>
                </c:pt>
                <c:pt idx="1159">
                  <c:v>9.1933565496819156</c:v>
                </c:pt>
                <c:pt idx="1160">
                  <c:v>9.2008876953385546</c:v>
                </c:pt>
                <c:pt idx="1161">
                  <c:v>9.2084125930961136</c:v>
                </c:pt>
                <c:pt idx="1162">
                  <c:v>9.2159312388412502</c:v>
                </c:pt>
                <c:pt idx="1163">
                  <c:v>9.2234436284615136</c:v>
                </c:pt>
                <c:pt idx="1164">
                  <c:v>9.2309497578452984</c:v>
                </c:pt>
                <c:pt idx="1165">
                  <c:v>9.2384496228818982</c:v>
                </c:pt>
                <c:pt idx="1166">
                  <c:v>9.2459432194614823</c:v>
                </c:pt>
                <c:pt idx="1167">
                  <c:v>9.2534305434751527</c:v>
                </c:pt>
                <c:pt idx="1168">
                  <c:v>9.2609115908149402</c:v>
                </c:pt>
                <c:pt idx="1169">
                  <c:v>9.2683863573738101</c:v>
                </c:pt>
                <c:pt idx="1170">
                  <c:v>9.2758548390457243</c:v>
                </c:pt>
                <c:pt idx="1171">
                  <c:v>9.2833170317256393</c:v>
                </c:pt>
                <c:pt idx="1172">
                  <c:v>9.2907729313094993</c:v>
                </c:pt>
                <c:pt idx="1173">
                  <c:v>9.2982225336943269</c:v>
                </c:pt>
                <c:pt idx="1174">
                  <c:v>9.3056658347782228</c:v>
                </c:pt>
                <c:pt idx="1175">
                  <c:v>9.31310283046035</c:v>
                </c:pt>
                <c:pt idx="1176">
                  <c:v>9.320533516641067</c:v>
                </c:pt>
                <c:pt idx="1177">
                  <c:v>9.3279578892218407</c:v>
                </c:pt>
                <c:pt idx="1178">
                  <c:v>9.335375944105385</c:v>
                </c:pt>
                <c:pt idx="1179">
                  <c:v>9.3427876771956448</c:v>
                </c:pt>
                <c:pt idx="1180">
                  <c:v>9.3501930843978265</c:v>
                </c:pt>
                <c:pt idx="1181">
                  <c:v>9.3575921616184754</c:v>
                </c:pt>
                <c:pt idx="1182">
                  <c:v>9.3649849047654783</c:v>
                </c:pt>
                <c:pt idx="1183">
                  <c:v>9.3723713097481447</c:v>
                </c:pt>
                <c:pt idx="1184">
                  <c:v>9.3797513724772443</c:v>
                </c:pt>
                <c:pt idx="1185">
                  <c:v>9.3871250888650177</c:v>
                </c:pt>
                <c:pt idx="1186">
                  <c:v>9.394492454825274</c:v>
                </c:pt>
                <c:pt idx="1187">
                  <c:v>9.4018534662734208</c:v>
                </c:pt>
                <c:pt idx="1188">
                  <c:v>9.4092081191265358</c:v>
                </c:pt>
                <c:pt idx="1189">
                  <c:v>9.4165564093033787</c:v>
                </c:pt>
                <c:pt idx="1190">
                  <c:v>9.4238983327245034</c:v>
                </c:pt>
                <c:pt idx="1191">
                  <c:v>9.4312338853122899</c:v>
                </c:pt>
                <c:pt idx="1192">
                  <c:v>9.4385630629910011</c:v>
                </c:pt>
                <c:pt idx="1193">
                  <c:v>9.4458858616868753</c:v>
                </c:pt>
                <c:pt idx="1194">
                  <c:v>9.4532022773281508</c:v>
                </c:pt>
                <c:pt idx="1195">
                  <c:v>9.4605123058451817</c:v>
                </c:pt>
                <c:pt idx="1196">
                  <c:v>9.4678159431704643</c:v>
                </c:pt>
                <c:pt idx="1197">
                  <c:v>9.4751131852387438</c:v>
                </c:pt>
                <c:pt idx="1198">
                  <c:v>9.4824040279870996</c:v>
                </c:pt>
                <c:pt idx="1199">
                  <c:v>9.4896884673549504</c:v>
                </c:pt>
                <c:pt idx="1200">
                  <c:v>9.4969664992842393</c:v>
                </c:pt>
                <c:pt idx="1201">
                  <c:v>9.5042381197194388</c:v>
                </c:pt>
                <c:pt idx="1202">
                  <c:v>9.5115033246076699</c:v>
                </c:pt>
                <c:pt idx="1203">
                  <c:v>9.5187621098987769</c:v>
                </c:pt>
                <c:pt idx="1204">
                  <c:v>9.5260144715454214</c:v>
                </c:pt>
                <c:pt idx="1205">
                  <c:v>9.5332604055031922</c:v>
                </c:pt>
                <c:pt idx="1206">
                  <c:v>9.5404999077306627</c:v>
                </c:pt>
                <c:pt idx="1207">
                  <c:v>9.5477329741894437</c:v>
                </c:pt>
                <c:pt idx="1208">
                  <c:v>9.5549596008440414</c:v>
                </c:pt>
                <c:pt idx="1209">
                  <c:v>9.5621797836617457</c:v>
                </c:pt>
                <c:pt idx="1210">
                  <c:v>9.5693935186124595</c:v>
                </c:pt>
                <c:pt idx="1211">
                  <c:v>9.5766008016686754</c:v>
                </c:pt>
                <c:pt idx="1212">
                  <c:v>9.5838016288052756</c:v>
                </c:pt>
                <c:pt idx="1213">
                  <c:v>9.5909959959994442</c:v>
                </c:pt>
                <c:pt idx="1214">
                  <c:v>9.5981838992305946</c:v>
                </c:pt>
                <c:pt idx="1215">
                  <c:v>9.6053653344801955</c:v>
                </c:pt>
                <c:pt idx="1216">
                  <c:v>9.6125402977316661</c:v>
                </c:pt>
                <c:pt idx="1217">
                  <c:v>9.6197087849702569</c:v>
                </c:pt>
                <c:pt idx="1218">
                  <c:v>9.6268707921829542</c:v>
                </c:pt>
                <c:pt idx="1219">
                  <c:v>9.6340263153583319</c:v>
                </c:pt>
                <c:pt idx="1220">
                  <c:v>9.6411753504864244</c:v>
                </c:pt>
                <c:pt idx="1221">
                  <c:v>9.648317893558632</c:v>
                </c:pt>
                <c:pt idx="1222">
                  <c:v>9.6554539405675399</c:v>
                </c:pt>
                <c:pt idx="1223">
                  <c:v>9.6625834875068595</c:v>
                </c:pt>
                <c:pt idx="1224">
                  <c:v>9.6697065303712595</c:v>
                </c:pt>
                <c:pt idx="1225">
                  <c:v>9.6768230651562348</c:v>
                </c:pt>
                <c:pt idx="1226">
                  <c:v>9.683933087857989</c:v>
                </c:pt>
                <c:pt idx="1227">
                  <c:v>9.6910365944733012</c:v>
                </c:pt>
                <c:pt idx="1228">
                  <c:v>9.6981335809993787</c:v>
                </c:pt>
                <c:pt idx="1229">
                  <c:v>9.7052240434337627</c:v>
                </c:pt>
                <c:pt idx="1230">
                  <c:v>9.7123079777741168</c:v>
                </c:pt>
                <c:pt idx="1231">
                  <c:v>9.7193853800181618</c:v>
                </c:pt>
                <c:pt idx="1232">
                  <c:v>9.7264562461635027</c:v>
                </c:pt>
                <c:pt idx="1233">
                  <c:v>9.7335205722075067</c:v>
                </c:pt>
                <c:pt idx="1234">
                  <c:v>9.7405783541471287</c:v>
                </c:pt>
                <c:pt idx="1235">
                  <c:v>9.7476295879787838</c:v>
                </c:pt>
                <c:pt idx="1236">
                  <c:v>9.7546742696982243</c:v>
                </c:pt>
                <c:pt idx="1237">
                  <c:v>9.7617123953003677</c:v>
                </c:pt>
                <c:pt idx="1238">
                  <c:v>9.7687439607791422</c:v>
                </c:pt>
                <c:pt idx="1239">
                  <c:v>9.7757689621273549</c:v>
                </c:pt>
                <c:pt idx="1240">
                  <c:v>9.7827873953365341</c:v>
                </c:pt>
                <c:pt idx="1241">
                  <c:v>9.7897992563967673</c:v>
                </c:pt>
                <c:pt idx="1242">
                  <c:v>9.7968045412965576</c:v>
                </c:pt>
                <c:pt idx="1243">
                  <c:v>9.8038032460226603</c:v>
                </c:pt>
                <c:pt idx="1244">
                  <c:v>9.8107953665599315</c:v>
                </c:pt>
                <c:pt idx="1245">
                  <c:v>9.8177808988911455</c:v>
                </c:pt>
                <c:pt idx="1246">
                  <c:v>9.8247598389968438</c:v>
                </c:pt>
                <c:pt idx="1247">
                  <c:v>9.8317321828551982</c:v>
                </c:pt>
                <c:pt idx="1248">
                  <c:v>9.838697926441796</c:v>
                </c:pt>
                <c:pt idx="1249">
                  <c:v>9.8456570657295064</c:v>
                </c:pt>
                <c:pt idx="1250">
                  <c:v>9.8526095966882909</c:v>
                </c:pt>
                <c:pt idx="1251">
                  <c:v>9.8595555152850345</c:v>
                </c:pt>
                <c:pt idx="1252">
                  <c:v>9.8664948174833853</c:v>
                </c:pt>
                <c:pt idx="1253">
                  <c:v>9.873427499243558</c:v>
                </c:pt>
                <c:pt idx="1254">
                  <c:v>9.8803535565221665</c:v>
                </c:pt>
                <c:pt idx="1255">
                  <c:v>9.8872729852720322</c:v>
                </c:pt>
                <c:pt idx="1256">
                  <c:v>9.8941857814420064</c:v>
                </c:pt>
                <c:pt idx="1257">
                  <c:v>9.9010919409767926</c:v>
                </c:pt>
                <c:pt idx="1258">
                  <c:v>9.9079914598167598</c:v>
                </c:pt>
                <c:pt idx="1259">
                  <c:v>9.9148843338977102</c:v>
                </c:pt>
                <c:pt idx="1260">
                  <c:v>9.9217705591507492</c:v>
                </c:pt>
                <c:pt idx="1261">
                  <c:v>9.9286501315020619</c:v>
                </c:pt>
                <c:pt idx="1262">
                  <c:v>9.9355230468726816</c:v>
                </c:pt>
                <c:pt idx="1263">
                  <c:v>9.9423893011783946</c:v>
                </c:pt>
                <c:pt idx="1264">
                  <c:v>9.9492488903292973</c:v>
                </c:pt>
                <c:pt idx="1265">
                  <c:v>9.9561018102299315</c:v>
                </c:pt>
                <c:pt idx="1266">
                  <c:v>9.9629480567788455</c:v>
                </c:pt>
                <c:pt idx="1267">
                  <c:v>9.9697876258685074</c:v>
                </c:pt>
                <c:pt idx="1268">
                  <c:v>9.9766205133847521</c:v>
                </c:pt>
                <c:pt idx="1269">
                  <c:v>9.9834467152071316</c:v>
                </c:pt>
                <c:pt idx="1270">
                  <c:v>9.9902662272083518</c:v>
                </c:pt>
                <c:pt idx="1271">
                  <c:v>9.9970790452540648</c:v>
                </c:pt>
                <c:pt idx="1272">
                  <c:v>10.003885165202464</c:v>
                </c:pt>
                <c:pt idx="1273">
                  <c:v>10.01068458290459</c:v>
                </c:pt>
                <c:pt idx="1274">
                  <c:v>10.017477294203632</c:v>
                </c:pt>
                <c:pt idx="1275">
                  <c:v>10.02426329493483</c:v>
                </c:pt>
                <c:pt idx="1276">
                  <c:v>10.031042580925179</c:v>
                </c:pt>
                <c:pt idx="1277">
                  <c:v>10.037815147993522</c:v>
                </c:pt>
                <c:pt idx="1278">
                  <c:v>10.044580991949656</c:v>
                </c:pt>
                <c:pt idx="1279">
                  <c:v>10.051340108594742</c:v>
                </c:pt>
                <c:pt idx="1280">
                  <c:v>10.058092493720586</c:v>
                </c:pt>
                <c:pt idx="1281">
                  <c:v>10.064838143109869</c:v>
                </c:pt>
                <c:pt idx="1282">
                  <c:v>10.071577052535217</c:v>
                </c:pt>
                <c:pt idx="1283">
                  <c:v>10.078309217759529</c:v>
                </c:pt>
                <c:pt idx="1284">
                  <c:v>10.085034634535472</c:v>
                </c:pt>
                <c:pt idx="1285">
                  <c:v>10.091753298605163</c:v>
                </c:pt>
                <c:pt idx="1286">
                  <c:v>10.098465205700201</c:v>
                </c:pt>
                <c:pt idx="1287">
                  <c:v>10.10517035154075</c:v>
                </c:pt>
                <c:pt idx="1288">
                  <c:v>10.11186873183604</c:v>
                </c:pt>
                <c:pt idx="1289">
                  <c:v>10.118560342283486</c:v>
                </c:pt>
                <c:pt idx="1290">
                  <c:v>10.125245178568672</c:v>
                </c:pt>
                <c:pt idx="1291">
                  <c:v>10.131923236365154</c:v>
                </c:pt>
                <c:pt idx="1292">
                  <c:v>10.138594511333668</c:v>
                </c:pt>
                <c:pt idx="1293">
                  <c:v>10.145258999122436</c:v>
                </c:pt>
                <c:pt idx="1294">
                  <c:v>10.151916695366465</c:v>
                </c:pt>
                <c:pt idx="1295">
                  <c:v>10.158567595687531</c:v>
                </c:pt>
                <c:pt idx="1296">
                  <c:v>10.165211695693511</c:v>
                </c:pt>
                <c:pt idx="1297">
                  <c:v>10.171848990978168</c:v>
                </c:pt>
                <c:pt idx="1298">
                  <c:v>10.17847947712125</c:v>
                </c:pt>
                <c:pt idx="1299">
                  <c:v>10.185103149687308</c:v>
                </c:pt>
                <c:pt idx="1300">
                  <c:v>10.19172000422637</c:v>
                </c:pt>
                <c:pt idx="1301">
                  <c:v>10.198330036272679</c:v>
                </c:pt>
                <c:pt idx="1302">
                  <c:v>10.204933241344969</c:v>
                </c:pt>
                <c:pt idx="1303">
                  <c:v>10.211529614945873</c:v>
                </c:pt>
                <c:pt idx="1304">
                  <c:v>10.218119152561432</c:v>
                </c:pt>
                <c:pt idx="1305">
                  <c:v>10.224701849661095</c:v>
                </c:pt>
                <c:pt idx="1306">
                  <c:v>10.231277701697016</c:v>
                </c:pt>
                <c:pt idx="1307">
                  <c:v>10.23784670410385</c:v>
                </c:pt>
                <c:pt idx="1308">
                  <c:v>10.244408852298283</c:v>
                </c:pt>
                <c:pt idx="1309">
                  <c:v>10.250964141678706</c:v>
                </c:pt>
                <c:pt idx="1310">
                  <c:v>10.257512567624829</c:v>
                </c:pt>
                <c:pt idx="1311">
                  <c:v>10.264054125497282</c:v>
                </c:pt>
                <c:pt idx="1312">
                  <c:v>10.270588810637019</c:v>
                </c:pt>
                <c:pt idx="1313">
                  <c:v>10.277116618365223</c:v>
                </c:pt>
                <c:pt idx="1314">
                  <c:v>10.283637543982795</c:v>
                </c:pt>
                <c:pt idx="1315">
                  <c:v>10.290151582769576</c:v>
                </c:pt>
                <c:pt idx="1316">
                  <c:v>10.296658729984541</c:v>
                </c:pt>
                <c:pt idx="1317">
                  <c:v>10.303158980864696</c:v>
                </c:pt>
                <c:pt idx="1318">
                  <c:v>10.309652330625291</c:v>
                </c:pt>
                <c:pt idx="1319">
                  <c:v>10.316138774458611</c:v>
                </c:pt>
                <c:pt idx="1320">
                  <c:v>10.322618307534396</c:v>
                </c:pt>
                <c:pt idx="1321">
                  <c:v>10.329090924998624</c:v>
                </c:pt>
                <c:pt idx="1322">
                  <c:v>10.335556621973135</c:v>
                </c:pt>
                <c:pt idx="1323">
                  <c:v>10.34201539355581</c:v>
                </c:pt>
                <c:pt idx="1324">
                  <c:v>10.348467234819097</c:v>
                </c:pt>
                <c:pt idx="1325">
                  <c:v>10.354912140810304</c:v>
                </c:pt>
                <c:pt idx="1326">
                  <c:v>10.361350106550695</c:v>
                </c:pt>
                <c:pt idx="1327">
                  <c:v>10.367781127034908</c:v>
                </c:pt>
                <c:pt idx="1328">
                  <c:v>10.374205197231644</c:v>
                </c:pt>
                <c:pt idx="1329">
                  <c:v>10.380622312083267</c:v>
                </c:pt>
                <c:pt idx="1330">
                  <c:v>10.387032466507204</c:v>
                </c:pt>
                <c:pt idx="1331">
                  <c:v>10.393435655396029</c:v>
                </c:pt>
                <c:pt idx="1332">
                  <c:v>10.399831873617881</c:v>
                </c:pt>
                <c:pt idx="1333">
                  <c:v>10.406221116017337</c:v>
                </c:pt>
                <c:pt idx="1334">
                  <c:v>10.412603377415232</c:v>
                </c:pt>
                <c:pt idx="1335">
                  <c:v>10.418978652610138</c:v>
                </c:pt>
                <c:pt idx="1336">
                  <c:v>10.425346936377965</c:v>
                </c:pt>
                <c:pt idx="1337">
                  <c:v>10.43170822347307</c:v>
                </c:pt>
                <c:pt idx="1338">
                  <c:v>10.438062508628535</c:v>
                </c:pt>
                <c:pt idx="1339">
                  <c:v>10.444409786556969</c:v>
                </c:pt>
                <c:pt idx="1340">
                  <c:v>10.450750051951017</c:v>
                </c:pt>
                <c:pt idx="1341">
                  <c:v>10.457083299483642</c:v>
                </c:pt>
                <c:pt idx="1342">
                  <c:v>10.46340952380932</c:v>
                </c:pt>
                <c:pt idx="1343">
                  <c:v>10.469728719564051</c:v>
                </c:pt>
                <c:pt idx="1344">
                  <c:v>10.476040881366536</c:v>
                </c:pt>
                <c:pt idx="1345">
                  <c:v>10.482346003818293</c:v>
                </c:pt>
                <c:pt idx="1346">
                  <c:v>10.48864408150483</c:v>
                </c:pt>
                <c:pt idx="1347">
                  <c:v>10.494935108996067</c:v>
                </c:pt>
                <c:pt idx="1348">
                  <c:v>10.501219080847008</c:v>
                </c:pt>
                <c:pt idx="1349">
                  <c:v>10.507495991598544</c:v>
                </c:pt>
                <c:pt idx="1350">
                  <c:v>10.513765835778161</c:v>
                </c:pt>
                <c:pt idx="1351">
                  <c:v>10.520028607900613</c:v>
                </c:pt>
                <c:pt idx="1352">
                  <c:v>10.526284302468641</c:v>
                </c:pt>
                <c:pt idx="1353">
                  <c:v>10.532532913974148</c:v>
                </c:pt>
                <c:pt idx="1354">
                  <c:v>10.538774436898503</c:v>
                </c:pt>
                <c:pt idx="1355">
                  <c:v>10.545008865713337</c:v>
                </c:pt>
                <c:pt idx="1356">
                  <c:v>10.551236194882033</c:v>
                </c:pt>
                <c:pt idx="1357">
                  <c:v>10.557456418859632</c:v>
                </c:pt>
                <c:pt idx="1358">
                  <c:v>10.563669532094508</c:v>
                </c:pt>
                <c:pt idx="1359">
                  <c:v>10.569875529028781</c:v>
                </c:pt>
                <c:pt idx="1360">
                  <c:v>10.576074404099401</c:v>
                </c:pt>
                <c:pt idx="1361">
                  <c:v>10.582266151738844</c:v>
                </c:pt>
                <c:pt idx="1362">
                  <c:v>10.588450766376511</c:v>
                </c:pt>
                <c:pt idx="1363">
                  <c:v>10.594628242439114</c:v>
                </c:pt>
                <c:pt idx="1364">
                  <c:v>10.600798574352179</c:v>
                </c:pt>
                <c:pt idx="1365">
                  <c:v>10.606961756540628</c:v>
                </c:pt>
                <c:pt idx="1366">
                  <c:v>10.613117783430084</c:v>
                </c:pt>
                <c:pt idx="1367">
                  <c:v>10.619266649447662</c:v>
                </c:pt>
                <c:pt idx="1368">
                  <c:v>10.62540834902345</c:v>
                </c:pt>
                <c:pt idx="1369">
                  <c:v>10.631542876590828</c:v>
                </c:pt>
                <c:pt idx="1370">
                  <c:v>10.637670226588526</c:v>
                </c:pt>
                <c:pt idx="1371">
                  <c:v>10.643790393461057</c:v>
                </c:pt>
                <c:pt idx="1372">
                  <c:v>10.64990337165997</c:v>
                </c:pt>
                <c:pt idx="1373">
                  <c:v>10.656009155645371</c:v>
                </c:pt>
                <c:pt idx="1374">
                  <c:v>10.662107739886613</c:v>
                </c:pt>
                <c:pt idx="1375">
                  <c:v>10.668199118864065</c:v>
                </c:pt>
                <c:pt idx="1376">
                  <c:v>10.674283287069635</c:v>
                </c:pt>
                <c:pt idx="1377">
                  <c:v>10.680360239008941</c:v>
                </c:pt>
                <c:pt idx="1378">
                  <c:v>10.68642996920171</c:v>
                </c:pt>
                <c:pt idx="1379">
                  <c:v>10.69249247218367</c:v>
                </c:pt>
                <c:pt idx="1380">
                  <c:v>10.698547742507637</c:v>
                </c:pt>
                <c:pt idx="1381">
                  <c:v>10.704595774744924</c:v>
                </c:pt>
                <c:pt idx="1382">
                  <c:v>10.710636563486704</c:v>
                </c:pt>
                <c:pt idx="1383">
                  <c:v>10.716670103345621</c:v>
                </c:pt>
                <c:pt idx="1384">
                  <c:v>10.722696388956775</c:v>
                </c:pt>
                <c:pt idx="1385">
                  <c:v>10.728715414979819</c:v>
                </c:pt>
                <c:pt idx="1386">
                  <c:v>10.734727176099632</c:v>
                </c:pt>
                <c:pt idx="1387">
                  <c:v>10.740731667028538</c:v>
                </c:pt>
                <c:pt idx="1388">
                  <c:v>10.746728882507766</c:v>
                </c:pt>
                <c:pt idx="1389">
                  <c:v>10.752718817308459</c:v>
                </c:pt>
                <c:pt idx="1390">
                  <c:v>10.758701466233864</c:v>
                </c:pt>
                <c:pt idx="1391">
                  <c:v>10.764676824120711</c:v>
                </c:pt>
                <c:pt idx="1392">
                  <c:v>10.770644885840905</c:v>
                </c:pt>
                <c:pt idx="1393">
                  <c:v>10.776605646302734</c:v>
                </c:pt>
                <c:pt idx="1394">
                  <c:v>10.782559100450646</c:v>
                </c:pt>
                <c:pt idx="1395">
                  <c:v>10.788505243262783</c:v>
                </c:pt>
                <c:pt idx="1396">
                  <c:v>10.794444069749384</c:v>
                </c:pt>
                <c:pt idx="1397">
                  <c:v>10.800375574951191</c:v>
                </c:pt>
                <c:pt idx="1398">
                  <c:v>10.806299753937774</c:v>
                </c:pt>
                <c:pt idx="1399">
                  <c:v>10.812216601805623</c:v>
                </c:pt>
                <c:pt idx="1400">
                  <c:v>10.818126113676776</c:v>
                </c:pt>
                <c:pt idx="1401">
                  <c:v>10.824028284697112</c:v>
                </c:pt>
                <c:pt idx="1402">
                  <c:v>10.829923110034283</c:v>
                </c:pt>
                <c:pt idx="1403">
                  <c:v>10.835810584876402</c:v>
                </c:pt>
                <c:pt idx="1404">
                  <c:v>10.841690704429773</c:v>
                </c:pt>
                <c:pt idx="1405">
                  <c:v>10.847563463917496</c:v>
                </c:pt>
                <c:pt idx="1406">
                  <c:v>10.853428858577766</c:v>
                </c:pt>
                <c:pt idx="1407">
                  <c:v>10.859286883661511</c:v>
                </c:pt>
                <c:pt idx="1408">
                  <c:v>10.865137534430884</c:v>
                </c:pt>
                <c:pt idx="1409">
                  <c:v>10.870980806157371</c:v>
                </c:pt>
                <c:pt idx="1410">
                  <c:v>10.876816694120018</c:v>
                </c:pt>
                <c:pt idx="1411">
                  <c:v>10.882645193602942</c:v>
                </c:pt>
                <c:pt idx="1412">
                  <c:v>10.888466299894324</c:v>
                </c:pt>
                <c:pt idx="1413">
                  <c:v>10.894280008283449</c:v>
                </c:pt>
                <c:pt idx="1414">
                  <c:v>10.900086314059493</c:v>
                </c:pt>
                <c:pt idx="1415">
                  <c:v>10.905885212509157</c:v>
                </c:pt>
                <c:pt idx="1416">
                  <c:v>10.911676698914762</c:v>
                </c:pt>
                <c:pt idx="1417">
                  <c:v>10.917460768551877</c:v>
                </c:pt>
                <c:pt idx="1418">
                  <c:v>10.923237416687916</c:v>
                </c:pt>
                <c:pt idx="1419">
                  <c:v>10.929006638579473</c:v>
                </c:pt>
                <c:pt idx="1420">
                  <c:v>10.934768429470303</c:v>
                </c:pt>
                <c:pt idx="1421">
                  <c:v>10.940522784589277</c:v>
                </c:pt>
                <c:pt idx="1422">
                  <c:v>10.946269699148457</c:v>
                </c:pt>
                <c:pt idx="1423">
                  <c:v>10.952009168340233</c:v>
                </c:pt>
                <c:pt idx="1424">
                  <c:v>10.957741187336032</c:v>
                </c:pt>
                <c:pt idx="1425">
                  <c:v>10.963465751283223</c:v>
                </c:pt>
                <c:pt idx="1426">
                  <c:v>10.969182855303446</c:v>
                </c:pt>
                <c:pt idx="1427">
                  <c:v>10.974892494489916</c:v>
                </c:pt>
                <c:pt idx="1428">
                  <c:v>10.980594663905533</c:v>
                </c:pt>
                <c:pt idx="1429">
                  <c:v>10.986289358580223</c:v>
                </c:pt>
                <c:pt idx="1430">
                  <c:v>10.991976573508813</c:v>
                </c:pt>
                <c:pt idx="1431">
                  <c:v>10.997656303648377</c:v>
                </c:pt>
                <c:pt idx="1432">
                  <c:v>11.003328543915941</c:v>
                </c:pt>
                <c:pt idx="1433">
                  <c:v>11.0089932891863</c:v>
                </c:pt>
                <c:pt idx="1434">
                  <c:v>11.014650534289224</c:v>
                </c:pt>
                <c:pt idx="1435">
                  <c:v>11.020300274006892</c:v>
                </c:pt>
                <c:pt idx="1436">
                  <c:v>11.025942503071992</c:v>
                </c:pt>
                <c:pt idx="1437">
                  <c:v>11.031577216164241</c:v>
                </c:pt>
                <c:pt idx="1438">
                  <c:v>11.037204407909002</c:v>
                </c:pt>
                <c:pt idx="1439">
                  <c:v>11.042824072873607</c:v>
                </c:pt>
                <c:pt idx="1440">
                  <c:v>11.048436205565658</c:v>
                </c:pt>
                <c:pt idx="1441">
                  <c:v>11.05404080043016</c:v>
                </c:pt>
                <c:pt idx="1442">
                  <c:v>11.059637851847015</c:v>
                </c:pt>
                <c:pt idx="1443">
                  <c:v>11.065227354132338</c:v>
                </c:pt>
                <c:pt idx="1444">
                  <c:v>11.070809301540432</c:v>
                </c:pt>
                <c:pt idx="1445">
                  <c:v>11.076383688266171</c:v>
                </c:pt>
                <c:pt idx="1446">
                  <c:v>11.081950508446495</c:v>
                </c:pt>
                <c:pt idx="1447">
                  <c:v>11.087509756162298</c:v>
                </c:pt>
                <c:pt idx="1448">
                  <c:v>11.093061425440315</c:v>
                </c:pt>
                <c:pt idx="1449">
                  <c:v>11.098605510254611</c:v>
                </c:pt>
                <c:pt idx="1450">
                  <c:v>11.104142004528871</c:v>
                </c:pt>
                <c:pt idx="1451">
                  <c:v>11.109670902137792</c:v>
                </c:pt>
                <c:pt idx="1452">
                  <c:v>11.115192196909158</c:v>
                </c:pt>
                <c:pt idx="1453">
                  <c:v>11.120705882625542</c:v>
                </c:pt>
                <c:pt idx="1454">
                  <c:v>11.126211953026287</c:v>
                </c:pt>
                <c:pt idx="1455">
                  <c:v>11.131710401809306</c:v>
                </c:pt>
                <c:pt idx="1456">
                  <c:v>11.137201222633253</c:v>
                </c:pt>
                <c:pt idx="1457">
                  <c:v>11.142684409118617</c:v>
                </c:pt>
                <c:pt idx="1458">
                  <c:v>11.148159954850515</c:v>
                </c:pt>
                <c:pt idx="1459">
                  <c:v>11.153627853380183</c:v>
                </c:pt>
                <c:pt idx="1460">
                  <c:v>11.159088098226553</c:v>
                </c:pt>
                <c:pt idx="1461">
                  <c:v>11.164540682878945</c:v>
                </c:pt>
                <c:pt idx="1462">
                  <c:v>11.16998560079816</c:v>
                </c:pt>
                <c:pt idx="1463">
                  <c:v>11.175422845418964</c:v>
                </c:pt>
                <c:pt idx="1464">
                  <c:v>11.180852410151971</c:v>
                </c:pt>
                <c:pt idx="1465">
                  <c:v>11.186274288385142</c:v>
                </c:pt>
                <c:pt idx="1466">
                  <c:v>11.191688473486364</c:v>
                </c:pt>
                <c:pt idx="1467">
                  <c:v>11.19709495880484</c:v>
                </c:pt>
                <c:pt idx="1468">
                  <c:v>11.202493737673574</c:v>
                </c:pt>
                <c:pt idx="1469">
                  <c:v>11.207884803410769</c:v>
                </c:pt>
                <c:pt idx="1470">
                  <c:v>11.213268149322394</c:v>
                </c:pt>
                <c:pt idx="1471">
                  <c:v>11.2186437687037</c:v>
                </c:pt>
                <c:pt idx="1472">
                  <c:v>11.224011654841577</c:v>
                </c:pt>
                <c:pt idx="1473">
                  <c:v>11.229371801016171</c:v>
                </c:pt>
                <c:pt idx="1474">
                  <c:v>11.234724200503342</c:v>
                </c:pt>
                <c:pt idx="1475">
                  <c:v>11.240068846576273</c:v>
                </c:pt>
                <c:pt idx="1476">
                  <c:v>11.245405732507555</c:v>
                </c:pt>
                <c:pt idx="1477">
                  <c:v>11.250734851571757</c:v>
                </c:pt>
                <c:pt idx="1478">
                  <c:v>11.256056197046533</c:v>
                </c:pt>
                <c:pt idx="1479">
                  <c:v>11.261369762215505</c:v>
                </c:pt>
                <c:pt idx="1480">
                  <c:v>11.266675540369739</c:v>
                </c:pt>
                <c:pt idx="1481">
                  <c:v>11.271973524810146</c:v>
                </c:pt>
                <c:pt idx="1482">
                  <c:v>11.277263708849352</c:v>
                </c:pt>
                <c:pt idx="1483">
                  <c:v>11.282546085813916</c:v>
                </c:pt>
                <c:pt idx="1484">
                  <c:v>11.287820649046177</c:v>
                </c:pt>
                <c:pt idx="1485">
                  <c:v>11.293087391906663</c:v>
                </c:pt>
                <c:pt idx="1486">
                  <c:v>11.298346307775596</c:v>
                </c:pt>
                <c:pt idx="1487">
                  <c:v>11.303597390053941</c:v>
                </c:pt>
                <c:pt idx="1488">
                  <c:v>11.308840632163347</c:v>
                </c:pt>
                <c:pt idx="1489">
                  <c:v>11.314076027546434</c:v>
                </c:pt>
                <c:pt idx="1490">
                  <c:v>11.319303569667083</c:v>
                </c:pt>
                <c:pt idx="1491">
                  <c:v>11.324523252011133</c:v>
                </c:pt>
                <c:pt idx="1492">
                  <c:v>11.329735068086094</c:v>
                </c:pt>
                <c:pt idx="1493">
                  <c:v>11.334939011422222</c:v>
                </c:pt>
                <c:pt idx="1494">
                  <c:v>11.340135075572148</c:v>
                </c:pt>
                <c:pt idx="1495">
                  <c:v>11.345323254111941</c:v>
                </c:pt>
                <c:pt idx="1496">
                  <c:v>11.350503540640828</c:v>
                </c:pt>
                <c:pt idx="1497">
                  <c:v>11.355675928782091</c:v>
                </c:pt>
                <c:pt idx="1498">
                  <c:v>11.360840412182952</c:v>
                </c:pt>
                <c:pt idx="1499">
                  <c:v>11.365996984515183</c:v>
                </c:pt>
                <c:pt idx="1500">
                  <c:v>11.371145639475301</c:v>
                </c:pt>
                <c:pt idx="1501">
                  <c:v>11.37628637078506</c:v>
                </c:pt>
                <c:pt idx="1502">
                  <c:v>11.381419172191858</c:v>
                </c:pt>
                <c:pt idx="1503">
                  <c:v>11.386544037468527</c:v>
                </c:pt>
                <c:pt idx="1504">
                  <c:v>11.391660960414534</c:v>
                </c:pt>
                <c:pt idx="1505">
                  <c:v>11.39676993485558</c:v>
                </c:pt>
                <c:pt idx="1506">
                  <c:v>11.401870954644398</c:v>
                </c:pt>
                <c:pt idx="1507">
                  <c:v>11.40696401366065</c:v>
                </c:pt>
                <c:pt idx="1508">
                  <c:v>11.41204910581172</c:v>
                </c:pt>
                <c:pt idx="1509">
                  <c:v>11.41712622503292</c:v>
                </c:pt>
                <c:pt idx="1510">
                  <c:v>11.422195365287484</c:v>
                </c:pt>
                <c:pt idx="1511">
                  <c:v>11.42725652056747</c:v>
                </c:pt>
                <c:pt idx="1512">
                  <c:v>11.432309684893346</c:v>
                </c:pt>
                <c:pt idx="1513">
                  <c:v>11.437354852315101</c:v>
                </c:pt>
                <c:pt idx="1514">
                  <c:v>11.442392016912045</c:v>
                </c:pt>
                <c:pt idx="1515">
                  <c:v>11.447421172793389</c:v>
                </c:pt>
                <c:pt idx="1516">
                  <c:v>11.452442314098258</c:v>
                </c:pt>
                <c:pt idx="1517">
                  <c:v>11.457455434996687</c:v>
                </c:pt>
                <c:pt idx="1518">
                  <c:v>11.462460529690206</c:v>
                </c:pt>
                <c:pt idx="1519">
                  <c:v>11.467457592412849</c:v>
                </c:pt>
                <c:pt idx="1520">
                  <c:v>11.47244661743183</c:v>
                </c:pt>
                <c:pt idx="1521">
                  <c:v>11.477427599048658</c:v>
                </c:pt>
                <c:pt idx="1522">
                  <c:v>11.482400531599611</c:v>
                </c:pt>
                <c:pt idx="1523">
                  <c:v>11.487365409456157</c:v>
                </c:pt>
                <c:pt idx="1524">
                  <c:v>11.492322227025831</c:v>
                </c:pt>
                <c:pt idx="1525">
                  <c:v>11.49727097875224</c:v>
                </c:pt>
                <c:pt idx="1526">
                  <c:v>11.502211659116361</c:v>
                </c:pt>
                <c:pt idx="1527">
                  <c:v>11.507144262636624</c:v>
                </c:pt>
                <c:pt idx="1528">
                  <c:v>11.512068783869529</c:v>
                </c:pt>
                <c:pt idx="1529">
                  <c:v>11.516985217410527</c:v>
                </c:pt>
                <c:pt idx="1530">
                  <c:v>11.521893557894026</c:v>
                </c:pt>
                <c:pt idx="1531">
                  <c:v>11.526793799994579</c:v>
                </c:pt>
                <c:pt idx="1532">
                  <c:v>11.531685938399162</c:v>
                </c:pt>
                <c:pt idx="1533">
                  <c:v>11.536569967791568</c:v>
                </c:pt>
                <c:pt idx="1534">
                  <c:v>11.541445882895639</c:v>
                </c:pt>
                <c:pt idx="1535">
                  <c:v>11.546313678486495</c:v>
                </c:pt>
                <c:pt idx="1536">
                  <c:v>11.551173349382088</c:v>
                </c:pt>
                <c:pt idx="1537">
                  <c:v>11.556024890444389</c:v>
                </c:pt>
                <c:pt idx="1538">
                  <c:v>11.560868296580283</c:v>
                </c:pt>
                <c:pt idx="1539">
                  <c:v>11.565703562741785</c:v>
                </c:pt>
                <c:pt idx="1540">
                  <c:v>11.570530683927597</c:v>
                </c:pt>
                <c:pt idx="1541">
                  <c:v>11.575349655183141</c:v>
                </c:pt>
                <c:pt idx="1542">
                  <c:v>11.580160471601628</c:v>
                </c:pt>
                <c:pt idx="1543">
                  <c:v>11.584963128324572</c:v>
                </c:pt>
                <c:pt idx="1544">
                  <c:v>11.589757620543075</c:v>
                </c:pt>
                <c:pt idx="1545">
                  <c:v>11.594543943497616</c:v>
                </c:pt>
                <c:pt idx="1546">
                  <c:v>11.599322092479866</c:v>
                </c:pt>
                <c:pt idx="1547">
                  <c:v>11.604092062832267</c:v>
                </c:pt>
                <c:pt idx="1548">
                  <c:v>11.608853849949837</c:v>
                </c:pt>
                <c:pt idx="1549">
                  <c:v>11.613607449280057</c:v>
                </c:pt>
                <c:pt idx="1550">
                  <c:v>11.618352856323973</c:v>
                </c:pt>
                <c:pt idx="1551">
                  <c:v>11.623090066636593</c:v>
                </c:pt>
                <c:pt idx="1552">
                  <c:v>11.627819075828171</c:v>
                </c:pt>
                <c:pt idx="1553">
                  <c:v>11.632539879564217</c:v>
                </c:pt>
                <c:pt idx="1554">
                  <c:v>11.637252473566589</c:v>
                </c:pt>
                <c:pt idx="1555">
                  <c:v>11.641956853613882</c:v>
                </c:pt>
                <c:pt idx="1556">
                  <c:v>11.646653015542528</c:v>
                </c:pt>
                <c:pt idx="1557">
                  <c:v>11.651340955246996</c:v>
                </c:pt>
                <c:pt idx="1558">
                  <c:v>11.65602066868078</c:v>
                </c:pt>
                <c:pt idx="1559">
                  <c:v>11.660692151856898</c:v>
                </c:pt>
                <c:pt idx="1560">
                  <c:v>11.665355400848695</c:v>
                </c:pt>
                <c:pt idx="1561">
                  <c:v>11.670010411790328</c:v>
                </c:pt>
                <c:pt idx="1562">
                  <c:v>11.674657180877459</c:v>
                </c:pt>
                <c:pt idx="1563">
                  <c:v>11.679295704367872</c:v>
                </c:pt>
                <c:pt idx="1564">
                  <c:v>11.683925978582447</c:v>
                </c:pt>
                <c:pt idx="1565">
                  <c:v>11.688547999905069</c:v>
                </c:pt>
                <c:pt idx="1566">
                  <c:v>11.693161764784012</c:v>
                </c:pt>
                <c:pt idx="1567">
                  <c:v>11.697767269731949</c:v>
                </c:pt>
                <c:pt idx="1568">
                  <c:v>11.702364511327239</c:v>
                </c:pt>
                <c:pt idx="1569">
                  <c:v>11.706953486213829</c:v>
                </c:pt>
                <c:pt idx="1570">
                  <c:v>11.711534191102141</c:v>
                </c:pt>
                <c:pt idx="1571">
                  <c:v>11.716106622769981</c:v>
                </c:pt>
                <c:pt idx="1572">
                  <c:v>11.720670778062619</c:v>
                </c:pt>
                <c:pt idx="1573">
                  <c:v>11.725226653893809</c:v>
                </c:pt>
                <c:pt idx="1574">
                  <c:v>11.72977424724586</c:v>
                </c:pt>
                <c:pt idx="1575">
                  <c:v>11.734313555170841</c:v>
                </c:pt>
                <c:pt idx="1576">
                  <c:v>11.73884457479069</c:v>
                </c:pt>
                <c:pt idx="1577">
                  <c:v>11.743367303297896</c:v>
                </c:pt>
                <c:pt idx="1578">
                  <c:v>11.747881737956101</c:v>
                </c:pt>
                <c:pt idx="1579">
                  <c:v>11.752387876100586</c:v>
                </c:pt>
                <c:pt idx="1580">
                  <c:v>11.756885715138997</c:v>
                </c:pt>
                <c:pt idx="1581">
                  <c:v>11.761375252551698</c:v>
                </c:pt>
                <c:pt idx="1582">
                  <c:v>11.765856485892307</c:v>
                </c:pt>
                <c:pt idx="1583">
                  <c:v>11.770329412788273</c:v>
                </c:pt>
                <c:pt idx="1584">
                  <c:v>11.774794030941477</c:v>
                </c:pt>
                <c:pt idx="1585">
                  <c:v>11.779250338128723</c:v>
                </c:pt>
                <c:pt idx="1586">
                  <c:v>11.783698332202043</c:v>
                </c:pt>
                <c:pt idx="1587">
                  <c:v>11.788138011089593</c:v>
                </c:pt>
                <c:pt idx="1588">
                  <c:v>11.792569372795846</c:v>
                </c:pt>
                <c:pt idx="1589">
                  <c:v>11.796992415402292</c:v>
                </c:pt>
                <c:pt idx="1590">
                  <c:v>11.80140713706753</c:v>
                </c:pt>
                <c:pt idx="1591">
                  <c:v>11.805813536028269</c:v>
                </c:pt>
                <c:pt idx="1592">
                  <c:v>11.810211610598632</c:v>
                </c:pt>
                <c:pt idx="1593">
                  <c:v>11.814601359169959</c:v>
                </c:pt>
                <c:pt idx="1594">
                  <c:v>11.818982780210691</c:v>
                </c:pt>
                <c:pt idx="1595">
                  <c:v>11.8233558722656</c:v>
                </c:pt>
                <c:pt idx="1596">
                  <c:v>11.827720633956273</c:v>
                </c:pt>
                <c:pt idx="1597">
                  <c:v>11.832077063980217</c:v>
                </c:pt>
                <c:pt idx="1598">
                  <c:v>11.836425161110755</c:v>
                </c:pt>
                <c:pt idx="1599">
                  <c:v>11.840764924197046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'1yN90'!$S$1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'1yN90'!$T$2:$T$4</c:f>
              <c:numCache>
                <c:formatCode>0.00</c:formatCode>
                <c:ptCount val="3"/>
                <c:pt idx="0">
                  <c:v>0</c:v>
                </c:pt>
                <c:pt idx="1">
                  <c:v>158.58879355454434</c:v>
                </c:pt>
                <c:pt idx="2">
                  <c:v>158.58879355454434</c:v>
                </c:pt>
              </c:numCache>
            </c:numRef>
          </c:xVal>
          <c:yVal>
            <c:numRef>
              <c:f>'1yN90'!$S$2:$S$4</c:f>
              <c:numCache>
                <c:formatCode>0.00</c:formatCode>
                <c:ptCount val="3"/>
                <c:pt idx="0">
                  <c:v>4.5063235829590962</c:v>
                </c:pt>
                <c:pt idx="1">
                  <c:v>4.5063235829590962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'1yN90'!$S$6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'1yN90'!$T$7:$T$9</c:f>
              <c:numCache>
                <c:formatCode>0.00</c:formatCode>
                <c:ptCount val="3"/>
                <c:pt idx="0">
                  <c:v>0</c:v>
                </c:pt>
                <c:pt idx="1">
                  <c:v>128.58879355454434</c:v>
                </c:pt>
                <c:pt idx="2">
                  <c:v>128.58879355454434</c:v>
                </c:pt>
              </c:numCache>
            </c:numRef>
          </c:xVal>
          <c:yVal>
            <c:numRef>
              <c:f>'1yN90'!$S$7:$S$9</c:f>
              <c:numCache>
                <c:formatCode>0.00</c:formatCode>
                <c:ptCount val="3"/>
                <c:pt idx="0">
                  <c:v>3.309582694840941</c:v>
                </c:pt>
                <c:pt idx="1">
                  <c:v>3.309582694840941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'1yN90'!$V$6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'1yN90'!$W$7:$W$9</c:f>
              <c:numCache>
                <c:formatCode>0.00</c:formatCode>
                <c:ptCount val="3"/>
                <c:pt idx="0">
                  <c:v>0</c:v>
                </c:pt>
                <c:pt idx="1">
                  <c:v>113.58879355454434</c:v>
                </c:pt>
                <c:pt idx="2">
                  <c:v>113.58879355454434</c:v>
                </c:pt>
              </c:numCache>
            </c:numRef>
          </c:xVal>
          <c:yVal>
            <c:numRef>
              <c:f>'1yN90'!$V$7:$V$9</c:f>
              <c:numCache>
                <c:formatCode>0.00</c:formatCode>
                <c:ptCount val="3"/>
                <c:pt idx="0">
                  <c:v>2.7217919297985125</c:v>
                </c:pt>
                <c:pt idx="1">
                  <c:v>2.7217919297985125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'1yN90'!$Y$6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'1yN90'!$Z$7:$Z$9</c:f>
              <c:numCache>
                <c:formatCode>0.00</c:formatCode>
                <c:ptCount val="3"/>
                <c:pt idx="0">
                  <c:v>0</c:v>
                </c:pt>
                <c:pt idx="1">
                  <c:v>98.588793554544338</c:v>
                </c:pt>
                <c:pt idx="2">
                  <c:v>98.588793554544338</c:v>
                </c:pt>
              </c:numCache>
            </c:numRef>
          </c:xVal>
          <c:yVal>
            <c:numRef>
              <c:f>'1yN90'!$Y$7:$Y$9</c:f>
              <c:numCache>
                <c:formatCode>0.00</c:formatCode>
                <c:ptCount val="3"/>
                <c:pt idx="0">
                  <c:v>2.1551568778456058</c:v>
                </c:pt>
                <c:pt idx="1">
                  <c:v>2.1551568778456058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84544"/>
        <c:axId val="148286464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'1yN90'!$A$27:$A$4027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'1yN90'!$G$27:$G$4027</c:f>
              <c:numCache>
                <c:formatCode>0.00E+00</c:formatCode>
                <c:ptCount val="4001"/>
                <c:pt idx="0">
                  <c:v>0</c:v>
                </c:pt>
                <c:pt idx="1">
                  <c:v>1.18583627075107E-2</c:v>
                </c:pt>
                <c:pt idx="2">
                  <c:v>1.92736663184753E-2</c:v>
                </c:pt>
                <c:pt idx="3">
                  <c:v>2.6775886356585201E-2</c:v>
                </c:pt>
                <c:pt idx="4">
                  <c:v>3.4246778198040902E-2</c:v>
                </c:pt>
                <c:pt idx="5">
                  <c:v>4.16786877642292E-2</c:v>
                </c:pt>
                <c:pt idx="6">
                  <c:v>4.9072696870034703E-2</c:v>
                </c:pt>
                <c:pt idx="7">
                  <c:v>5.6429263036920002E-2</c:v>
                </c:pt>
                <c:pt idx="8">
                  <c:v>6.3748836020397701E-2</c:v>
                </c:pt>
                <c:pt idx="9">
                  <c:v>7.1031860772321806E-2</c:v>
                </c:pt>
                <c:pt idx="10">
                  <c:v>7.82787758118937E-2</c:v>
                </c:pt>
                <c:pt idx="11">
                  <c:v>8.5490013401936807E-2</c:v>
                </c:pt>
                <c:pt idx="12">
                  <c:v>9.2665999668856497E-2</c:v>
                </c:pt>
                <c:pt idx="13">
                  <c:v>9.9807154717217697E-2</c:v>
                </c:pt>
                <c:pt idx="14">
                  <c:v>0.106913892742053</c:v>
                </c:pt>
                <c:pt idx="15">
                  <c:v>0.113986622138725</c:v>
                </c:pt>
                <c:pt idx="16">
                  <c:v>0.121025745610397</c:v>
                </c:pt>
                <c:pt idx="17">
                  <c:v>0.12803166027318899</c:v>
                </c:pt>
                <c:pt idx="18">
                  <c:v>0.13500475775906201</c:v>
                </c:pt>
                <c:pt idx="19">
                  <c:v>0.14194542431650001</c:v>
                </c:pt>
                <c:pt idx="20">
                  <c:v>0.14885404090903501</c:v>
                </c:pt>
                <c:pt idx="21">
                  <c:v>0.155730983311682</c:v>
                </c:pt>
                <c:pt idx="22">
                  <c:v>0.16257662220532201</c:v>
                </c:pt>
                <c:pt idx="23">
                  <c:v>0.16939132326909301</c:v>
                </c:pt>
                <c:pt idx="24">
                  <c:v>0.176175447270841</c:v>
                </c:pt>
                <c:pt idx="25">
                  <c:v>0.18292935015567199</c:v>
                </c:pt>
                <c:pt idx="26">
                  <c:v>0.18965338313265101</c:v>
                </c:pt>
                <c:pt idx="27">
                  <c:v>0.19634789275970499</c:v>
                </c:pt>
                <c:pt idx="28">
                  <c:v>0.203013221026763</c:v>
                </c:pt>
                <c:pt idx="29">
                  <c:v>0.20964970543717801</c:v>
                </c:pt>
                <c:pt idx="30">
                  <c:v>0.21625767908747801</c:v>
                </c:pt>
                <c:pt idx="31">
                  <c:v>0.22283747074548099</c:v>
                </c:pt>
                <c:pt idx="32">
                  <c:v>0.229389404926819</c:v>
                </c:pt>
                <c:pt idx="33">
                  <c:v>0.235913801969901</c:v>
                </c:pt>
                <c:pt idx="34">
                  <c:v>0.24241097810936699</c:v>
                </c:pt>
                <c:pt idx="35">
                  <c:v>0.248881245548049</c:v>
                </c:pt>
                <c:pt idx="36">
                  <c:v>0.25532491252749501</c:v>
                </c:pt>
                <c:pt idx="37">
                  <c:v>0.261742283397079</c:v>
                </c:pt>
                <c:pt idx="38">
                  <c:v>0.268133658681729</c:v>
                </c:pt>
                <c:pt idx="39">
                  <c:v>0.27449933514831398</c:v>
                </c:pt>
                <c:pt idx="40">
                  <c:v>0.28083960587071599</c:v>
                </c:pt>
                <c:pt idx="41">
                  <c:v>0.28715476029362003</c:v>
                </c:pt>
                <c:pt idx="42">
                  <c:v>0.29344508429504901</c:v>
                </c:pt>
                <c:pt idx="43">
                  <c:v>0.29971086024767901</c:v>
                </c:pt>
                <c:pt idx="44">
                  <c:v>0.30595236707895501</c:v>
                </c:pt>
                <c:pt idx="45">
                  <c:v>0.312169880330048</c:v>
                </c:pt>
                <c:pt idx="46">
                  <c:v>0.31836367221366102</c:v>
                </c:pt>
                <c:pt idx="47">
                  <c:v>0.32453401167073098</c:v>
                </c:pt>
                <c:pt idx="48">
                  <c:v>0.33068116442603901</c:v>
                </c:pt>
                <c:pt idx="49">
                  <c:v>0.33680539304275903</c:v>
                </c:pt>
                <c:pt idx="50">
                  <c:v>0.34290695697596602</c:v>
                </c:pt>
                <c:pt idx="51">
                  <c:v>0.34898611262513202</c:v>
                </c:pt>
                <c:pt idx="52">
                  <c:v>0.355043113385628</c:v>
                </c:pt>
                <c:pt idx="53">
                  <c:v>0.36107820969926402</c:v>
                </c:pt>
                <c:pt idx="54">
                  <c:v>0.36709164910386899</c:v>
                </c:pt>
                <c:pt idx="55">
                  <c:v>0.37308367628195799</c:v>
                </c:pt>
                <c:pt idx="56">
                  <c:v>0.37905453310849102</c:v>
                </c:pt>
                <c:pt idx="57">
                  <c:v>0.38500445869773797</c:v>
                </c:pt>
                <c:pt idx="58">
                  <c:v>0.39093368944929902</c:v>
                </c:pt>
                <c:pt idx="59">
                  <c:v>0.39684245909325799</c:v>
                </c:pt>
                <c:pt idx="60">
                  <c:v>0.402730998734524</c:v>
                </c:pt>
                <c:pt idx="61">
                  <c:v>0.40859953689636302</c:v>
                </c:pt>
                <c:pt idx="62">
                  <c:v>0.41444829956313101</c:v>
                </c:pt>
                <c:pt idx="63">
                  <c:v>0.42027751022224602</c:v>
                </c:pt>
                <c:pt idx="64">
                  <c:v>0.42608738990539702</c:v>
                </c:pt>
                <c:pt idx="65">
                  <c:v>0.43187815722901801</c:v>
                </c:pt>
                <c:pt idx="66">
                  <c:v>0.437650028434038</c:v>
                </c:pt>
                <c:pt idx="67">
                  <c:v>0.443403217424922</c:v>
                </c:pt>
                <c:pt idx="68">
                  <c:v>0.44913793580802602</c:v>
                </c:pt>
                <c:pt idx="69">
                  <c:v>0.45485439292927199</c:v>
                </c:pt>
                <c:pt idx="70">
                  <c:v>0.46055279591116399</c:v>
                </c:pt>
                <c:pt idx="71">
                  <c:v>0.46623334968915098</c:v>
                </c:pt>
                <c:pt idx="72">
                  <c:v>0.47189625704736898</c:v>
                </c:pt>
                <c:pt idx="73">
                  <c:v>0.477541718653751</c:v>
                </c:pt>
                <c:pt idx="74">
                  <c:v>0.48316993309454198</c:v>
                </c:pt>
                <c:pt idx="75">
                  <c:v>0.48878109690820698</c:v>
                </c:pt>
                <c:pt idx="76">
                  <c:v>0.494375404618769</c:v>
                </c:pt>
                <c:pt idx="77">
                  <c:v>0.499953048768571</c:v>
                </c:pt>
                <c:pt idx="78">
                  <c:v>0.50551421995049095</c:v>
                </c:pt>
                <c:pt idx="79">
                  <c:v>0.51105910683961298</c:v>
                </c:pt>
                <c:pt idx="80">
                  <c:v>0.51658789622435697</c:v>
                </c:pt>
                <c:pt idx="81">
                  <c:v>0.52210077303710101</c:v>
                </c:pt>
                <c:pt idx="82">
                  <c:v>0.527597920384279</c:v>
                </c:pt>
                <c:pt idx="83">
                  <c:v>0.53307951957599398</c:v>
                </c:pt>
                <c:pt idx="84">
                  <c:v>0.53854575015513195</c:v>
                </c:pt>
                <c:pt idx="85">
                  <c:v>0.54399678992600098</c:v>
                </c:pt>
                <c:pt idx="86">
                  <c:v>0.54943281498250596</c:v>
                </c:pt>
                <c:pt idx="87">
                  <c:v>0.55485399973586103</c:v>
                </c:pt>
                <c:pt idx="88">
                  <c:v>0.56026051660317999</c:v>
                </c:pt>
                <c:pt idx="89">
                  <c:v>0.565652534797355</c:v>
                </c:pt>
                <c:pt idx="90">
                  <c:v>0.57103022055935304</c:v>
                </c:pt>
                <c:pt idx="91">
                  <c:v>0.57639373733580601</c:v>
                </c:pt>
                <c:pt idx="92">
                  <c:v>0.58174324583512804</c:v>
                </c:pt>
                <c:pt idx="93">
                  <c:v>0.58707890408640495</c:v>
                </c:pt>
                <c:pt idx="94">
                  <c:v>0.59240086749634302</c:v>
                </c:pt>
                <c:pt idx="95">
                  <c:v>0.59770928890439201</c:v>
                </c:pt>
                <c:pt idx="96">
                  <c:v>0.60300431863611303</c:v>
                </c:pt>
                <c:pt idx="97">
                  <c:v>0.60828610455486198</c:v>
                </c:pt>
                <c:pt idx="98">
                  <c:v>0.61355479211184305</c:v>
                </c:pt>
                <c:pt idx="99">
                  <c:v>0.61881052439460804</c:v>
                </c:pt>
                <c:pt idx="100">
                  <c:v>0.62405344217404202</c:v>
                </c:pt>
                <c:pt idx="101">
                  <c:v>0.62928368394989997</c:v>
                </c:pt>
                <c:pt idx="102">
                  <c:v>0.63450138599494699</c:v>
                </c:pt>
                <c:pt idx="103">
                  <c:v>0.63970668239775297</c:v>
                </c:pt>
                <c:pt idx="104">
                  <c:v>0.64489970510418104</c:v>
                </c:pt>
                <c:pt idx="105">
                  <c:v>0.65008058395762902</c:v>
                </c:pt>
                <c:pt idx="106">
                  <c:v>0.65524944673805796</c:v>
                </c:pt>
                <c:pt idx="107">
                  <c:v>0.66040641919985599</c:v>
                </c:pt>
                <c:pt idx="108">
                  <c:v>0.66555162510857302</c:v>
                </c:pt>
                <c:pt idx="109">
                  <c:v>0.67068518627656504</c:v>
                </c:pt>
                <c:pt idx="110">
                  <c:v>0.67580722259759596</c:v>
                </c:pt>
                <c:pt idx="111">
                  <c:v>0.68091785208041</c:v>
                </c:pt>
                <c:pt idx="112">
                  <c:v>0.68601719088133595</c:v>
                </c:pt>
                <c:pt idx="113">
                  <c:v>0.69110535333593104</c:v>
                </c:pt>
                <c:pt idx="114">
                  <c:v>0.69618245198971396</c:v>
                </c:pt>
                <c:pt idx="115">
                  <c:v>0.70124859762800595</c:v>
                </c:pt>
                <c:pt idx="116">
                  <c:v>0.706303899304914</c:v>
                </c:pt>
                <c:pt idx="117">
                  <c:v>0.71134846437148103</c:v>
                </c:pt>
                <c:pt idx="118">
                  <c:v>0.71638239850303198</c:v>
                </c:pt>
                <c:pt idx="119">
                  <c:v>0.72140580572573898</c:v>
                </c:pt>
                <c:pt idx="120">
                  <c:v>0.72641878844243002</c:v>
                </c:pt>
                <c:pt idx="121">
                  <c:v>0.73142144745767301</c:v>
                </c:pt>
                <c:pt idx="122">
                  <c:v>0.73641388200213498</c:v>
                </c:pt>
                <c:pt idx="123">
                  <c:v>0.74139618975626997</c:v>
                </c:pt>
                <c:pt idx="124">
                  <c:v>0.74636846687333103</c:v>
                </c:pt>
                <c:pt idx="125">
                  <c:v>0.75133080800173402</c:v>
                </c:pt>
                <c:pt idx="126">
                  <c:v>0.75628330630680396</c:v>
                </c:pt>
                <c:pt idx="127">
                  <c:v>0.76122605349189598</c:v>
                </c:pt>
                <c:pt idx="128">
                  <c:v>0.76615913981894201</c:v>
                </c:pt>
                <c:pt idx="129">
                  <c:v>0.77108265412841503</c:v>
                </c:pt>
                <c:pt idx="130">
                  <c:v>0.775996683858731</c:v>
                </c:pt>
                <c:pt idx="131">
                  <c:v>0.78090131506512195</c:v>
                </c:pt>
                <c:pt idx="132">
                  <c:v>0.78579663243797104</c:v>
                </c:pt>
                <c:pt idx="133">
                  <c:v>0.79068271932064504</c:v>
                </c:pt>
                <c:pt idx="134">
                  <c:v>0.79555965765935499</c:v>
                </c:pt>
                <c:pt idx="135">
                  <c:v>0.80042752729551103</c:v>
                </c:pt>
                <c:pt idx="136">
                  <c:v>0.80528640586467903</c:v>
                </c:pt>
                <c:pt idx="137">
                  <c:v>0.81013636905422504</c:v>
                </c:pt>
                <c:pt idx="138">
                  <c:v>0.81497749067707703</c:v>
                </c:pt>
                <c:pt idx="139">
                  <c:v>0.81980984274374902</c:v>
                </c:pt>
                <c:pt idx="140">
                  <c:v>0.82463349552897003</c:v>
                </c:pt>
                <c:pt idx="141">
                  <c:v>0.82944851763346605</c:v>
                </c:pt>
                <c:pt idx="142">
                  <c:v>0.83425497604127397</c:v>
                </c:pt>
                <c:pt idx="143">
                  <c:v>0.83905293617301102</c:v>
                </c:pt>
                <c:pt idx="144">
                  <c:v>0.84384246193540202</c:v>
                </c:pt>
                <c:pt idx="145">
                  <c:v>0.84862361576740297</c:v>
                </c:pt>
                <c:pt idx="146">
                  <c:v>0.85339645868317104</c:v>
                </c:pt>
                <c:pt idx="147">
                  <c:v>0.85816105031216705</c:v>
                </c:pt>
                <c:pt idx="148">
                  <c:v>0.86291744893658295</c:v>
                </c:pt>
                <c:pt idx="149">
                  <c:v>0.86766571152632699</c:v>
                </c:pt>
                <c:pt idx="150">
                  <c:v>0.87240589377174305</c:v>
                </c:pt>
                <c:pt idx="151">
                  <c:v>0.87713805011423795</c:v>
                </c:pt>
                <c:pt idx="152">
                  <c:v>0.88186223377496498</c:v>
                </c:pt>
                <c:pt idx="153">
                  <c:v>0.88657849678171297</c:v>
                </c:pt>
                <c:pt idx="154">
                  <c:v>0.89128688999412597</c:v>
                </c:pt>
                <c:pt idx="155">
                  <c:v>0.89598746312736299</c:v>
                </c:pt>
                <c:pt idx="156">
                  <c:v>0.90068026477431196</c:v>
                </c:pt>
                <c:pt idx="157">
                  <c:v>0.90536534242644595</c:v>
                </c:pt>
                <c:pt idx="158">
                  <c:v>0.910042742493409</c:v>
                </c:pt>
                <c:pt idx="159">
                  <c:v>0.91471251032140699</c:v>
                </c:pt>
                <c:pt idx="160">
                  <c:v>0.91937469024260199</c:v>
                </c:pt>
                <c:pt idx="161">
                  <c:v>0.92402932573160301</c:v>
                </c:pt>
                <c:pt idx="162">
                  <c:v>0.92867645939719601</c:v>
                </c:pt>
                <c:pt idx="163">
                  <c:v>0.93331613297050697</c:v>
                </c:pt>
                <c:pt idx="164">
                  <c:v>0.93794838730975605</c:v>
                </c:pt>
                <c:pt idx="165">
                  <c:v>0.94257326240400996</c:v>
                </c:pt>
                <c:pt idx="166">
                  <c:v>0.94719079737655798</c:v>
                </c:pt>
                <c:pt idx="167">
                  <c:v>0.95180103048783704</c:v>
                </c:pt>
                <c:pt idx="168">
                  <c:v>0.95640399913780105</c:v>
                </c:pt>
                <c:pt idx="169">
                  <c:v>0.96099973986759601</c:v>
                </c:pt>
                <c:pt idx="170">
                  <c:v>0.96558828836032395</c:v>
                </c:pt>
                <c:pt idx="171">
                  <c:v>0.97016967944061905</c:v>
                </c:pt>
                <c:pt idx="172">
                  <c:v>0.97474394707255296</c:v>
                </c:pt>
                <c:pt idx="173">
                  <c:v>0.97931112435519396</c:v>
                </c:pt>
                <c:pt idx="174">
                  <c:v>0.98387124351471</c:v>
                </c:pt>
                <c:pt idx="175">
                  <c:v>0.98842433589120304</c:v>
                </c:pt>
                <c:pt idx="176">
                  <c:v>0.99297043191723799</c:v>
                </c:pt>
                <c:pt idx="177">
                  <c:v>0.99750956108266198</c:v>
                </c:pt>
                <c:pt idx="178">
                  <c:v>1.0020417518756699</c:v>
                </c:pt>
                <c:pt idx="179">
                  <c:v>1.00656703168023</c:v>
                </c:pt>
                <c:pt idx="180">
                  <c:v>1.0110854265874301</c:v>
                </c:pt>
                <c:pt idx="181">
                  <c:v>1.01559696102102</c:v>
                </c:pt>
                <c:pt idx="182">
                  <c:v>1.0201016569113599</c:v>
                </c:pt>
                <c:pt idx="183">
                  <c:v>1.0245995327516599</c:v>
                </c:pt>
                <c:pt idx="184">
                  <c:v>1.0290906092055101</c:v>
                </c:pt>
                <c:pt idx="185">
                  <c:v>1.0335749115061801</c:v>
                </c:pt>
                <c:pt idx="186">
                  <c:v>1.03805245263621</c:v>
                </c:pt>
                <c:pt idx="187">
                  <c:v>1.0425231989364701</c:v>
                </c:pt>
                <c:pt idx="188">
                  <c:v>1.0469870139878299</c:v>
                </c:pt>
                <c:pt idx="189">
                  <c:v>1.0514438038418901</c:v>
                </c:pt>
                <c:pt idx="190">
                  <c:v>1.05589346616882</c:v>
                </c:pt>
                <c:pt idx="191">
                  <c:v>1.0603359036067801</c:v>
                </c:pt>
                <c:pt idx="192">
                  <c:v>1.0647710126458001</c:v>
                </c:pt>
                <c:pt idx="193">
                  <c:v>1.0691986867824199</c:v>
                </c:pt>
                <c:pt idx="194">
                  <c:v>1.07361882064546</c:v>
                </c:pt>
                <c:pt idx="195">
                  <c:v>1.0780313091653799</c:v>
                </c:pt>
                <c:pt idx="196">
                  <c:v>1.0824360476671899</c:v>
                </c:pt>
                <c:pt idx="197">
                  <c:v>1.0868329319416901</c:v>
                </c:pt>
                <c:pt idx="198">
                  <c:v>1.0912218582937601</c:v>
                </c:pt>
                <c:pt idx="199">
                  <c:v>1.0956027235772801</c:v>
                </c:pt>
                <c:pt idx="200">
                  <c:v>1.09997542522147</c:v>
                </c:pt>
                <c:pt idx="201">
                  <c:v>1.1043398612517801</c:v>
                </c:pt>
                <c:pt idx="202">
                  <c:v>1.10869593030709</c:v>
                </c:pt>
                <c:pt idx="203">
                  <c:v>1.11304353165444</c:v>
                </c:pt>
                <c:pt idx="204">
                  <c:v>1.11738256520195</c:v>
                </c:pt>
                <c:pt idx="205">
                  <c:v>1.1217129315105001</c:v>
                </c:pt>
                <c:pt idx="206">
                  <c:v>1.12603453180441</c:v>
                </c:pt>
                <c:pt idx="207">
                  <c:v>1.1303472679814299</c:v>
                </c:pt>
                <c:pt idx="208">
                  <c:v>1.1346510426220899</c:v>
                </c:pt>
                <c:pt idx="209">
                  <c:v>1.13894575899867</c:v>
                </c:pt>
                <c:pt idx="210">
                  <c:v>1.14323132108366</c:v>
                </c:pt>
                <c:pt idx="211">
                  <c:v>1.1475076335579999</c:v>
                </c:pt>
                <c:pt idx="212">
                  <c:v>1.1517746018189401</c:v>
                </c:pt>
                <c:pt idx="213">
                  <c:v>1.15603213198771</c:v>
                </c:pt>
                <c:pt idx="214">
                  <c:v>1.16028013091686</c:v>
                </c:pt>
                <c:pt idx="215">
                  <c:v>1.16451850619754</c:v>
                </c:pt>
                <c:pt idx="216">
                  <c:v>1.16874716616636</c:v>
                </c:pt>
                <c:pt idx="217">
                  <c:v>1.17296601991227</c:v>
                </c:pt>
                <c:pt idx="218">
                  <c:v>1.1771749772831099</c:v>
                </c:pt>
                <c:pt idx="219">
                  <c:v>1.1813739488920101</c:v>
                </c:pt>
                <c:pt idx="220">
                  <c:v>1.18556284612369</c:v>
                </c:pt>
                <c:pt idx="221">
                  <c:v>1.1897415811404899</c:v>
                </c:pt>
                <c:pt idx="222">
                  <c:v>1.19391006688832</c:v>
                </c:pt>
                <c:pt idx="223">
                  <c:v>1.19806821710233</c:v>
                </c:pt>
                <c:pt idx="224">
                  <c:v>1.2022159463126101</c:v>
                </c:pt>
                <c:pt idx="225">
                  <c:v>1.2063531698495</c:v>
                </c:pt>
                <c:pt idx="226">
                  <c:v>1.2104798038489299</c:v>
                </c:pt>
                <c:pt idx="227">
                  <c:v>1.2145957652575201</c:v>
                </c:pt>
                <c:pt idx="228">
                  <c:v>1.2187009718374899</c:v>
                </c:pt>
                <c:pt idx="229">
                  <c:v>1.2227953421715301</c:v>
                </c:pt>
                <c:pt idx="230">
                  <c:v>1.2268787956674001</c:v>
                </c:pt>
                <c:pt idx="231">
                  <c:v>1.23095125256242</c:v>
                </c:pt>
                <c:pt idx="232">
                  <c:v>1.23501263392784</c:v>
                </c:pt>
                <c:pt idx="233">
                  <c:v>1.2390628616729999</c:v>
                </c:pt>
                <c:pt idx="234">
                  <c:v>1.24310185854941</c:v>
                </c:pt>
                <c:pt idx="235">
                  <c:v>1.2471295481545599</c:v>
                </c:pt>
                <c:pt idx="236">
                  <c:v>1.2511458549357599</c:v>
                </c:pt>
                <c:pt idx="237">
                  <c:v>1.2551507041936101</c:v>
                </c:pt>
                <c:pt idx="238">
                  <c:v>1.2591440220855501</c:v>
                </c:pt>
                <c:pt idx="239">
                  <c:v>1.2631257356290599</c:v>
                </c:pt>
                <c:pt idx="240">
                  <c:v>1.26709577270485</c:v>
                </c:pt>
                <c:pt idx="241">
                  <c:v>1.2710540620598401</c:v>
                </c:pt>
                <c:pt idx="242">
                  <c:v>1.2750005333099901</c:v>
                </c:pt>
                <c:pt idx="243">
                  <c:v>1.2789351169430201</c:v>
                </c:pt>
                <c:pt idx="244">
                  <c:v>1.2828577443209701</c:v>
                </c:pt>
                <c:pt idx="245">
                  <c:v>1.28676834768256</c:v>
                </c:pt>
                <c:pt idx="246">
                  <c:v>1.29066686014552</c:v>
                </c:pt>
                <c:pt idx="247">
                  <c:v>1.2945532157086499</c:v>
                </c:pt>
                <c:pt idx="248">
                  <c:v>1.2984273492538301</c:v>
                </c:pt>
                <c:pt idx="249">
                  <c:v>1.30228919654786</c:v>
                </c:pt>
                <c:pt idx="250">
                  <c:v>1.30613869424411</c:v>
                </c:pt>
                <c:pt idx="251">
                  <c:v>1.3099757798841201</c:v>
                </c:pt>
                <c:pt idx="252">
                  <c:v>1.31380039189896</c:v>
                </c:pt>
                <c:pt idx="253">
                  <c:v>1.31761246961056</c:v>
                </c:pt>
                <c:pt idx="254">
                  <c:v>1.3214119532327899</c:v>
                </c:pt>
                <c:pt idx="255">
                  <c:v>1.3251987838724899</c:v>
                </c:pt>
                <c:pt idx="256">
                  <c:v>1.3289729035303</c:v>
                </c:pt>
                <c:pt idx="257">
                  <c:v>1.3327342551014101</c:v>
                </c:pt>
                <c:pt idx="258">
                  <c:v>1.3364827823761201</c:v>
                </c:pt>
                <c:pt idx="259">
                  <c:v>1.3402184300403199</c:v>
                </c:pt>
                <c:pt idx="260">
                  <c:v>1.34394114367581</c:v>
                </c:pt>
                <c:pt idx="261">
                  <c:v>1.3476508697604499</c:v>
                </c:pt>
                <c:pt idx="262">
                  <c:v>1.3513475556682699</c:v>
                </c:pt>
                <c:pt idx="263">
                  <c:v>1.3550311496693599</c:v>
                </c:pt>
                <c:pt idx="264">
                  <c:v>1.3587016009296899</c:v>
                </c:pt>
                <c:pt idx="265">
                  <c:v>1.3623588595107901</c:v>
                </c:pt>
                <c:pt idx="266">
                  <c:v>1.36600287636927</c:v>
                </c:pt>
                <c:pt idx="267">
                  <c:v>1.36963360335625</c:v>
                </c:pt>
                <c:pt idx="268">
                  <c:v>1.3732509932166801</c:v>
                </c:pt>
                <c:pt idx="269">
                  <c:v>1.37685499958848</c:v>
                </c:pt>
                <c:pt idx="270">
                  <c:v>1.38044557700162</c:v>
                </c:pt>
                <c:pt idx="271">
                  <c:v>1.3840226808770399</c:v>
                </c:pt>
                <c:pt idx="272">
                  <c:v>1.38758626752546</c:v>
                </c:pt>
                <c:pt idx="273">
                  <c:v>1.3911362941460901</c:v>
                </c:pt>
                <c:pt idx="274">
                  <c:v>1.39467271882518</c:v>
                </c:pt>
                <c:pt idx="275">
                  <c:v>1.3981955005345199</c:v>
                </c:pt>
                <c:pt idx="276">
                  <c:v>1.4017045991297801</c:v>
                </c:pt>
                <c:pt idx="277">
                  <c:v>1.4051999753487301</c:v>
                </c:pt>
                <c:pt idx="278">
                  <c:v>1.4086815908093899</c:v>
                </c:pt>
                <c:pt idx="279">
                  <c:v>1.4121494080079999</c:v>
                </c:pt>
                <c:pt idx="280">
                  <c:v>1.41560339031703</c:v>
                </c:pt>
                <c:pt idx="281">
                  <c:v>1.41904350198285</c:v>
                </c:pt>
                <c:pt idx="282">
                  <c:v>1.42246970812352</c:v>
                </c:pt>
                <c:pt idx="283">
                  <c:v>1.42588197472638</c:v>
                </c:pt>
                <c:pt idx="284">
                  <c:v>1.42928026864547</c:v>
                </c:pt>
                <c:pt idx="285">
                  <c:v>1.43266455759898</c:v>
                </c:pt>
                <c:pt idx="286">
                  <c:v>1.4360348101665299</c:v>
                </c:pt>
                <c:pt idx="287">
                  <c:v>1.43939099578635</c:v>
                </c:pt>
                <c:pt idx="288">
                  <c:v>1.4427330847523601</c:v>
                </c:pt>
                <c:pt idx="289">
                  <c:v>1.4460610482112</c:v>
                </c:pt>
                <c:pt idx="290">
                  <c:v>1.4493748581590999</c:v>
                </c:pt>
                <c:pt idx="291">
                  <c:v>1.4526744874387401</c:v>
                </c:pt>
                <c:pt idx="292">
                  <c:v>1.4559599097359199</c:v>
                </c:pt>
                <c:pt idx="293">
                  <c:v>1.4592310995762099</c:v>
                </c:pt>
                <c:pt idx="294">
                  <c:v>1.4624880323215199</c:v>
                </c:pt>
                <c:pt idx="295">
                  <c:v>1.4657306841665301</c:v>
                </c:pt>
                <c:pt idx="296">
                  <c:v>1.4689590321350701</c:v>
                </c:pt>
                <c:pt idx="297">
                  <c:v>1.4721730540764</c:v>
                </c:pt>
                <c:pt idx="298">
                  <c:v>1.47537272866147</c:v>
                </c:pt>
                <c:pt idx="299">
                  <c:v>1.47855803537897</c:v>
                </c:pt>
                <c:pt idx="300">
                  <c:v>1.48172895453145</c:v>
                </c:pt>
                <c:pt idx="301">
                  <c:v>1.4848854672312499</c:v>
                </c:pt>
                <c:pt idx="302">
                  <c:v>1.4880275553964399</c:v>
                </c:pt>
                <c:pt idx="303">
                  <c:v>1.4911552017465799</c:v>
                </c:pt>
                <c:pt idx="304">
                  <c:v>1.49426838979855</c:v>
                </c:pt>
                <c:pt idx="305">
                  <c:v>1.4973671038621801</c:v>
                </c:pt>
                <c:pt idx="306">
                  <c:v>1.5004513290358801</c:v>
                </c:pt>
                <c:pt idx="307">
                  <c:v>1.5035210512021699</c:v>
                </c:pt>
                <c:pt idx="308">
                  <c:v>1.50657625702319</c:v>
                </c:pt>
                <c:pt idx="309">
                  <c:v>1.5096169339360901</c:v>
                </c:pt>
                <c:pt idx="310">
                  <c:v>1.5126430701483899</c:v>
                </c:pt>
                <c:pt idx="311">
                  <c:v>1.5156546546332601</c:v>
                </c:pt>
                <c:pt idx="312">
                  <c:v>1.51865167712477</c:v>
                </c:pt>
                <c:pt idx="313">
                  <c:v>1.5216341281130501</c:v>
                </c:pt>
                <c:pt idx="314">
                  <c:v>1.5246019988394</c:v>
                </c:pt>
                <c:pt idx="315">
                  <c:v>1.52755528129136</c:v>
                </c:pt>
                <c:pt idx="316">
                  <c:v>1.5304939681977101</c:v>
                </c:pt>
                <c:pt idx="317">
                  <c:v>1.53341805302344</c:v>
                </c:pt>
                <c:pt idx="318">
                  <c:v>1.53632752996463</c:v>
                </c:pt>
                <c:pt idx="319">
                  <c:v>1.5392223939433101</c:v>
                </c:pt>
                <c:pt idx="320">
                  <c:v>1.5421026406023</c:v>
                </c:pt>
                <c:pt idx="321">
                  <c:v>1.5449682662999</c:v>
                </c:pt>
                <c:pt idx="322">
                  <c:v>1.5478192681046801</c:v>
                </c:pt>
                <c:pt idx="323">
                  <c:v>1.55065564379011</c:v>
                </c:pt>
                <c:pt idx="324">
                  <c:v>1.5534773918292</c:v>
                </c:pt>
                <c:pt idx="325">
                  <c:v>1.5562845113891</c:v>
                </c:pt>
                <c:pt idx="326">
                  <c:v>1.55907700232562</c:v>
                </c:pt>
                <c:pt idx="327">
                  <c:v>1.5618548651777799</c:v>
                </c:pt>
                <c:pt idx="328">
                  <c:v>1.56461810116228</c:v>
                </c:pt>
                <c:pt idx="329">
                  <c:v>1.56736671216794</c:v>
                </c:pt>
                <c:pt idx="330">
                  <c:v>1.57010070075008</c:v>
                </c:pt>
                <c:pt idx="331">
                  <c:v>1.57282007012495</c:v>
                </c:pt>
                <c:pt idx="332">
                  <c:v>1.57552482416405</c:v>
                </c:pt>
                <c:pt idx="333">
                  <c:v>1.57821496738845</c:v>
                </c:pt>
                <c:pt idx="334">
                  <c:v>1.5808905049630799</c:v>
                </c:pt>
                <c:pt idx="335">
                  <c:v>1.58355144269101</c:v>
                </c:pt>
                <c:pt idx="336">
                  <c:v>1.58619778700767</c:v>
                </c:pt>
                <c:pt idx="337">
                  <c:v>1.58882954497506</c:v>
                </c:pt>
                <c:pt idx="338">
                  <c:v>1.59144672427599</c:v>
                </c:pt>
                <c:pt idx="339">
                  <c:v>1.5940493332082</c:v>
                </c:pt>
                <c:pt idx="340">
                  <c:v>1.5966373806785501</c:v>
                </c:pt>
                <c:pt idx="341">
                  <c:v>1.59921087619713</c:v>
                </c:pt>
                <c:pt idx="342">
                  <c:v>1.60176982987139</c:v>
                </c:pt>
                <c:pt idx="343">
                  <c:v>1.6043142524002401</c:v>
                </c:pt>
                <c:pt idx="344">
                  <c:v>1.60684415506815</c:v>
                </c:pt>
                <c:pt idx="345">
                  <c:v>1.6093595497391899</c:v>
                </c:pt>
                <c:pt idx="346">
                  <c:v>1.6118604488511401</c:v>
                </c:pt>
                <c:pt idx="347">
                  <c:v>1.6143468654094899</c:v>
                </c:pt>
                <c:pt idx="348">
                  <c:v>1.61681881298152</c:v>
                </c:pt>
                <c:pt idx="349">
                  <c:v>1.6192763056903201</c:v>
                </c:pt>
                <c:pt idx="350">
                  <c:v>1.6217193582088001</c:v>
                </c:pt>
                <c:pt idx="351">
                  <c:v>1.62414798575373</c:v>
                </c:pt>
                <c:pt idx="352">
                  <c:v>1.6265622040797401</c:v>
                </c:pt>
                <c:pt idx="353">
                  <c:v>1.62896202947335</c:v>
                </c:pt>
                <c:pt idx="354">
                  <c:v>1.63134747874695</c:v>
                </c:pt>
                <c:pt idx="355">
                  <c:v>1.63371856923279</c:v>
                </c:pt>
                <c:pt idx="356">
                  <c:v>1.63607531877705</c:v>
                </c:pt>
                <c:pt idx="357">
                  <c:v>1.6384177457337901</c:v>
                </c:pt>
                <c:pt idx="358">
                  <c:v>1.64074586895894</c:v>
                </c:pt>
                <c:pt idx="359">
                  <c:v>1.64305970780438</c:v>
                </c:pt>
                <c:pt idx="360">
                  <c:v>1.6453592821118701</c:v>
                </c:pt>
                <c:pt idx="361">
                  <c:v>1.64764461220713</c:v>
                </c:pt>
                <c:pt idx="362">
                  <c:v>1.6499157188937901</c:v>
                </c:pt>
                <c:pt idx="363">
                  <c:v>1.65217262344751</c:v>
                </c:pt>
                <c:pt idx="364">
                  <c:v>1.6544153476099199</c:v>
                </c:pt>
                <c:pt idx="365">
                  <c:v>1.65664391358273</c:v>
                </c:pt>
                <c:pt idx="366">
                  <c:v>1.6588583440217399</c:v>
                </c:pt>
                <c:pt idx="367">
                  <c:v>1.66105866203092</c:v>
                </c:pt>
                <c:pt idx="368">
                  <c:v>1.6632448911565001</c:v>
                </c:pt>
                <c:pt idx="369">
                  <c:v>1.6654170553809899</c:v>
                </c:pt>
                <c:pt idx="370">
                  <c:v>1.6675751791173501</c:v>
                </c:pt>
                <c:pt idx="371">
                  <c:v>1.6697192872030699</c:v>
                </c:pt>
                <c:pt idx="372">
                  <c:v>1.67184940489426</c:v>
                </c:pt>
                <c:pt idx="373">
                  <c:v>1.67396555785986</c:v>
                </c:pt>
                <c:pt idx="374">
                  <c:v>1.67606777217572</c:v>
                </c:pt>
                <c:pt idx="375">
                  <c:v>1.6781560743188499</c:v>
                </c:pt>
                <c:pt idx="376">
                  <c:v>1.68023049116151</c:v>
                </c:pt>
                <c:pt idx="377">
                  <c:v>1.6822910499655299</c:v>
                </c:pt>
                <c:pt idx="378">
                  <c:v>1.6843377783764399</c:v>
                </c:pt>
                <c:pt idx="379">
                  <c:v>1.68637070441777</c:v>
                </c:pt>
                <c:pt idx="380">
                  <c:v>1.6883898564852999</c:v>
                </c:pt>
                <c:pt idx="381">
                  <c:v>1.6903952633413499</c:v>
                </c:pt>
                <c:pt idx="382">
                  <c:v>1.6923869541090699</c:v>
                </c:pt>
                <c:pt idx="383">
                  <c:v>1.6943649582667999</c:v>
                </c:pt>
                <c:pt idx="384">
                  <c:v>1.69632930564242</c:v>
                </c:pt>
                <c:pt idx="385">
                  <c:v>1.6982800264077</c:v>
                </c:pt>
                <c:pt idx="386">
                  <c:v>1.70021715107272</c:v>
                </c:pt>
                <c:pt idx="387">
                  <c:v>1.7021407104803099</c:v>
                </c:pt>
                <c:pt idx="388">
                  <c:v>1.70405073580047</c:v>
                </c:pt>
                <c:pt idx="389">
                  <c:v>1.70594725852489</c:v>
                </c:pt>
                <c:pt idx="390">
                  <c:v>1.7078303104614001</c:v>
                </c:pt>
                <c:pt idx="391">
                  <c:v>1.70969992372855</c:v>
                </c:pt>
                <c:pt idx="392">
                  <c:v>1.7115561307501399</c:v>
                </c:pt>
                <c:pt idx="393">
                  <c:v>1.71339896424984</c:v>
                </c:pt>
                <c:pt idx="394">
                  <c:v>1.7152284572457499</c:v>
                </c:pt>
                <c:pt idx="395">
                  <c:v>1.7170446430450901</c:v>
                </c:pt>
                <c:pt idx="396">
                  <c:v>1.71884755523888</c:v>
                </c:pt>
                <c:pt idx="397">
                  <c:v>1.72063722769659</c:v>
                </c:pt>
                <c:pt idx="398">
                  <c:v>1.7224136945609501</c:v>
                </c:pt>
                <c:pt idx="399">
                  <c:v>1.72417699024265</c:v>
                </c:pt>
                <c:pt idx="400">
                  <c:v>1.72592714941517</c:v>
                </c:pt>
                <c:pt idx="401">
                  <c:v>1.7276642070096</c:v>
                </c:pt>
                <c:pt idx="402">
                  <c:v>1.7293881982095001</c:v>
                </c:pt>
                <c:pt idx="403">
                  <c:v>1.73109915844581</c:v>
                </c:pt>
                <c:pt idx="404">
                  <c:v>1.7327971233917501</c:v>
                </c:pt>
                <c:pt idx="405">
                  <c:v>1.7344821289577801</c:v>
                </c:pt>
                <c:pt idx="406">
                  <c:v>1.7361542112866299</c:v>
                </c:pt>
                <c:pt idx="407">
                  <c:v>1.73781340674827</c:v>
                </c:pt>
                <c:pt idx="408">
                  <c:v>1.7394597519350301</c:v>
                </c:pt>
                <c:pt idx="409">
                  <c:v>1.7410932836566499</c:v>
                </c:pt>
                <c:pt idx="410">
                  <c:v>1.7427140389354101</c:v>
                </c:pt>
                <c:pt idx="411">
                  <c:v>1.7443220550013501</c:v>
                </c:pt>
                <c:pt idx="412">
                  <c:v>1.7459173692873899</c:v>
                </c:pt>
                <c:pt idx="413">
                  <c:v>1.7475000194246399</c:v>
                </c:pt>
                <c:pt idx="414">
                  <c:v>1.7490700432376001</c:v>
                </c:pt>
                <c:pt idx="415">
                  <c:v>1.7506274787395499</c:v>
                </c:pt>
                <c:pt idx="416">
                  <c:v>1.75217236412782</c:v>
                </c:pt>
                <c:pt idx="417">
                  <c:v>1.7537047377792001</c:v>
                </c:pt>
                <c:pt idx="418">
                  <c:v>1.75522463824537</c:v>
                </c:pt>
                <c:pt idx="419">
                  <c:v>1.7567321042483299</c:v>
                </c:pt>
                <c:pt idx="420">
                  <c:v>1.7582271746759099</c:v>
                </c:pt>
                <c:pt idx="421">
                  <c:v>1.7597098885772799</c:v>
                </c:pt>
                <c:pt idx="422">
                  <c:v>1.7611802851585201</c:v>
                </c:pt>
                <c:pt idx="423">
                  <c:v>1.7626384037782501</c:v>
                </c:pt>
                <c:pt idx="424">
                  <c:v>1.76408428394322</c:v>
                </c:pt>
                <c:pt idx="425">
                  <c:v>1.76551796530403</c:v>
                </c:pt>
                <c:pt idx="426">
                  <c:v>1.76693948765083</c:v>
                </c:pt>
                <c:pt idx="427">
                  <c:v>1.7683488909090701</c:v>
                </c:pt>
                <c:pt idx="428">
                  <c:v>1.7697462151353101</c:v>
                </c:pt>
                <c:pt idx="429">
                  <c:v>1.7711315005130199</c:v>
                </c:pt>
                <c:pt idx="430">
                  <c:v>1.77250478734848</c:v>
                </c:pt>
                <c:pt idx="431">
                  <c:v>1.77386611606666</c:v>
                </c:pt>
                <c:pt idx="432">
                  <c:v>1.7752155272071899</c:v>
                </c:pt>
                <c:pt idx="433">
                  <c:v>1.77655306142033</c:v>
                </c:pt>
                <c:pt idx="434">
                  <c:v>1.7778787594629699</c:v>
                </c:pt>
                <c:pt idx="435">
                  <c:v>1.77919266219475</c:v>
                </c:pt>
                <c:pt idx="436">
                  <c:v>1.7804948105740801</c:v>
                </c:pt>
                <c:pt idx="437">
                  <c:v>1.7817852456543599</c:v>
                </c:pt>
                <c:pt idx="438">
                  <c:v>1.78306400858009</c:v>
                </c:pt>
                <c:pt idx="439">
                  <c:v>1.7843311405831099</c:v>
                </c:pt>
                <c:pt idx="440">
                  <c:v>1.78558668297886</c:v>
                </c:pt>
                <c:pt idx="441">
                  <c:v>1.7868306771626701</c:v>
                </c:pt>
                <c:pt idx="442">
                  <c:v>1.7880631646060601</c:v>
                </c:pt>
                <c:pt idx="443">
                  <c:v>1.7892841868531599</c:v>
                </c:pt>
                <c:pt idx="444">
                  <c:v>1.7904937855170699</c:v>
                </c:pt>
                <c:pt idx="445">
                  <c:v>1.7916920022763401</c:v>
                </c:pt>
                <c:pt idx="446">
                  <c:v>1.79287887887143</c:v>
                </c:pt>
                <c:pt idx="447">
                  <c:v>1.79405445710123</c:v>
                </c:pt>
                <c:pt idx="448">
                  <c:v>1.7952187788196501</c:v>
                </c:pt>
                <c:pt idx="449">
                  <c:v>1.79637188593218</c:v>
                </c:pt>
                <c:pt idx="450">
                  <c:v>1.79751382039256</c:v>
                </c:pt>
                <c:pt idx="451">
                  <c:v>1.79864462419944</c:v>
                </c:pt>
                <c:pt idx="452">
                  <c:v>1.79976433939308</c:v>
                </c:pt>
                <c:pt idx="453">
                  <c:v>1.80087300805212</c:v>
                </c:pt>
                <c:pt idx="454">
                  <c:v>1.8019706722903599</c:v>
                </c:pt>
                <c:pt idx="455">
                  <c:v>1.80305737425358</c:v>
                </c:pt>
                <c:pt idx="456">
                  <c:v>1.80413315611643</c:v>
                </c:pt>
                <c:pt idx="457">
                  <c:v>1.8051980600792801</c:v>
                </c:pt>
                <c:pt idx="458">
                  <c:v>1.80625212836521</c:v>
                </c:pt>
                <c:pt idx="459">
                  <c:v>1.8072954032169499</c:v>
                </c:pt>
                <c:pt idx="460">
                  <c:v>1.8083279268939101</c:v>
                </c:pt>
                <c:pt idx="461">
                  <c:v>1.8093497416692199</c:v>
                </c:pt>
                <c:pt idx="462">
                  <c:v>1.81036088982683</c:v>
                </c:pt>
                <c:pt idx="463">
                  <c:v>1.8113614136586</c:v>
                </c:pt>
                <c:pt idx="464">
                  <c:v>1.81235135546151</c:v>
                </c:pt>
                <c:pt idx="465">
                  <c:v>1.8133307575348001</c:v>
                </c:pt>
                <c:pt idx="466">
                  <c:v>1.81429966217724</c:v>
                </c:pt>
                <c:pt idx="467">
                  <c:v>1.81525811168437</c:v>
                </c:pt>
                <c:pt idx="468">
                  <c:v>1.81620614834585</c:v>
                </c:pt>
                <c:pt idx="469">
                  <c:v>1.8171438144427301</c:v>
                </c:pt>
                <c:pt idx="470">
                  <c:v>1.81807115224487</c:v>
                </c:pt>
                <c:pt idx="471">
                  <c:v>1.81898820400836</c:v>
                </c:pt>
                <c:pt idx="472">
                  <c:v>1.81989501197293</c:v>
                </c:pt>
                <c:pt idx="473">
                  <c:v>1.8207916183594399</c:v>
                </c:pt>
                <c:pt idx="474">
                  <c:v>1.8216780653674001</c:v>
                </c:pt>
                <c:pt idx="475">
                  <c:v>1.82255439517254</c:v>
                </c:pt>
                <c:pt idx="476">
                  <c:v>1.8234206499243499</c:v>
                </c:pt>
                <c:pt idx="477">
                  <c:v>1.8242768717437201</c:v>
                </c:pt>
                <c:pt idx="478">
                  <c:v>1.8251231027206201</c:v>
                </c:pt>
                <c:pt idx="479">
                  <c:v>1.8259593849117099</c:v>
                </c:pt>
                <c:pt idx="480">
                  <c:v>1.8267857603381601</c:v>
                </c:pt>
                <c:pt idx="481">
                  <c:v>1.8276022709833</c:v>
                </c:pt>
                <c:pt idx="482">
                  <c:v>1.8284089587904999</c:v>
                </c:pt>
                <c:pt idx="483">
                  <c:v>1.82920586566091</c:v>
                </c:pt>
                <c:pt idx="484">
                  <c:v>1.8299930334513701</c:v>
                </c:pt>
                <c:pt idx="485">
                  <c:v>1.8307705039722399</c:v>
                </c:pt>
                <c:pt idx="486">
                  <c:v>1.83153831898539</c:v>
                </c:pt>
                <c:pt idx="487">
                  <c:v>1.83229652020206</c:v>
                </c:pt>
                <c:pt idx="488">
                  <c:v>1.8330451492809201</c:v>
                </c:pt>
                <c:pt idx="489">
                  <c:v>1.83378424782603</c:v>
                </c:pt>
                <c:pt idx="490">
                  <c:v>1.83451385738491</c:v>
                </c:pt>
                <c:pt idx="491">
                  <c:v>1.8352340194465799</c:v>
                </c:pt>
                <c:pt idx="492">
                  <c:v>1.83594477543974</c:v>
                </c:pt>
                <c:pt idx="493">
                  <c:v>1.83664616673082</c:v>
                </c:pt>
                <c:pt idx="494">
                  <c:v>1.83733823462221</c:v>
                </c:pt>
                <c:pt idx="495">
                  <c:v>1.8380210203503999</c:v>
                </c:pt>
                <c:pt idx="496">
                  <c:v>1.8386945650842801</c:v>
                </c:pt>
                <c:pt idx="497">
                  <c:v>1.8393589099233401</c:v>
                </c:pt>
                <c:pt idx="498">
                  <c:v>1.8400140958959801</c:v>
                </c:pt>
                <c:pt idx="499">
                  <c:v>1.84066016395781</c:v>
                </c:pt>
                <c:pt idx="500">
                  <c:v>1.8412971549900199</c:v>
                </c:pt>
                <c:pt idx="501">
                  <c:v>1.84192510979775</c:v>
                </c:pt>
                <c:pt idx="502">
                  <c:v>1.84254406910845</c:v>
                </c:pt>
                <c:pt idx="503">
                  <c:v>1.8431540735704</c:v>
                </c:pt>
                <c:pt idx="504">
                  <c:v>1.8437551637510601</c:v>
                </c:pt>
                <c:pt idx="505">
                  <c:v>1.84434738013566</c:v>
                </c:pt>
                <c:pt idx="506">
                  <c:v>1.84493076312564</c:v>
                </c:pt>
                <c:pt idx="507">
                  <c:v>1.8455053530372401</c:v>
                </c:pt>
                <c:pt idx="508">
                  <c:v>1.8460711901000399</c:v>
                </c:pt>
                <c:pt idx="509">
                  <c:v>1.84662831445557</c:v>
                </c:pt>
                <c:pt idx="510">
                  <c:v>1.84717676615593</c:v>
                </c:pt>
                <c:pt idx="511">
                  <c:v>1.8477165851624699</c:v>
                </c:pt>
                <c:pt idx="512">
                  <c:v>1.8482478113444101</c:v>
                </c:pt>
                <c:pt idx="513">
                  <c:v>1.8487704844775701</c:v>
                </c:pt>
                <c:pt idx="514">
                  <c:v>1.8492846442431199</c:v>
                </c:pt>
                <c:pt idx="515">
                  <c:v>1.8497903302263099</c:v>
                </c:pt>
                <c:pt idx="516">
                  <c:v>1.85028758191524</c:v>
                </c:pt>
                <c:pt idx="517">
                  <c:v>1.8507764386996901</c:v>
                </c:pt>
                <c:pt idx="518">
                  <c:v>1.8512569398699299</c:v>
                </c:pt>
                <c:pt idx="519">
                  <c:v>1.85172912461557</c:v>
                </c:pt>
                <c:pt idx="520">
                  <c:v>1.8521930320244699</c:v>
                </c:pt>
                <c:pt idx="521">
                  <c:v>1.8526487010816</c:v>
                </c:pt>
                <c:pt idx="522">
                  <c:v>1.85309617066799</c:v>
                </c:pt>
                <c:pt idx="523">
                  <c:v>1.8535354795596699</c:v>
                </c:pt>
                <c:pt idx="524">
                  <c:v>1.8539666664266601</c:v>
                </c:pt>
                <c:pt idx="525">
                  <c:v>1.8543897698319201</c:v>
                </c:pt>
                <c:pt idx="526">
                  <c:v>1.8548048282304299</c:v>
                </c:pt>
                <c:pt idx="527">
                  <c:v>1.8552118799682</c:v>
                </c:pt>
                <c:pt idx="528">
                  <c:v>1.8556109632813</c:v>
                </c:pt>
                <c:pt idx="529">
                  <c:v>1.85600211629503</c:v>
                </c:pt>
                <c:pt idx="530">
                  <c:v>1.8563853770229299</c:v>
                </c:pt>
                <c:pt idx="531">
                  <c:v>1.85676078336598</c:v>
                </c:pt>
                <c:pt idx="532">
                  <c:v>1.8571283731117401</c:v>
                </c:pt>
                <c:pt idx="533">
                  <c:v>1.85748818393347</c:v>
                </c:pt>
                <c:pt idx="534">
                  <c:v>1.8578402533894001</c:v>
                </c:pt>
                <c:pt idx="535">
                  <c:v>1.85818461892188</c:v>
                </c:pt>
                <c:pt idx="536">
                  <c:v>1.85852131785665</c:v>
                </c:pt>
                <c:pt idx="537">
                  <c:v>1.8588503874020801</c:v>
                </c:pt>
                <c:pt idx="538">
                  <c:v>1.8591718646484401</c:v>
                </c:pt>
                <c:pt idx="539">
                  <c:v>1.8594857865672101</c:v>
                </c:pt>
                <c:pt idx="540">
                  <c:v>1.85979219001038</c:v>
                </c:pt>
                <c:pt idx="541">
                  <c:v>1.86009111170979</c:v>
                </c:pt>
                <c:pt idx="542">
                  <c:v>1.86038258827648</c:v>
                </c:pt>
                <c:pt idx="543">
                  <c:v>1.86066665620006</c:v>
                </c:pt>
                <c:pt idx="544">
                  <c:v>1.86094335184809</c:v>
                </c:pt>
                <c:pt idx="545">
                  <c:v>1.8612127114655199</c:v>
                </c:pt>
                <c:pt idx="546">
                  <c:v>1.86147477117407</c:v>
                </c:pt>
                <c:pt idx="547">
                  <c:v>1.86172956697171</c:v>
                </c:pt>
                <c:pt idx="548">
                  <c:v>1.8619771347321199</c:v>
                </c:pt>
                <c:pt idx="549">
                  <c:v>1.8622175102041301</c:v>
                </c:pt>
                <c:pt idx="550">
                  <c:v>1.8624507290112899</c:v>
                </c:pt>
                <c:pt idx="551">
                  <c:v>1.8626768266513101</c:v>
                </c:pt>
                <c:pt idx="552">
                  <c:v>1.86289583849563</c:v>
                </c:pt>
                <c:pt idx="553">
                  <c:v>1.86310779978895</c:v>
                </c:pt>
                <c:pt idx="554">
                  <c:v>1.8633127456488401</c:v>
                </c:pt>
                <c:pt idx="555">
                  <c:v>1.86351071106524</c:v>
                </c:pt>
                <c:pt idx="556">
                  <c:v>1.86370173090013</c:v>
                </c:pt>
                <c:pt idx="557">
                  <c:v>1.8638858398870899</c:v>
                </c:pt>
                <c:pt idx="558">
                  <c:v>1.8640630726309799</c:v>
                </c:pt>
                <c:pt idx="559">
                  <c:v>1.8642334636075399</c:v>
                </c:pt>
                <c:pt idx="560">
                  <c:v>1.86439704716306</c:v>
                </c:pt>
                <c:pt idx="561">
                  <c:v>1.8645538575140601</c:v>
                </c:pt>
                <c:pt idx="562">
                  <c:v>1.86470392874697</c:v>
                </c:pt>
                <c:pt idx="563">
                  <c:v>1.86484729481786</c:v>
                </c:pt>
                <c:pt idx="564">
                  <c:v>1.8649839895521201</c:v>
                </c:pt>
                <c:pt idx="565">
                  <c:v>1.86511404664421</c:v>
                </c:pt>
                <c:pt idx="566">
                  <c:v>1.8652374996573899</c:v>
                </c:pt>
                <c:pt idx="567">
                  <c:v>1.8653543820235401</c:v>
                </c:pt>
                <c:pt idx="568">
                  <c:v>1.86546472704283</c:v>
                </c:pt>
                <c:pt idx="569">
                  <c:v>1.86556856788361</c:v>
                </c:pt>
                <c:pt idx="570">
                  <c:v>1.8656659375821301</c:v>
                </c:pt>
                <c:pt idx="571">
                  <c:v>1.86575686904242</c:v>
                </c:pt>
                <c:pt idx="572">
                  <c:v>1.8658413950360599</c:v>
                </c:pt>
                <c:pt idx="573">
                  <c:v>1.8659195482020601</c:v>
                </c:pt>
                <c:pt idx="574">
                  <c:v>1.8659913610466701</c:v>
                </c:pt>
                <c:pt idx="575">
                  <c:v>1.8660568659432999</c:v>
                </c:pt>
                <c:pt idx="576">
                  <c:v>1.8661160951323299</c:v>
                </c:pt>
                <c:pt idx="577">
                  <c:v>1.86616908072105</c:v>
                </c:pt>
                <c:pt idx="578">
                  <c:v>1.8662158546835499</c:v>
                </c:pt>
                <c:pt idx="579">
                  <c:v>1.8662564488605999</c:v>
                </c:pt>
                <c:pt idx="580">
                  <c:v>1.86629089495961</c:v>
                </c:pt>
                <c:pt idx="581">
                  <c:v>1.8663192245545499</c:v>
                </c:pt>
                <c:pt idx="582">
                  <c:v>1.86634146908587</c:v>
                </c:pt>
                <c:pt idx="583">
                  <c:v>1.86635765986052</c:v>
                </c:pt>
                <c:pt idx="584">
                  <c:v>1.8663678280518501</c:v>
                </c:pt>
                <c:pt idx="585">
                  <c:v>1.86637200469961</c:v>
                </c:pt>
                <c:pt idx="586">
                  <c:v>1.8663702207099599</c:v>
                </c:pt>
                <c:pt idx="587">
                  <c:v>1.8663625068554399</c:v>
                </c:pt>
                <c:pt idx="588">
                  <c:v>1.8663488937749899</c:v>
                </c:pt>
                <c:pt idx="589">
                  <c:v>1.86632941197396</c:v>
                </c:pt>
                <c:pt idx="590">
                  <c:v>1.86630409182416</c:v>
                </c:pt>
                <c:pt idx="591">
                  <c:v>1.86627296356386</c:v>
                </c:pt>
                <c:pt idx="592">
                  <c:v>1.86623605729789</c:v>
                </c:pt>
                <c:pt idx="593">
                  <c:v>1.8661934029976199</c:v>
                </c:pt>
                <c:pt idx="594">
                  <c:v>1.86614503050112</c:v>
                </c:pt>
                <c:pt idx="595">
                  <c:v>1.86609096951314</c:v>
                </c:pt>
                <c:pt idx="596">
                  <c:v>1.86603124960528</c:v>
                </c:pt>
                <c:pt idx="597">
                  <c:v>1.8659659002160101</c:v>
                </c:pt>
                <c:pt idx="598">
                  <c:v>1.8658949506508</c:v>
                </c:pt>
                <c:pt idx="599">
                  <c:v>1.86581843008226</c:v>
                </c:pt>
                <c:pt idx="600">
                  <c:v>1.8657363675501899</c:v>
                </c:pt>
                <c:pt idx="601">
                  <c:v>1.8656487919617699</c:v>
                </c:pt>
                <c:pt idx="602">
                  <c:v>1.86555573209165</c:v>
                </c:pt>
                <c:pt idx="603">
                  <c:v>1.8654572165821099</c:v>
                </c:pt>
                <c:pt idx="604">
                  <c:v>1.8653532739432199</c:v>
                </c:pt>
                <c:pt idx="605">
                  <c:v>1.86524393255295</c:v>
                </c:pt>
                <c:pt idx="606">
                  <c:v>1.8651292206574099</c:v>
                </c:pt>
                <c:pt idx="607">
                  <c:v>1.8650091663709401</c:v>
                </c:pt>
                <c:pt idx="608">
                  <c:v>1.8648837976763299</c:v>
                </c:pt>
                <c:pt idx="609">
                  <c:v>1.8647531424250301</c:v>
                </c:pt>
                <c:pt idx="610">
                  <c:v>1.8646172283372799</c:v>
                </c:pt>
                <c:pt idx="611">
                  <c:v>1.8644760830023701</c:v>
                </c:pt>
                <c:pt idx="612">
                  <c:v>1.8643297338787801</c:v>
                </c:pt>
                <c:pt idx="613">
                  <c:v>1.86417820829447</c:v>
                </c:pt>
                <c:pt idx="614">
                  <c:v>1.86402153344704</c:v>
                </c:pt>
                <c:pt idx="615">
                  <c:v>1.86385973640397</c:v>
                </c:pt>
                <c:pt idx="616">
                  <c:v>1.86369284410286</c:v>
                </c:pt>
                <c:pt idx="617">
                  <c:v>1.8635208833516601</c:v>
                </c:pt>
                <c:pt idx="618">
                  <c:v>1.86334388082892</c:v>
                </c:pt>
                <c:pt idx="619">
                  <c:v>1.8631618630840301</c:v>
                </c:pt>
                <c:pt idx="620">
                  <c:v>1.86297485653746</c:v>
                </c:pt>
                <c:pt idx="621">
                  <c:v>1.8627828874810599</c:v>
                </c:pt>
                <c:pt idx="622">
                  <c:v>1.86258598207829</c:v>
                </c:pt>
                <c:pt idx="623">
                  <c:v>1.86238416636451</c:v>
                </c:pt>
                <c:pt idx="624">
                  <c:v>1.8621774662472499</c:v>
                </c:pt>
                <c:pt idx="625">
                  <c:v>1.8619659075064701</c:v>
                </c:pt>
                <c:pt idx="626">
                  <c:v>1.8617495157949</c:v>
                </c:pt>
                <c:pt idx="627">
                  <c:v>1.8615283166382699</c:v>
                </c:pt>
                <c:pt idx="628">
                  <c:v>1.86130233543563</c:v>
                </c:pt>
                <c:pt idx="629">
                  <c:v>1.8610715974596701</c:v>
                </c:pt>
                <c:pt idx="630">
                  <c:v>1.86083612785701</c:v>
                </c:pt>
                <c:pt idx="631">
                  <c:v>1.86059595164848</c:v>
                </c:pt>
                <c:pt idx="632">
                  <c:v>1.86035109372949</c:v>
                </c:pt>
                <c:pt idx="633">
                  <c:v>1.8601015788702999</c:v>
                </c:pt>
                <c:pt idx="634">
                  <c:v>1.85984743171637</c:v>
                </c:pt>
                <c:pt idx="635">
                  <c:v>1.85958867678867</c:v>
                </c:pt>
                <c:pt idx="636">
                  <c:v>1.85932533848403</c:v>
                </c:pt>
                <c:pt idx="637">
                  <c:v>1.8590574410754499</c:v>
                </c:pt>
                <c:pt idx="638">
                  <c:v>1.85878500871245</c:v>
                </c:pt>
                <c:pt idx="639">
                  <c:v>1.8585080654214201</c:v>
                </c:pt>
                <c:pt idx="640">
                  <c:v>1.85822663510595</c:v>
                </c:pt>
                <c:pt idx="641">
                  <c:v>1.85794074154719</c:v>
                </c:pt>
                <c:pt idx="642">
                  <c:v>1.8576504084042</c:v>
                </c:pt>
                <c:pt idx="643">
                  <c:v>1.8573556592142799</c:v>
                </c:pt>
                <c:pt idx="644">
                  <c:v>1.8570565173933899</c:v>
                </c:pt>
                <c:pt idx="645">
                  <c:v>1.8567530062364499</c:v>
                </c:pt>
                <c:pt idx="646">
                  <c:v>1.85644514891773</c:v>
                </c:pt>
                <c:pt idx="647">
                  <c:v>1.85613296849122</c:v>
                </c:pt>
                <c:pt idx="648">
                  <c:v>1.8558164878910099</c:v>
                </c:pt>
                <c:pt idx="649">
                  <c:v>1.8554957299316399</c:v>
                </c:pt>
                <c:pt idx="650">
                  <c:v>1.8551707173084899</c:v>
                </c:pt>
                <c:pt idx="651">
                  <c:v>1.8548414725981699</c:v>
                </c:pt>
                <c:pt idx="652">
                  <c:v>1.85450801825888</c:v>
                </c:pt>
                <c:pt idx="653">
                  <c:v>1.8541703766308</c:v>
                </c:pt>
                <c:pt idx="654">
                  <c:v>1.8538285699365</c:v>
                </c:pt>
                <c:pt idx="655">
                  <c:v>1.8534826202813</c:v>
                </c:pt>
                <c:pt idx="656">
                  <c:v>1.8531325496536699</c:v>
                </c:pt>
                <c:pt idx="657">
                  <c:v>1.8527783799256501</c:v>
                </c:pt>
                <c:pt idx="658">
                  <c:v>1.85242013285319</c:v>
                </c:pt>
                <c:pt idx="659">
                  <c:v>1.85205783007661</c:v>
                </c:pt>
                <c:pt idx="660">
                  <c:v>1.85169149312095</c:v>
                </c:pt>
                <c:pt idx="661">
                  <c:v>1.8513211433964201</c:v>
                </c:pt>
                <c:pt idx="662">
                  <c:v>1.8509468021987601</c:v>
                </c:pt>
                <c:pt idx="663">
                  <c:v>1.85056849070967</c:v>
                </c:pt>
                <c:pt idx="664">
                  <c:v>1.8501862299972101</c:v>
                </c:pt>
                <c:pt idx="665">
                  <c:v>1.8498000410162201</c:v>
                </c:pt>
                <c:pt idx="666">
                  <c:v>1.8494099446087</c:v>
                </c:pt>
                <c:pt idx="667">
                  <c:v>1.84901596150428</c:v>
                </c:pt>
                <c:pt idx="668">
                  <c:v>1.8486181123205701</c:v>
                </c:pt>
                <c:pt idx="669">
                  <c:v>1.84821641756363</c:v>
                </c:pt>
                <c:pt idx="670">
                  <c:v>1.84781089762835</c:v>
                </c:pt>
                <c:pt idx="671">
                  <c:v>1.84740157279886</c:v>
                </c:pt>
                <c:pt idx="672">
                  <c:v>1.8469884632490201</c:v>
                </c:pt>
                <c:pt idx="673">
                  <c:v>1.8465715890427501</c:v>
                </c:pt>
                <c:pt idx="674">
                  <c:v>1.8461509701345</c:v>
                </c:pt>
                <c:pt idx="675">
                  <c:v>1.8457266263697001</c:v>
                </c:pt>
                <c:pt idx="676">
                  <c:v>1.8452985774850901</c:v>
                </c:pt>
                <c:pt idx="677">
                  <c:v>1.8448668431092801</c:v>
                </c:pt>
                <c:pt idx="678">
                  <c:v>1.8444314427630299</c:v>
                </c:pt>
                <c:pt idx="679">
                  <c:v>1.8439923958598099</c:v>
                </c:pt>
                <c:pt idx="680">
                  <c:v>1.8435497217061201</c:v>
                </c:pt>
                <c:pt idx="681">
                  <c:v>1.8431034395020101</c:v>
                </c:pt>
                <c:pt idx="682">
                  <c:v>1.84265356834143</c:v>
                </c:pt>
                <c:pt idx="683">
                  <c:v>1.84220012721272</c:v>
                </c:pt>
                <c:pt idx="684">
                  <c:v>1.8417431349990001</c:v>
                </c:pt>
                <c:pt idx="685">
                  <c:v>1.84128261047863</c:v>
                </c:pt>
                <c:pt idx="686">
                  <c:v>1.8408185723256301</c:v>
                </c:pt>
                <c:pt idx="687">
                  <c:v>1.8403510391100999</c:v>
                </c:pt>
                <c:pt idx="688">
                  <c:v>1.8398800292987001</c:v>
                </c:pt>
                <c:pt idx="689">
                  <c:v>1.839405561255</c:v>
                </c:pt>
                <c:pt idx="690">
                  <c:v>1.8389276532400201</c:v>
                </c:pt>
                <c:pt idx="691">
                  <c:v>1.8384463234125501</c:v>
                </c:pt>
                <c:pt idx="692">
                  <c:v>1.8379615898296899</c:v>
                </c:pt>
                <c:pt idx="693">
                  <c:v>1.83747347044722</c:v>
                </c:pt>
                <c:pt idx="694">
                  <c:v>1.83698198312004</c:v>
                </c:pt>
                <c:pt idx="695">
                  <c:v>1.8364871456026399</c:v>
                </c:pt>
                <c:pt idx="696">
                  <c:v>1.8359889755495</c:v>
                </c:pt>
                <c:pt idx="697">
                  <c:v>1.8354874905155401</c:v>
                </c:pt>
                <c:pt idx="698">
                  <c:v>1.8349827079565499</c:v>
                </c:pt>
                <c:pt idx="699">
                  <c:v>1.8344746452296501</c:v>
                </c:pt>
                <c:pt idx="700">
                  <c:v>1.83396331959367</c:v>
                </c:pt>
                <c:pt idx="701">
                  <c:v>1.83344874820966</c:v>
                </c:pt>
                <c:pt idx="702">
                  <c:v>1.8329309481412499</c:v>
                </c:pt>
                <c:pt idx="703">
                  <c:v>1.83240993635515</c:v>
                </c:pt>
                <c:pt idx="704">
                  <c:v>1.8318857297215501</c:v>
                </c:pt>
                <c:pt idx="705">
                  <c:v>1.8313583450145501</c:v>
                </c:pt>
                <c:pt idx="706">
                  <c:v>1.83082779891261</c:v>
                </c:pt>
                <c:pt idx="707">
                  <c:v>1.8302941079989901</c:v>
                </c:pt>
                <c:pt idx="708">
                  <c:v>1.82975728876217</c:v>
                </c:pt>
                <c:pt idx="709">
                  <c:v>1.82921735759629</c:v>
                </c:pt>
                <c:pt idx="710">
                  <c:v>1.82867433080159</c:v>
                </c:pt>
                <c:pt idx="711">
                  <c:v>1.82812822458482</c:v>
                </c:pt>
                <c:pt idx="712">
                  <c:v>1.82757905505971</c:v>
                </c:pt>
                <c:pt idx="713">
                  <c:v>1.82702683824737</c:v>
                </c:pt>
                <c:pt idx="714">
                  <c:v>1.8264715900767401</c:v>
                </c:pt>
                <c:pt idx="715">
                  <c:v>1.825913326385</c:v>
                </c:pt>
                <c:pt idx="716">
                  <c:v>1.82535206291805</c:v>
                </c:pt>
                <c:pt idx="717">
                  <c:v>1.8247878153308701</c:v>
                </c:pt>
                <c:pt idx="718">
                  <c:v>1.82422059918802</c:v>
                </c:pt>
                <c:pt idx="719">
                  <c:v>1.8236504299640099</c:v>
                </c:pt>
                <c:pt idx="720">
                  <c:v>1.82307732304377</c:v>
                </c:pt>
                <c:pt idx="721">
                  <c:v>1.82250129372307</c:v>
                </c:pt>
                <c:pt idx="722">
                  <c:v>1.82192235720894</c:v>
                </c:pt>
                <c:pt idx="723">
                  <c:v>1.8213405286200799</c:v>
                </c:pt>
                <c:pt idx="724">
                  <c:v>1.82075582298732</c:v>
                </c:pt>
                <c:pt idx="725">
                  <c:v>1.8201682552540499</c:v>
                </c:pt>
                <c:pt idx="726">
                  <c:v>1.8195778402765901</c:v>
                </c:pt>
                <c:pt idx="727">
                  <c:v>1.81898459282467</c:v>
                </c:pt>
                <c:pt idx="728">
                  <c:v>1.8183885275818199</c:v>
                </c:pt>
                <c:pt idx="729">
                  <c:v>1.81778965914583</c:v>
                </c:pt>
                <c:pt idx="730">
                  <c:v>1.81718800202912</c:v>
                </c:pt>
                <c:pt idx="731">
                  <c:v>1.8165835706592</c:v>
                </c:pt>
                <c:pt idx="732">
                  <c:v>1.81597637937908</c:v>
                </c:pt>
                <c:pt idx="733">
                  <c:v>1.8153664424476901</c:v>
                </c:pt>
                <c:pt idx="734">
                  <c:v>1.8147537740402799</c:v>
                </c:pt>
                <c:pt idx="735">
                  <c:v>1.81413838824887</c:v>
                </c:pt>
                <c:pt idx="736">
                  <c:v>1.81352029908264</c:v>
                </c:pt>
                <c:pt idx="737">
                  <c:v>1.81289952046835</c:v>
                </c:pt>
                <c:pt idx="738">
                  <c:v>1.81227606625076</c:v>
                </c:pt>
                <c:pt idx="739">
                  <c:v>1.8116499501930701</c:v>
                </c:pt>
                <c:pt idx="740">
                  <c:v>1.81102118597726</c:v>
                </c:pt>
                <c:pt idx="741">
                  <c:v>1.81038978720458</c:v>
                </c:pt>
                <c:pt idx="742">
                  <c:v>1.8097557673959199</c:v>
                </c:pt>
                <c:pt idx="743">
                  <c:v>1.8091191399922</c:v>
                </c:pt>
                <c:pt idx="744">
                  <c:v>1.8084799183548499</c:v>
                </c:pt>
                <c:pt idx="745">
                  <c:v>1.8078381157661401</c:v>
                </c:pt>
                <c:pt idx="746">
                  <c:v>1.8071937454296301</c:v>
                </c:pt>
                <c:pt idx="747">
                  <c:v>1.8065468204705599</c:v>
                </c:pt>
                <c:pt idx="748">
                  <c:v>1.8058973539362599</c:v>
                </c:pt>
                <c:pt idx="749">
                  <c:v>1.80524535879654</c:v>
                </c:pt>
                <c:pt idx="750">
                  <c:v>1.8045908479441299</c:v>
                </c:pt>
                <c:pt idx="751">
                  <c:v>1.80393383419502</c:v>
                </c:pt>
                <c:pt idx="752">
                  <c:v>1.80327433028892</c:v>
                </c:pt>
                <c:pt idx="753">
                  <c:v>1.80261234888961</c:v>
                </c:pt>
                <c:pt idx="754">
                  <c:v>1.80194790258538</c:v>
                </c:pt>
                <c:pt idx="755">
                  <c:v>1.8012810038893701</c:v>
                </c:pt>
                <c:pt idx="756">
                  <c:v>1.8006116652400499</c:v>
                </c:pt>
                <c:pt idx="757">
                  <c:v>1.7999398990015101</c:v>
                </c:pt>
                <c:pt idx="758">
                  <c:v>1.7992657174639499</c:v>
                </c:pt>
                <c:pt idx="759">
                  <c:v>1.798589132844</c:v>
                </c:pt>
                <c:pt idx="760">
                  <c:v>1.7979101572851299</c:v>
                </c:pt>
                <c:pt idx="761">
                  <c:v>1.7972288028580801</c:v>
                </c:pt>
                <c:pt idx="762">
                  <c:v>1.7965450815611801</c:v>
                </c:pt>
                <c:pt idx="763">
                  <c:v>1.7958590053207699</c:v>
                </c:pt>
                <c:pt idx="764">
                  <c:v>1.79517058599162</c:v>
                </c:pt>
                <c:pt idx="765">
                  <c:v>1.79447983535724</c:v>
                </c:pt>
                <c:pt idx="766">
                  <c:v>1.7937867651303101</c:v>
                </c:pt>
                <c:pt idx="767">
                  <c:v>1.79309138695305</c:v>
                </c:pt>
                <c:pt idx="768">
                  <c:v>1.7923937123976299</c:v>
                </c:pt>
                <c:pt idx="769">
                  <c:v>1.79169375296647</c:v>
                </c:pt>
                <c:pt idx="770">
                  <c:v>1.7909915200927</c:v>
                </c:pt>
                <c:pt idx="771">
                  <c:v>1.7902870251405001</c:v>
                </c:pt>
                <c:pt idx="772">
                  <c:v>1.78958027940548</c:v>
                </c:pt>
                <c:pt idx="773">
                  <c:v>1.78887129411504</c:v>
                </c:pt>
                <c:pt idx="774">
                  <c:v>1.7881600804287501</c:v>
                </c:pt>
                <c:pt idx="775">
                  <c:v>1.78744664943875</c:v>
                </c:pt>
                <c:pt idx="776">
                  <c:v>1.7867310121700699</c:v>
                </c:pt>
                <c:pt idx="777">
                  <c:v>1.7860131795810199</c:v>
                </c:pt>
                <c:pt idx="778">
                  <c:v>1.78529316256357</c:v>
                </c:pt>
                <c:pt idx="779">
                  <c:v>1.7845709719437099</c:v>
                </c:pt>
                <c:pt idx="780">
                  <c:v>1.7838466184817801</c:v>
                </c:pt>
                <c:pt idx="781">
                  <c:v>1.78312011287289</c:v>
                </c:pt>
                <c:pt idx="782">
                  <c:v>1.78239146574722</c:v>
                </c:pt>
                <c:pt idx="783">
                  <c:v>1.7816606876704499</c:v>
                </c:pt>
                <c:pt idx="784">
                  <c:v>1.78092778914405</c:v>
                </c:pt>
                <c:pt idx="785">
                  <c:v>1.7801927806056701</c:v>
                </c:pt>
                <c:pt idx="786">
                  <c:v>1.7794556724295001</c:v>
                </c:pt>
                <c:pt idx="787">
                  <c:v>1.77871647492662</c:v>
                </c:pt>
                <c:pt idx="788">
                  <c:v>1.77797519834535</c:v>
                </c:pt>
                <c:pt idx="789">
                  <c:v>1.77723185287159</c:v>
                </c:pt>
                <c:pt idx="790">
                  <c:v>1.77648644862919</c:v>
                </c:pt>
                <c:pt idx="791">
                  <c:v>1.7757389956803</c:v>
                </c:pt>
                <c:pt idx="792">
                  <c:v>1.77498950402568</c:v>
                </c:pt>
                <c:pt idx="793">
                  <c:v>1.7742379836051201</c:v>
                </c:pt>
                <c:pt idx="794">
                  <c:v>1.7734844442977</c:v>
                </c:pt>
                <c:pt idx="795">
                  <c:v>1.7727288959221801</c:v>
                </c:pt>
                <c:pt idx="796">
                  <c:v>1.77197134823736</c:v>
                </c:pt>
                <c:pt idx="797">
                  <c:v>1.77121181094237</c:v>
                </c:pt>
                <c:pt idx="798">
                  <c:v>1.7704502936770501</c:v>
                </c:pt>
                <c:pt idx="799">
                  <c:v>1.7696868060222499</c:v>
                </c:pt>
                <c:pt idx="800">
                  <c:v>1.7689213575002201</c:v>
                </c:pt>
                <c:pt idx="801">
                  <c:v>1.7681539575748899</c:v>
                </c:pt>
                <c:pt idx="802">
                  <c:v>1.7673846156522499</c:v>
                </c:pt>
                <c:pt idx="803">
                  <c:v>1.7666133410806399</c:v>
                </c:pt>
                <c:pt idx="804">
                  <c:v>1.7658401431511099</c:v>
                </c:pt>
                <c:pt idx="805">
                  <c:v>1.76506503109774</c:v>
                </c:pt>
                <c:pt idx="806">
                  <c:v>1.76428801409797</c:v>
                </c:pt>
                <c:pt idx="807">
                  <c:v>1.76350910127293</c:v>
                </c:pt>
                <c:pt idx="808">
                  <c:v>1.76272830168775</c:v>
                </c:pt>
                <c:pt idx="809">
                  <c:v>1.7619456243519001</c:v>
                </c:pt>
                <c:pt idx="810">
                  <c:v>1.7611610782195199</c:v>
                </c:pt>
                <c:pt idx="811">
                  <c:v>1.7603746721897</c:v>
                </c:pt>
                <c:pt idx="812">
                  <c:v>1.7595864151068501</c:v>
                </c:pt>
                <c:pt idx="813">
                  <c:v>1.75879631576101</c:v>
                </c:pt>
                <c:pt idx="814">
                  <c:v>1.75800438288812</c:v>
                </c:pt>
                <c:pt idx="815">
                  <c:v>1.7572106251704001</c:v>
                </c:pt>
                <c:pt idx="816">
                  <c:v>1.7564150512366099</c:v>
                </c:pt>
                <c:pt idx="817">
                  <c:v>1.7556176696624</c:v>
                </c:pt>
                <c:pt idx="818">
                  <c:v>1.75481848897062</c:v>
                </c:pt>
                <c:pt idx="819">
                  <c:v>1.7540175176316</c:v>
                </c:pt>
                <c:pt idx="820">
                  <c:v>1.7532147640634801</c:v>
                </c:pt>
                <c:pt idx="821">
                  <c:v>1.75241023663253</c:v>
                </c:pt>
                <c:pt idx="822">
                  <c:v>1.7516039436534301</c:v>
                </c:pt>
                <c:pt idx="823">
                  <c:v>1.75079589338958</c:v>
                </c:pt>
                <c:pt idx="824">
                  <c:v>1.74998609405343</c:v>
                </c:pt>
                <c:pt idx="825">
                  <c:v>1.74917455380674</c:v>
                </c:pt>
                <c:pt idx="826">
                  <c:v>1.7483612807609199</c:v>
                </c:pt>
                <c:pt idx="827">
                  <c:v>1.7475462829773001</c:v>
                </c:pt>
                <c:pt idx="828">
                  <c:v>1.74672956846744</c:v>
                </c:pt>
                <c:pt idx="829">
                  <c:v>1.7459111451934399</c:v>
                </c:pt>
                <c:pt idx="830">
                  <c:v>1.74509102106821</c:v>
                </c:pt>
                <c:pt idx="831">
                  <c:v>1.7442692039557799</c:v>
                </c:pt>
                <c:pt idx="832">
                  <c:v>1.7434457016715801</c:v>
                </c:pt>
                <c:pt idx="833">
                  <c:v>1.74262052198276</c:v>
                </c:pt>
                <c:pt idx="834">
                  <c:v>1.74179367260844</c:v>
                </c:pt>
                <c:pt idx="835">
                  <c:v>1.7409651612200301</c:v>
                </c:pt>
                <c:pt idx="836">
                  <c:v>1.74013499544149</c:v>
                </c:pt>
                <c:pt idx="837">
                  <c:v>1.7393031828496699</c:v>
                </c:pt>
                <c:pt idx="838">
                  <c:v>1.7384697309745101</c:v>
                </c:pt>
                <c:pt idx="839">
                  <c:v>1.7376346472994</c:v>
                </c:pt>
                <c:pt idx="840">
                  <c:v>1.7367979392614199</c:v>
                </c:pt>
                <c:pt idx="841">
                  <c:v>1.73595961425165</c:v>
                </c:pt>
                <c:pt idx="842">
                  <c:v>1.73511967961541</c:v>
                </c:pt>
                <c:pt idx="843">
                  <c:v>1.73427814265258</c:v>
                </c:pt>
                <c:pt idx="844">
                  <c:v>1.73343501061785</c:v>
                </c:pt>
                <c:pt idx="845">
                  <c:v>1.732590290721</c:v>
                </c:pt>
                <c:pt idx="846">
                  <c:v>1.7317439901272</c:v>
                </c:pt>
                <c:pt idx="847">
                  <c:v>1.73089611595723</c:v>
                </c:pt>
                <c:pt idx="848">
                  <c:v>1.7300466752878001</c:v>
                </c:pt>
                <c:pt idx="849">
                  <c:v>1.7291956751518101</c:v>
                </c:pt>
                <c:pt idx="850">
                  <c:v>1.7283431225385999</c:v>
                </c:pt>
                <c:pt idx="851">
                  <c:v>1.72748902439425</c:v>
                </c:pt>
                <c:pt idx="852">
                  <c:v>1.7266333876218001</c:v>
                </c:pt>
                <c:pt idx="853">
                  <c:v>1.72577621908158</c:v>
                </c:pt>
                <c:pt idx="854">
                  <c:v>1.72491752559142</c:v>
                </c:pt>
                <c:pt idx="855">
                  <c:v>1.72405731392692</c:v>
                </c:pt>
                <c:pt idx="856">
                  <c:v>1.72319559082174</c:v>
                </c:pt>
                <c:pt idx="857">
                  <c:v>1.72233236296784</c:v>
                </c:pt>
                <c:pt idx="858">
                  <c:v>1.72146763701575</c:v>
                </c:pt>
                <c:pt idx="859">
                  <c:v>1.7206014195748101</c:v>
                </c:pt>
                <c:pt idx="860">
                  <c:v>1.7197337172134499</c:v>
                </c:pt>
                <c:pt idx="861">
                  <c:v>1.7188645364594299</c:v>
                </c:pt>
                <c:pt idx="862">
                  <c:v>1.7179938838001001</c:v>
                </c:pt>
                <c:pt idx="863">
                  <c:v>1.7171217656826601</c:v>
                </c:pt>
                <c:pt idx="864">
                  <c:v>1.7162481885143901</c:v>
                </c:pt>
                <c:pt idx="865">
                  <c:v>1.7153731586629299</c:v>
                </c:pt>
                <c:pt idx="866">
                  <c:v>1.71449668245652</c:v>
                </c:pt>
                <c:pt idx="867">
                  <c:v>1.7136187661842299</c:v>
                </c:pt>
                <c:pt idx="868">
                  <c:v>1.7127394160962299</c:v>
                </c:pt>
                <c:pt idx="869">
                  <c:v>1.71185863840403</c:v>
                </c:pt>
                <c:pt idx="870">
                  <c:v>1.7109764392807201</c:v>
                </c:pt>
                <c:pt idx="871">
                  <c:v>1.7100928248612399</c:v>
                </c:pt>
                <c:pt idx="872">
                  <c:v>1.70920780124258</c:v>
                </c:pt>
                <c:pt idx="873">
                  <c:v>1.70832137448403</c:v>
                </c:pt>
                <c:pt idx="874">
                  <c:v>1.70743355060748</c:v>
                </c:pt>
                <c:pt idx="875">
                  <c:v>1.70654433559756</c:v>
                </c:pt>
                <c:pt idx="876">
                  <c:v>1.7056537354019701</c:v>
                </c:pt>
                <c:pt idx="877">
                  <c:v>1.7047617559316699</c:v>
                </c:pt>
                <c:pt idx="878">
                  <c:v>1.70386840306112</c:v>
                </c:pt>
                <c:pt idx="879">
                  <c:v>1.70297368262848</c:v>
                </c:pt>
                <c:pt idx="880">
                  <c:v>1.7020776004324401</c:v>
                </c:pt>
                <c:pt idx="881">
                  <c:v>1.70118016222748</c:v>
                </c:pt>
                <c:pt idx="882">
                  <c:v>1.7002813737257201</c:v>
                </c:pt>
                <c:pt idx="883">
                  <c:v>1.6993812405972999</c:v>
                </c:pt>
                <c:pt idx="884">
                  <c:v>1.6984797684706201</c:v>
                </c:pt>
                <c:pt idx="885">
                  <c:v>1.6975769629325099</c:v>
                </c:pt>
                <c:pt idx="886">
                  <c:v>1.6966728295285001</c:v>
                </c:pt>
                <c:pt idx="887">
                  <c:v>1.6957673737629899</c:v>
                </c:pt>
                <c:pt idx="888">
                  <c:v>1.69486060109951</c:v>
                </c:pt>
                <c:pt idx="889">
                  <c:v>1.6939525169609</c:v>
                </c:pt>
                <c:pt idx="890">
                  <c:v>1.6930431267295301</c:v>
                </c:pt>
                <c:pt idx="891">
                  <c:v>1.69213243574754</c:v>
                </c:pt>
                <c:pt idx="892">
                  <c:v>1.691220449317</c:v>
                </c:pt>
                <c:pt idx="893">
                  <c:v>1.69030717270016</c:v>
                </c:pt>
                <c:pt idx="894">
                  <c:v>1.6893926111197199</c:v>
                </c:pt>
                <c:pt idx="895">
                  <c:v>1.6884767697596501</c:v>
                </c:pt>
                <c:pt idx="896">
                  <c:v>1.68755965376573</c:v>
                </c:pt>
                <c:pt idx="897">
                  <c:v>1.68664126824559</c:v>
                </c:pt>
                <c:pt idx="898">
                  <c:v>1.6857216182688399</c:v>
                </c:pt>
                <c:pt idx="899">
                  <c:v>1.68480070886735</c:v>
                </c:pt>
                <c:pt idx="900">
                  <c:v>1.6838785450353699</c:v>
                </c:pt>
                <c:pt idx="901">
                  <c:v>1.6829551317297999</c:v>
                </c:pt>
                <c:pt idx="902">
                  <c:v>1.68203047387033</c:v>
                </c:pt>
                <c:pt idx="903">
                  <c:v>1.6811045763396599</c:v>
                </c:pt>
                <c:pt idx="904">
                  <c:v>1.6801774439836901</c:v>
                </c:pt>
                <c:pt idx="905">
                  <c:v>1.6792490816116901</c:v>
                </c:pt>
                <c:pt idx="906">
                  <c:v>1.67831949399653</c:v>
                </c:pt>
                <c:pt idx="907">
                  <c:v>1.6773886858748399</c:v>
                </c:pt>
                <c:pt idx="908">
                  <c:v>1.6764566619472101</c:v>
                </c:pt>
                <c:pt idx="909">
                  <c:v>1.6755234268783801</c:v>
                </c:pt>
                <c:pt idx="910">
                  <c:v>1.6745889852974201</c:v>
                </c:pt>
                <c:pt idx="911">
                  <c:v>1.67365334179791</c:v>
                </c:pt>
                <c:pt idx="912">
                  <c:v>1.6727165009381399</c:v>
                </c:pt>
                <c:pt idx="913">
                  <c:v>1.6717784672412901</c:v>
                </c:pt>
                <c:pt idx="914">
                  <c:v>1.6708392451956</c:v>
                </c:pt>
                <c:pt idx="915">
                  <c:v>1.66989883925456</c:v>
                </c:pt>
                <c:pt idx="916">
                  <c:v>1.66895725383711</c:v>
                </c:pt>
                <c:pt idx="917">
                  <c:v>1.6680144933277601</c:v>
                </c:pt>
                <c:pt idx="918">
                  <c:v>1.66707056207686</c:v>
                </c:pt>
                <c:pt idx="919">
                  <c:v>1.6661254644007</c:v>
                </c:pt>
                <c:pt idx="920">
                  <c:v>1.6651792045817</c:v>
                </c:pt>
                <c:pt idx="921">
                  <c:v>1.6642317868686201</c:v>
                </c:pt>
                <c:pt idx="922">
                  <c:v>1.6632832154767101</c:v>
                </c:pt>
                <c:pt idx="923">
                  <c:v>1.66233349458789</c:v>
                </c:pt>
                <c:pt idx="924">
                  <c:v>1.6613826283509101</c:v>
                </c:pt>
                <c:pt idx="925">
                  <c:v>1.66043062088154</c:v>
                </c:pt>
                <c:pt idx="926">
                  <c:v>1.65947747626273</c:v>
                </c:pt>
                <c:pt idx="927">
                  <c:v>1.6585231985447799</c:v>
                </c:pt>
                <c:pt idx="928">
                  <c:v>1.65756779174553</c:v>
                </c:pt>
                <c:pt idx="929">
                  <c:v>1.6566112598504801</c:v>
                </c:pt>
                <c:pt idx="930">
                  <c:v>1.6556536068130101</c:v>
                </c:pt>
                <c:pt idx="931">
                  <c:v>1.65469483655452</c:v>
                </c:pt>
                <c:pt idx="932">
                  <c:v>1.6537349529646099</c:v>
                </c:pt>
                <c:pt idx="933">
                  <c:v>1.6527739599011999</c:v>
                </c:pt>
                <c:pt idx="934">
                  <c:v>1.65181186119075</c:v>
                </c:pt>
                <c:pt idx="935">
                  <c:v>1.6508486606284201</c:v>
                </c:pt>
                <c:pt idx="936">
                  <c:v>1.64988436197817</c:v>
                </c:pt>
                <c:pt idx="937">
                  <c:v>1.6489189689729999</c:v>
                </c:pt>
                <c:pt idx="938">
                  <c:v>1.64795248531506</c:v>
                </c:pt>
                <c:pt idx="939">
                  <c:v>1.6469849146758</c:v>
                </c:pt>
                <c:pt idx="940">
                  <c:v>1.6460162606962001</c:v>
                </c:pt>
                <c:pt idx="941">
                  <c:v>1.64504652698684</c:v>
                </c:pt>
                <c:pt idx="942">
                  <c:v>1.6440757171281</c:v>
                </c:pt>
                <c:pt idx="943">
                  <c:v>1.6431038346703399</c:v>
                </c:pt>
                <c:pt idx="944">
                  <c:v>1.64213088313399</c:v>
                </c:pt>
                <c:pt idx="945">
                  <c:v>1.64115686600976</c:v>
                </c:pt>
                <c:pt idx="946">
                  <c:v>1.64018178675879</c:v>
                </c:pt>
                <c:pt idx="947">
                  <c:v>1.63920564881275</c:v>
                </c:pt>
                <c:pt idx="948">
                  <c:v>1.63822845557407</c:v>
                </c:pt>
                <c:pt idx="949">
                  <c:v>1.63725021041603</c:v>
                </c:pt>
                <c:pt idx="950">
                  <c:v>1.6362709166829199</c:v>
                </c:pt>
                <c:pt idx="951">
                  <c:v>1.63529057769024</c:v>
                </c:pt>
                <c:pt idx="952">
                  <c:v>1.63430919672477</c:v>
                </c:pt>
                <c:pt idx="953">
                  <c:v>1.6333267770447799</c:v>
                </c:pt>
                <c:pt idx="954">
                  <c:v>1.63234332188016</c:v>
                </c:pt>
                <c:pt idx="955">
                  <c:v>1.63135883443253</c:v>
                </c:pt>
                <c:pt idx="956">
                  <c:v>1.63037331787547</c:v>
                </c:pt>
                <c:pt idx="957">
                  <c:v>1.6293867753545701</c:v>
                </c:pt>
                <c:pt idx="958">
                  <c:v>1.6283992099876301</c:v>
                </c:pt>
                <c:pt idx="959">
                  <c:v>1.6274106248647999</c:v>
                </c:pt>
                <c:pt idx="960">
                  <c:v>1.6264210230487199</c:v>
                </c:pt>
                <c:pt idx="961">
                  <c:v>1.62543040757464</c:v>
                </c:pt>
                <c:pt idx="962">
                  <c:v>1.6244387814505901</c:v>
                </c:pt>
                <c:pt idx="963">
                  <c:v>1.6234461476575199</c:v>
                </c:pt>
                <c:pt idx="964">
                  <c:v>1.62245250914939</c:v>
                </c:pt>
                <c:pt idx="965">
                  <c:v>1.62145786885341</c:v>
                </c:pt>
                <c:pt idx="966">
                  <c:v>1.6204622296700599</c:v>
                </c:pt>
                <c:pt idx="967">
                  <c:v>1.61946559447334</c:v>
                </c:pt>
                <c:pt idx="968">
                  <c:v>1.6184679661108201</c:v>
                </c:pt>
                <c:pt idx="969">
                  <c:v>1.61746934740383</c:v>
                </c:pt>
                <c:pt idx="970">
                  <c:v>1.6164697411475599</c:v>
                </c:pt>
                <c:pt idx="971">
                  <c:v>1.6154691501112399</c:v>
                </c:pt>
                <c:pt idx="972">
                  <c:v>1.61446757703823</c:v>
                </c:pt>
                <c:pt idx="973">
                  <c:v>1.6134650246461899</c:v>
                </c:pt>
                <c:pt idx="974">
                  <c:v>1.6124614956271801</c:v>
                </c:pt>
                <c:pt idx="975">
                  <c:v>1.6114569926478199</c:v>
                </c:pt>
                <c:pt idx="976">
                  <c:v>1.6104515183494399</c:v>
                </c:pt>
                <c:pt idx="977">
                  <c:v>1.60944507534814</c:v>
                </c:pt>
                <c:pt idx="978">
                  <c:v>1.608437666235</c:v>
                </c:pt>
                <c:pt idx="979">
                  <c:v>1.60742929357618</c:v>
                </c:pt>
                <c:pt idx="980">
                  <c:v>1.60641995991303</c:v>
                </c:pt>
                <c:pt idx="981">
                  <c:v>1.60540966776226</c:v>
                </c:pt>
                <c:pt idx="982">
                  <c:v>1.6043984196160499</c:v>
                </c:pt>
                <c:pt idx="983">
                  <c:v>1.6033862179421601</c:v>
                </c:pt>
                <c:pt idx="984">
                  <c:v>1.60237306518409</c:v>
                </c:pt>
                <c:pt idx="985">
                  <c:v>1.6013589637612</c:v>
                </c:pt>
                <c:pt idx="986">
                  <c:v>1.60034391606883</c:v>
                </c:pt>
                <c:pt idx="987">
                  <c:v>1.59932792447842</c:v>
                </c:pt>
                <c:pt idx="988">
                  <c:v>1.5983109913376401</c:v>
                </c:pt>
                <c:pt idx="989">
                  <c:v>1.5972931189705599</c:v>
                </c:pt>
                <c:pt idx="990">
                  <c:v>1.5962743096776799</c:v>
                </c:pt>
                <c:pt idx="991">
                  <c:v>1.5952545657361701</c:v>
                </c:pt>
                <c:pt idx="992">
                  <c:v>1.59423388939989</c:v>
                </c:pt>
                <c:pt idx="993">
                  <c:v>1.59321228289959</c:v>
                </c:pt>
                <c:pt idx="994">
                  <c:v>1.5921897484429901</c:v>
                </c:pt>
                <c:pt idx="995">
                  <c:v>1.59116628821492</c:v>
                </c:pt>
                <c:pt idx="996">
                  <c:v>1.5901419043774401</c:v>
                </c:pt>
                <c:pt idx="997">
                  <c:v>1.58911659906997</c:v>
                </c:pt>
                <c:pt idx="998">
                  <c:v>1.5880903744093999</c:v>
                </c:pt>
                <c:pt idx="999">
                  <c:v>1.5870632324902001</c:v>
                </c:pt>
                <c:pt idx="1000">
                  <c:v>1.58603517538459</c:v>
                </c:pt>
                <c:pt idx="1001">
                  <c:v>1.5850062051425999</c:v>
                </c:pt>
                <c:pt idx="1002">
                  <c:v>1.58397632379223</c:v>
                </c:pt>
                <c:pt idx="1003">
                  <c:v>1.5829455333395599</c:v>
                </c:pt>
                <c:pt idx="1004">
                  <c:v>1.58191383576886</c:v>
                </c:pt>
                <c:pt idx="1005">
                  <c:v>1.58088123304272</c:v>
                </c:pt>
                <c:pt idx="1006">
                  <c:v>1.57984772710217</c:v>
                </c:pt>
                <c:pt idx="1007">
                  <c:v>1.5788133198668</c:v>
                </c:pt>
                <c:pt idx="1008">
                  <c:v>1.57777801323485</c:v>
                </c:pt>
                <c:pt idx="1009">
                  <c:v>1.57674180908338</c:v>
                </c:pt>
                <c:pt idx="1010">
                  <c:v>1.57570470926835</c:v>
                </c:pt>
                <c:pt idx="1011">
                  <c:v>1.57466671562474</c:v>
                </c:pt>
                <c:pt idx="1012">
                  <c:v>1.5736278299666699</c:v>
                </c:pt>
                <c:pt idx="1013">
                  <c:v>1.5725880540875301</c:v>
                </c:pt>
                <c:pt idx="1014">
                  <c:v>1.57154738976008</c:v>
                </c:pt>
                <c:pt idx="1015">
                  <c:v>1.57050583873659</c:v>
                </c:pt>
                <c:pt idx="1016">
                  <c:v>1.5694634027489101</c:v>
                </c:pt>
                <c:pt idx="1017">
                  <c:v>1.5684200835086499</c:v>
                </c:pt>
                <c:pt idx="1018">
                  <c:v>1.5673758827072299</c:v>
                </c:pt>
                <c:pt idx="1019">
                  <c:v>1.56633080201605</c:v>
                </c:pt>
                <c:pt idx="1020">
                  <c:v>1.56528484308656</c:v>
                </c:pt>
                <c:pt idx="1021">
                  <c:v>1.5642380075504201</c:v>
                </c:pt>
                <c:pt idx="1022">
                  <c:v>1.5631902970195599</c:v>
                </c:pt>
                <c:pt idx="1023">
                  <c:v>1.56214171308637</c:v>
                </c:pt>
                <c:pt idx="1024">
                  <c:v>1.56109225732372</c:v>
                </c:pt>
                <c:pt idx="1025">
                  <c:v>1.5600419312851801</c:v>
                </c:pt>
                <c:pt idx="1026">
                  <c:v>1.55899073650502</c:v>
                </c:pt>
                <c:pt idx="1027">
                  <c:v>1.55793867449843</c:v>
                </c:pt>
                <c:pt idx="1028">
                  <c:v>1.55688574676157</c:v>
                </c:pt>
                <c:pt idx="1029">
                  <c:v>1.5558319547716899</c:v>
                </c:pt>
                <c:pt idx="1030">
                  <c:v>1.55477729998727</c:v>
                </c:pt>
                <c:pt idx="1031">
                  <c:v>1.5537217838481201</c:v>
                </c:pt>
                <c:pt idx="1032">
                  <c:v>1.55266540777548</c:v>
                </c:pt>
                <c:pt idx="1033">
                  <c:v>1.5516081731721501</c:v>
                </c:pt>
                <c:pt idx="1034">
                  <c:v>1.5505500814225901</c:v>
                </c:pt>
                <c:pt idx="1035">
                  <c:v>1.5494911338930599</c:v>
                </c:pt>
                <c:pt idx="1036">
                  <c:v>1.5484313319317</c:v>
                </c:pt>
                <c:pt idx="1037">
                  <c:v>1.5473706768686699</c:v>
                </c:pt>
                <c:pt idx="1038">
                  <c:v>1.5463091700162399</c:v>
                </c:pt>
                <c:pt idx="1039">
                  <c:v>1.5452468126689201</c:v>
                </c:pt>
                <c:pt idx="1040">
                  <c:v>1.5441836061035601</c:v>
                </c:pt>
                <c:pt idx="1041">
                  <c:v>1.5431195515795</c:v>
                </c:pt>
                <c:pt idx="1042">
                  <c:v>1.5420546503386201</c:v>
                </c:pt>
                <c:pt idx="1043">
                  <c:v>1.5409889036055</c:v>
                </c:pt>
                <c:pt idx="1044">
                  <c:v>1.5399223125875301</c:v>
                </c:pt>
                <c:pt idx="1045">
                  <c:v>1.538854878475</c:v>
                </c:pt>
                <c:pt idx="1046">
                  <c:v>1.5377866024412501</c:v>
                </c:pt>
                <c:pt idx="1047">
                  <c:v>1.5367174856427399</c:v>
                </c:pt>
                <c:pt idx="1048">
                  <c:v>1.5356475292192</c:v>
                </c:pt>
                <c:pt idx="1049">
                  <c:v>1.53457673429372</c:v>
                </c:pt>
                <c:pt idx="1050">
                  <c:v>1.53350510197288</c:v>
                </c:pt>
                <c:pt idx="1051">
                  <c:v>1.5324326333468601</c:v>
                </c:pt>
                <c:pt idx="1052">
                  <c:v>1.53135932948955</c:v>
                </c:pt>
                <c:pt idx="1053">
                  <c:v>1.5302851914586599</c:v>
                </c:pt>
                <c:pt idx="1054">
                  <c:v>1.52921022029585</c:v>
                </c:pt>
                <c:pt idx="1055">
                  <c:v>1.5281344170268301</c:v>
                </c:pt>
                <c:pt idx="1056">
                  <c:v>1.52705778266148</c:v>
                </c:pt>
                <c:pt idx="1057">
                  <c:v>1.5259803181939899</c:v>
                </c:pt>
                <c:pt idx="1058">
                  <c:v>1.5249020246029099</c:v>
                </c:pt>
                <c:pt idx="1059">
                  <c:v>1.5238229028513399</c:v>
                </c:pt>
                <c:pt idx="1060">
                  <c:v>1.5227429538870101</c:v>
                </c:pt>
                <c:pt idx="1061">
                  <c:v>1.5216621786423901</c:v>
                </c:pt>
                <c:pt idx="1062">
                  <c:v>1.5205805780348101</c:v>
                </c:pt>
                <c:pt idx="1063">
                  <c:v>1.5194981529666101</c:v>
                </c:pt>
                <c:pt idx="1064">
                  <c:v>1.51841490432522</c:v>
                </c:pt>
                <c:pt idx="1065">
                  <c:v>1.51733083298327</c:v>
                </c:pt>
                <c:pt idx="1066">
                  <c:v>1.51624593979874</c:v>
                </c:pt>
                <c:pt idx="1067">
                  <c:v>1.51516022561508</c:v>
                </c:pt>
                <c:pt idx="1068">
                  <c:v>1.5140736912613</c:v>
                </c:pt>
                <c:pt idx="1069">
                  <c:v>1.51298633755208</c:v>
                </c:pt>
                <c:pt idx="1070">
                  <c:v>1.51189816528795</c:v>
                </c:pt>
                <c:pt idx="1071">
                  <c:v>1.5108091752553601</c:v>
                </c:pt>
                <c:pt idx="1072">
                  <c:v>1.5097193682268</c:v>
                </c:pt>
                <c:pt idx="1073">
                  <c:v>1.5086287449609399</c:v>
                </c:pt>
                <c:pt idx="1074">
                  <c:v>1.5075373062027499</c:v>
                </c:pt>
                <c:pt idx="1075">
                  <c:v>1.50644505268361</c:v>
                </c:pt>
                <c:pt idx="1076">
                  <c:v>1.5053519851214501</c:v>
                </c:pt>
                <c:pt idx="1077">
                  <c:v>1.5042581042208401</c:v>
                </c:pt>
                <c:pt idx="1078">
                  <c:v>1.5031634106731599</c:v>
                </c:pt>
                <c:pt idx="1079">
                  <c:v>1.5020679051566801</c:v>
                </c:pt>
                <c:pt idx="1080">
                  <c:v>1.5009715883367201</c:v>
                </c:pt>
                <c:pt idx="1081">
                  <c:v>1.4998744608657399</c:v>
                </c:pt>
                <c:pt idx="1082">
                  <c:v>1.49877652338349</c:v>
                </c:pt>
                <c:pt idx="1083">
                  <c:v>1.4976777765171501</c:v>
                </c:pt>
                <c:pt idx="1084">
                  <c:v>1.49657822088143</c:v>
                </c:pt>
                <c:pt idx="1085">
                  <c:v>1.49547785707868</c:v>
                </c:pt>
                <c:pt idx="1086">
                  <c:v>1.4943766856990699</c:v>
                </c:pt>
                <c:pt idx="1087">
                  <c:v>1.49327470732071</c:v>
                </c:pt>
                <c:pt idx="1088">
                  <c:v>1.4921719225097101</c:v>
                </c:pt>
                <c:pt idx="1089">
                  <c:v>1.4910683318204301</c:v>
                </c:pt>
                <c:pt idx="1090">
                  <c:v>1.4899639357954899</c:v>
                </c:pt>
                <c:pt idx="1091">
                  <c:v>1.4888587349659901</c:v>
                </c:pt>
                <c:pt idx="1092">
                  <c:v>1.48775272985161</c:v>
                </c:pt>
                <c:pt idx="1093">
                  <c:v>1.4866459209607299</c:v>
                </c:pt>
                <c:pt idx="1094">
                  <c:v>1.48553830879059</c:v>
                </c:pt>
                <c:pt idx="1095">
                  <c:v>1.4844298938274201</c:v>
                </c:pt>
                <c:pt idx="1096">
                  <c:v>1.4833206765465601</c:v>
                </c:pt>
                <c:pt idx="1097">
                  <c:v>1.4822106574126199</c:v>
                </c:pt>
                <c:pt idx="1098">
                  <c:v>1.48109983687961</c:v>
                </c:pt>
                <c:pt idx="1099">
                  <c:v>1.47998821539106</c:v>
                </c:pt>
                <c:pt idx="1100">
                  <c:v>1.4788757933801999</c:v>
                </c:pt>
                <c:pt idx="1101">
                  <c:v>1.4777625712700799</c:v>
                </c:pt>
                <c:pt idx="1102">
                  <c:v>1.4766485494736801</c:v>
                </c:pt>
                <c:pt idx="1103">
                  <c:v>1.4755337283941401</c:v>
                </c:pt>
                <c:pt idx="1104">
                  <c:v>1.47441810842479</c:v>
                </c:pt>
                <c:pt idx="1105">
                  <c:v>1.4733016899494</c:v>
                </c:pt>
                <c:pt idx="1106">
                  <c:v>1.47218447334227</c:v>
                </c:pt>
                <c:pt idx="1107">
                  <c:v>1.47106645896838</c:v>
                </c:pt>
                <c:pt idx="1108">
                  <c:v>1.46994764718357</c:v>
                </c:pt>
                <c:pt idx="1109">
                  <c:v>1.4688280383346499</c:v>
                </c:pt>
                <c:pt idx="1110">
                  <c:v>1.4677076327595899</c:v>
                </c:pt>
                <c:pt idx="1111">
                  <c:v>1.4665864307876499</c:v>
                </c:pt>
                <c:pt idx="1112">
                  <c:v>1.4654644327395301</c:v>
                </c:pt>
                <c:pt idx="1113">
                  <c:v>1.4643416389275401</c:v>
                </c:pt>
                <c:pt idx="1114">
                  <c:v>1.4632180496557701</c:v>
                </c:pt>
                <c:pt idx="1115">
                  <c:v>1.4620936652201999</c:v>
                </c:pt>
                <c:pt idx="1116">
                  <c:v>1.46096848590891</c:v>
                </c:pt>
                <c:pt idx="1117">
                  <c:v>1.45984251200221</c:v>
                </c:pt>
                <c:pt idx="1118">
                  <c:v>1.45871574377284</c:v>
                </c:pt>
                <c:pt idx="1119">
                  <c:v>1.4575881814860601</c:v>
                </c:pt>
                <c:pt idx="1120">
                  <c:v>1.4564598253999199</c:v>
                </c:pt>
                <c:pt idx="1121">
                  <c:v>1.4553306757653199</c:v>
                </c:pt>
                <c:pt idx="1122">
                  <c:v>1.4542007328262501</c:v>
                </c:pt>
                <c:pt idx="1123">
                  <c:v>1.4530699968199601</c:v>
                </c:pt>
                <c:pt idx="1124">
                  <c:v>1.4519384679770699</c:v>
                </c:pt>
                <c:pt idx="1125">
                  <c:v>1.45080614652183</c:v>
                </c:pt>
                <c:pt idx="1126">
                  <c:v>1.44967303267221</c:v>
                </c:pt>
                <c:pt idx="1127">
                  <c:v>1.44853912664014</c:v>
                </c:pt>
                <c:pt idx="1128">
                  <c:v>1.4474044286316601</c:v>
                </c:pt>
                <c:pt idx="1129">
                  <c:v>1.4462689388471299</c:v>
                </c:pt>
                <c:pt idx="1130">
                  <c:v>1.4451326574813499</c:v>
                </c:pt>
                <c:pt idx="1131">
                  <c:v>1.44399558472381</c:v>
                </c:pt>
                <c:pt idx="1132">
                  <c:v>1.44285772075884</c:v>
                </c:pt>
                <c:pt idx="1133">
                  <c:v>1.4417190657658301</c:v>
                </c:pt>
                <c:pt idx="1134">
                  <c:v>1.4405796199193699</c:v>
                </c:pt>
                <c:pt idx="1135">
                  <c:v>1.4394393833895001</c:v>
                </c:pt>
                <c:pt idx="1136">
                  <c:v>1.4382983563418501</c:v>
                </c:pt>
                <c:pt idx="1137">
                  <c:v>1.43715653893788</c:v>
                </c:pt>
                <c:pt idx="1138">
                  <c:v>1.43601393133505</c:v>
                </c:pt>
                <c:pt idx="1139">
                  <c:v>1.43487053368704</c:v>
                </c:pt>
                <c:pt idx="1140">
                  <c:v>1.43372634614395</c:v>
                </c:pt>
                <c:pt idx="1141">
                  <c:v>1.4325813688525</c:v>
                </c:pt>
                <c:pt idx="1142">
                  <c:v>1.43143560195621</c:v>
                </c:pt>
                <c:pt idx="1143">
                  <c:v>1.43028904559567</c:v>
                </c:pt>
                <c:pt idx="1144">
                  <c:v>1.4291416999087201</c:v>
                </c:pt>
                <c:pt idx="1145">
                  <c:v>1.4279935650306399</c:v>
                </c:pt>
                <c:pt idx="1146">
                  <c:v>1.42684464109442</c:v>
                </c:pt>
                <c:pt idx="1147">
                  <c:v>1.4256949282309199</c:v>
                </c:pt>
                <c:pt idx="1148">
                  <c:v>1.42454442656916</c:v>
                </c:pt>
                <c:pt idx="1149">
                  <c:v>1.42339313623649</c:v>
                </c:pt>
                <c:pt idx="1150">
                  <c:v>1.42224105735883</c:v>
                </c:pt>
                <c:pt idx="1151">
                  <c:v>1.42108819006092</c:v>
                </c:pt>
                <c:pt idx="1152">
                  <c:v>1.41993453446653</c:v>
                </c:pt>
                <c:pt idx="1153">
                  <c:v>1.41878009069872</c:v>
                </c:pt>
                <c:pt idx="1154">
                  <c:v>1.41762485888005</c:v>
                </c:pt>
                <c:pt idx="1155">
                  <c:v>1.4164688391328399</c:v>
                </c:pt>
                <c:pt idx="1156">
                  <c:v>1.4153120315794201</c:v>
                </c:pt>
                <c:pt idx="1157">
                  <c:v>1.4141544363423399</c:v>
                </c:pt>
                <c:pt idx="1158">
                  <c:v>1.4129960535446699</c:v>
                </c:pt>
                <c:pt idx="1159">
                  <c:v>1.4118368833102399</c:v>
                </c:pt>
                <c:pt idx="1160">
                  <c:v>1.4106769257638601</c:v>
                </c:pt>
                <c:pt idx="1161">
                  <c:v>1.4095161810316299</c:v>
                </c:pt>
                <c:pt idx="1162">
                  <c:v>1.40835464924117</c:v>
                </c:pt>
                <c:pt idx="1163">
                  <c:v>1.4071923305219101</c:v>
                </c:pt>
                <c:pt idx="1164">
                  <c:v>1.4060292250053401</c:v>
                </c:pt>
                <c:pt idx="1165">
                  <c:v>1.40486533282528</c:v>
                </c:pt>
                <c:pt idx="1166">
                  <c:v>1.40370065411819</c:v>
                </c:pt>
                <c:pt idx="1167">
                  <c:v>1.4025351890234099</c:v>
                </c:pt>
                <c:pt idx="1168">
                  <c:v>1.4013689376834699</c:v>
                </c:pt>
                <c:pt idx="1169">
                  <c:v>1.40020190024436</c:v>
                </c:pt>
                <c:pt idx="1170">
                  <c:v>1.39903407685584</c:v>
                </c:pt>
                <c:pt idx="1171">
                  <c:v>1.3978654676717299</c:v>
                </c:pt>
                <c:pt idx="1172">
                  <c:v>1.3966960728502</c:v>
                </c:pt>
                <c:pt idx="1173">
                  <c:v>1.3955258925540599</c:v>
                </c:pt>
                <c:pt idx="1174">
                  <c:v>1.39435492695111</c:v>
                </c:pt>
                <c:pt idx="1175">
                  <c:v>1.39318317621442</c:v>
                </c:pt>
                <c:pt idx="1176">
                  <c:v>1.39201064052263</c:v>
                </c:pt>
                <c:pt idx="1177">
                  <c:v>1.3908373200603099</c:v>
                </c:pt>
                <c:pt idx="1178">
                  <c:v>1.38966321501826</c:v>
                </c:pt>
                <c:pt idx="1179">
                  <c:v>1.3884883255938401</c:v>
                </c:pt>
                <c:pt idx="1180">
                  <c:v>1.3873126519912899</c:v>
                </c:pt>
                <c:pt idx="1181">
                  <c:v>1.3861361944221</c:v>
                </c:pt>
                <c:pt idx="1182">
                  <c:v>1.3849589531052999</c:v>
                </c:pt>
                <c:pt idx="1183">
                  <c:v>1.3837809282678799</c:v>
                </c:pt>
                <c:pt idx="1184">
                  <c:v>1.38260212014505</c:v>
                </c:pt>
                <c:pt idx="1185">
                  <c:v>1.3814225289806801</c:v>
                </c:pt>
                <c:pt idx="1186">
                  <c:v>1.3802421550275901</c:v>
                </c:pt>
                <c:pt idx="1187">
                  <c:v>1.3790609985479301</c:v>
                </c:pt>
                <c:pt idx="1188">
                  <c:v>1.37787905981353</c:v>
                </c:pt>
                <c:pt idx="1189">
                  <c:v>1.3766963391063001</c:v>
                </c:pt>
                <c:pt idx="1190">
                  <c:v>1.3755128367185601</c:v>
                </c:pt>
                <c:pt idx="1191">
                  <c:v>1.3743285529535001</c:v>
                </c:pt>
                <c:pt idx="1192">
                  <c:v>1.3731434881255</c:v>
                </c:pt>
                <c:pt idx="1193">
                  <c:v>1.37195764256056</c:v>
                </c:pt>
                <c:pt idx="1194">
                  <c:v>1.37077101659669</c:v>
                </c:pt>
                <c:pt idx="1195">
                  <c:v>1.36958361058434</c:v>
                </c:pt>
                <c:pt idx="1196">
                  <c:v>1.36839542488676</c:v>
                </c:pt>
                <c:pt idx="1197">
                  <c:v>1.3672064598804801</c:v>
                </c:pt>
                <c:pt idx="1198">
                  <c:v>1.36601671595568</c:v>
                </c:pt>
                <c:pt idx="1199">
                  <c:v>1.3648261935166801</c:v>
                </c:pt>
                <c:pt idx="1200">
                  <c:v>1.3636348929822899</c:v>
                </c:pt>
                <c:pt idx="1201">
                  <c:v>1.3624428147863401</c:v>
                </c:pt>
                <c:pt idx="1202">
                  <c:v>1.36124995937807</c:v>
                </c:pt>
                <c:pt idx="1203">
                  <c:v>1.3600563272226101</c:v>
                </c:pt>
                <c:pt idx="1204">
                  <c:v>1.3588619188014499</c:v>
                </c:pt>
                <c:pt idx="1205">
                  <c:v>1.3576667346128599</c:v>
                </c:pt>
                <c:pt idx="1206">
                  <c:v>1.3564707751709399</c:v>
                </c:pt>
                <c:pt idx="1207">
                  <c:v>1.3552740409778199</c:v>
                </c:pt>
                <c:pt idx="1208">
                  <c:v>1.35407653250829</c:v>
                </c:pt>
                <c:pt idx="1209">
                  <c:v>1.35287825021791</c:v>
                </c:pt>
                <c:pt idx="1210">
                  <c:v>1.3516791945428299</c:v>
                </c:pt>
                <c:pt idx="1211">
                  <c:v>1.3504793658996199</c:v>
                </c:pt>
                <c:pt idx="1212">
                  <c:v>1.3492787646850799</c:v>
                </c:pt>
                <c:pt idx="1213">
                  <c:v>1.3480773912760999</c:v>
                </c:pt>
                <c:pt idx="1214">
                  <c:v>1.34687524602942</c:v>
                </c:pt>
                <c:pt idx="1215">
                  <c:v>1.34567232928152</c:v>
                </c:pt>
                <c:pt idx="1216">
                  <c:v>1.34446864134836</c:v>
                </c:pt>
                <c:pt idx="1217">
                  <c:v>1.34326418252528</c:v>
                </c:pt>
                <c:pt idx="1218">
                  <c:v>1.3420589530867</c:v>
                </c:pt>
                <c:pt idx="1219">
                  <c:v>1.3408529532860201</c:v>
                </c:pt>
                <c:pt idx="1220">
                  <c:v>1.3396461833553699</c:v>
                </c:pt>
                <c:pt idx="1221">
                  <c:v>1.3384386435054201</c:v>
                </c:pt>
                <c:pt idx="1222">
                  <c:v>1.3372303339251499</c:v>
                </c:pt>
                <c:pt idx="1223">
                  <c:v>1.3360212547816901</c:v>
                </c:pt>
                <c:pt idx="1224">
                  <c:v>1.33481140622006</c:v>
                </c:pt>
                <c:pt idx="1225">
                  <c:v>1.3336007883629599</c:v>
                </c:pt>
                <c:pt idx="1226">
                  <c:v>1.3323894013105799</c:v>
                </c:pt>
                <c:pt idx="1227">
                  <c:v>1.3311772451403101</c:v>
                </c:pt>
                <c:pt idx="1228">
                  <c:v>1.32996431990659</c:v>
                </c:pt>
                <c:pt idx="1229">
                  <c:v>1.3287506256405901</c:v>
                </c:pt>
                <c:pt idx="1230">
                  <c:v>1.3275361623500599</c:v>
                </c:pt>
                <c:pt idx="1231">
                  <c:v>1.32632093001899</c:v>
                </c:pt>
                <c:pt idx="1232">
                  <c:v>1.3251049286074601</c:v>
                </c:pt>
                <c:pt idx="1233">
                  <c:v>1.32388815805132</c:v>
                </c:pt>
                <c:pt idx="1234">
                  <c:v>1.3226706182619601</c:v>
                </c:pt>
                <c:pt idx="1235">
                  <c:v>1.3214523091260399</c:v>
                </c:pt>
                <c:pt idx="1236">
                  <c:v>1.32023323050524</c:v>
                </c:pt>
                <c:pt idx="1237">
                  <c:v>1.31901338223597</c:v>
                </c:pt>
                <c:pt idx="1238">
                  <c:v>1.3177927641291101</c:v>
                </c:pt>
                <c:pt idx="1239">
                  <c:v>1.31657137596972</c:v>
                </c:pt>
                <c:pt idx="1240">
                  <c:v>1.31534921751676</c:v>
                </c:pt>
                <c:pt idx="1241">
                  <c:v>1.31412628850281</c:v>
                </c:pt>
                <c:pt idx="1242">
                  <c:v>1.31290258863375</c:v>
                </c:pt>
                <c:pt idx="1243">
                  <c:v>1.31167811758848</c:v>
                </c:pt>
                <c:pt idx="1244">
                  <c:v>1.31045287501861</c:v>
                </c:pt>
                <c:pt idx="1245">
                  <c:v>1.3092268605481601</c:v>
                </c:pt>
                <c:pt idx="1246">
                  <c:v>1.3080000737732</c:v>
                </c:pt>
                <c:pt idx="1247">
                  <c:v>1.30677251426159</c:v>
                </c:pt>
                <c:pt idx="1248">
                  <c:v>1.3055441815526101</c:v>
                </c:pt>
                <c:pt idx="1249">
                  <c:v>1.3043150751566199</c:v>
                </c:pt>
                <c:pt idx="1250">
                  <c:v>1.3030851945547799</c:v>
                </c:pt>
                <c:pt idx="1251">
                  <c:v>1.30185453919862</c:v>
                </c:pt>
                <c:pt idx="1252">
                  <c:v>1.3006231085097399</c:v>
                </c:pt>
                <c:pt idx="1253">
                  <c:v>1.29939090187947</c:v>
                </c:pt>
                <c:pt idx="1254">
                  <c:v>1.29815791866844</c:v>
                </c:pt>
                <c:pt idx="1255">
                  <c:v>1.2969241582062701</c:v>
                </c:pt>
                <c:pt idx="1256">
                  <c:v>1.29568961979116</c:v>
                </c:pt>
                <c:pt idx="1257">
                  <c:v>1.2944543026895201</c:v>
                </c:pt>
                <c:pt idx="1258">
                  <c:v>1.2932182061355699</c:v>
                </c:pt>
                <c:pt idx="1259">
                  <c:v>1.2919813293309499</c:v>
                </c:pt>
                <c:pt idx="1260">
                  <c:v>1.2907436714442999</c:v>
                </c:pt>
                <c:pt idx="1261">
                  <c:v>1.2895052316108799</c:v>
                </c:pt>
                <c:pt idx="1262">
                  <c:v>1.2882660089321001</c:v>
                </c:pt>
                <c:pt idx="1263">
                  <c:v>1.2870260024751501</c:v>
                </c:pt>
                <c:pt idx="1264">
                  <c:v>1.2857852112725101</c:v>
                </c:pt>
                <c:pt idx="1265">
                  <c:v>1.28454363432154</c:v>
                </c:pt>
                <c:pt idx="1266">
                  <c:v>1.2833012705840401</c:v>
                </c:pt>
                <c:pt idx="1267">
                  <c:v>1.2820581189857401</c:v>
                </c:pt>
                <c:pt idx="1268">
                  <c:v>1.28081417841589</c:v>
                </c:pt>
                <c:pt idx="1269">
                  <c:v>1.2795694477267601</c:v>
                </c:pt>
                <c:pt idx="1270">
                  <c:v>1.27832392573313</c:v>
                </c:pt>
                <c:pt idx="1271">
                  <c:v>1.27707761121186</c:v>
                </c:pt>
                <c:pt idx="1272">
                  <c:v>1.2758305029013099</c:v>
                </c:pt>
                <c:pt idx="1273">
                  <c:v>1.2745825995008999</c:v>
                </c:pt>
                <c:pt idx="1274">
                  <c:v>1.2733338996705399</c:v>
                </c:pt>
                <c:pt idx="1275">
                  <c:v>1.2720844020301201</c:v>
                </c:pt>
                <c:pt idx="1276">
                  <c:v>1.27083410515897</c:v>
                </c:pt>
                <c:pt idx="1277">
                  <c:v>1.2695830075953101</c:v>
                </c:pt>
                <c:pt idx="1278">
                  <c:v>1.26833110783569</c:v>
                </c:pt>
                <c:pt idx="1279">
                  <c:v>1.2670784043344001</c:v>
                </c:pt>
                <c:pt idx="1280">
                  <c:v>1.2658248955029201</c:v>
                </c:pt>
                <c:pt idx="1281">
                  <c:v>1.2645705797093201</c:v>
                </c:pt>
                <c:pt idx="1282">
                  <c:v>1.26331545527765</c:v>
                </c:pt>
                <c:pt idx="1283">
                  <c:v>1.26205952048732</c:v>
                </c:pt>
                <c:pt idx="1284">
                  <c:v>1.26080277357249</c:v>
                </c:pt>
                <c:pt idx="1285">
                  <c:v>1.2595452127214199</c:v>
                </c:pt>
                <c:pt idx="1286">
                  <c:v>1.2582868360758399</c:v>
                </c:pt>
                <c:pt idx="1287">
                  <c:v>1.2570276417302699</c:v>
                </c:pt>
                <c:pt idx="1288">
                  <c:v>1.2557676277313601</c:v>
                </c:pt>
                <c:pt idx="1289">
                  <c:v>1.25450679207719</c:v>
                </c:pt>
                <c:pt idx="1290">
                  <c:v>1.2532451327165699</c:v>
                </c:pt>
                <c:pt idx="1291">
                  <c:v>1.25198264754837</c:v>
                </c:pt>
                <c:pt idx="1292">
                  <c:v>1.2507193344207199</c:v>
                </c:pt>
                <c:pt idx="1293">
                  <c:v>1.24945519113034</c:v>
                </c:pt>
                <c:pt idx="1294">
                  <c:v>1.2481902154217399</c:v>
                </c:pt>
                <c:pt idx="1295">
                  <c:v>1.2469244049864801</c:v>
                </c:pt>
                <c:pt idx="1296">
                  <c:v>1.24565775746237</c:v>
                </c:pt>
                <c:pt idx="1297">
                  <c:v>1.2443902704326899</c:v>
                </c:pt>
                <c:pt idx="1298">
                  <c:v>1.24312194142534</c:v>
                </c:pt>
                <c:pt idx="1299">
                  <c:v>1.2418527679120701</c:v>
                </c:pt>
                <c:pt idx="1300">
                  <c:v>1.2405827473075599</c:v>
                </c:pt>
                <c:pt idx="1301">
                  <c:v>1.23931187696863</c:v>
                </c:pt>
                <c:pt idx="1302">
                  <c:v>1.2380401541933199</c:v>
                </c:pt>
                <c:pt idx="1303">
                  <c:v>1.2367675762199899</c:v>
                </c:pt>
                <c:pt idx="1304">
                  <c:v>1.2354941402264501</c:v>
                </c:pt>
                <c:pt idx="1305">
                  <c:v>1.2342198433289799</c:v>
                </c:pt>
                <c:pt idx="1306">
                  <c:v>1.2329446825813899</c:v>
                </c:pt>
                <c:pt idx="1307">
                  <c:v>1.2316686549740801</c:v>
                </c:pt>
                <c:pt idx="1308">
                  <c:v>1.2303917574330201</c:v>
                </c:pt>
                <c:pt idx="1309">
                  <c:v>1.2291139868187599</c:v>
                </c:pt>
                <c:pt idx="1310">
                  <c:v>1.2278353399254101</c:v>
                </c:pt>
                <c:pt idx="1311">
                  <c:v>1.22655581347954</c:v>
                </c:pt>
                <c:pt idx="1312">
                  <c:v>1.22527540413919</c:v>
                </c:pt>
                <c:pt idx="1313">
                  <c:v>1.2239941084927199</c:v>
                </c:pt>
                <c:pt idx="1314">
                  <c:v>1.2227119230577099</c:v>
                </c:pt>
                <c:pt idx="1315">
                  <c:v>1.22142884427983</c:v>
                </c:pt>
                <c:pt idx="1316">
                  <c:v>1.22014486853169</c:v>
                </c:pt>
                <c:pt idx="1317">
                  <c:v>1.2188599921116401</c:v>
                </c:pt>
                <c:pt idx="1318">
                  <c:v>1.21757421124256</c:v>
                </c:pt>
                <c:pt idx="1319">
                  <c:v>1.2162875220706499</c:v>
                </c:pt>
                <c:pt idx="1320">
                  <c:v>1.21499992066415</c:v>
                </c:pt>
                <c:pt idx="1321">
                  <c:v>1.2137114030120599</c:v>
                </c:pt>
                <c:pt idx="1322">
                  <c:v>1.21242196502286</c:v>
                </c:pt>
                <c:pt idx="1323">
                  <c:v>1.21113160252312</c:v>
                </c:pt>
                <c:pt idx="1324">
                  <c:v>1.20984031125618</c:v>
                </c:pt>
                <c:pt idx="1325">
                  <c:v>1.2085480868807199</c:v>
                </c:pt>
                <c:pt idx="1326">
                  <c:v>1.20725492496936</c:v>
                </c:pt>
                <c:pt idx="1327">
                  <c:v>1.2059608210293</c:v>
                </c:pt>
                <c:pt idx="1328">
                  <c:v>1.20466577064828</c:v>
                </c:pt>
                <c:pt idx="1329">
                  <c:v>1.20336976950482</c:v>
                </c:pt>
                <c:pt idx="1330">
                  <c:v>1.2020728133480401</c:v>
                </c:pt>
                <c:pt idx="1331">
                  <c:v>1.2007748980003701</c:v>
                </c:pt>
                <c:pt idx="1332">
                  <c:v>1.1994760193594201</c:v>
                </c:pt>
                <c:pt idx="1333">
                  <c:v>1.1981761733999099</c:v>
                </c:pt>
                <c:pt idx="1334">
                  <c:v>1.19687535617563</c:v>
                </c:pt>
                <c:pt idx="1335">
                  <c:v>1.19557356382143</c:v>
                </c:pt>
                <c:pt idx="1336">
                  <c:v>1.19427079255526</c:v>
                </c:pt>
                <c:pt idx="1337">
                  <c:v>1.19296703868029</c:v>
                </c:pt>
                <c:pt idx="1338">
                  <c:v>1.19166229858698</c:v>
                </c:pt>
                <c:pt idx="1339">
                  <c:v>1.1903565687552899</c:v>
                </c:pt>
                <c:pt idx="1340">
                  <c:v>1.1890498457568699</c:v>
                </c:pt>
                <c:pt idx="1341">
                  <c:v>1.18774212625733</c:v>
                </c:pt>
                <c:pt idx="1342">
                  <c:v>1.1864334070185001</c:v>
                </c:pt>
                <c:pt idx="1343">
                  <c:v>1.18512368490081</c:v>
                </c:pt>
                <c:pt idx="1344">
                  <c:v>1.1838129568656699</c:v>
                </c:pt>
                <c:pt idx="1345">
                  <c:v>1.1825012199778699</c:v>
                </c:pt>
                <c:pt idx="1346">
                  <c:v>1.18118847140809</c:v>
                </c:pt>
                <c:pt idx="1347">
                  <c:v>1.17987470843537</c:v>
                </c:pt>
                <c:pt idx="1348">
                  <c:v>1.1785599284497299</c:v>
                </c:pt>
                <c:pt idx="1349">
                  <c:v>1.1772441289547599</c:v>
                </c:pt>
                <c:pt idx="1350">
                  <c:v>1.1759273075702601</c:v>
                </c:pt>
                <c:pt idx="1351">
                  <c:v>1.1746094620349601</c:v>
                </c:pt>
                <c:pt idx="1352">
                  <c:v>1.1732905902092601</c:v>
                </c:pt>
                <c:pt idx="1353">
                  <c:v>1.17197069007806</c:v>
                </c:pt>
                <c:pt idx="1354">
                  <c:v>1.1706497597535499</c:v>
                </c:pt>
                <c:pt idx="1355">
                  <c:v>1.1693277974781799</c:v>
                </c:pt>
                <c:pt idx="1356">
                  <c:v>1.16800480162751</c:v>
                </c:pt>
                <c:pt idx="1357">
                  <c:v>1.16668077071328</c:v>
                </c:pt>
                <c:pt idx="1358">
                  <c:v>1.1653557033863999</c:v>
                </c:pt>
                <c:pt idx="1359">
                  <c:v>1.1640295984400899</c:v>
                </c:pt>
                <c:pt idx="1360">
                  <c:v>1.1627024548129501</c:v>
                </c:pt>
                <c:pt idx="1361">
                  <c:v>1.16137427159219</c:v>
                </c:pt>
                <c:pt idx="1362">
                  <c:v>1.16004504801687</c:v>
                </c:pt>
                <c:pt idx="1363">
                  <c:v>1.15871478348117</c:v>
                </c:pt>
                <c:pt idx="1364">
                  <c:v>1.1573834775377201</c:v>
                </c:pt>
                <c:pt idx="1365">
                  <c:v>1.1560511299010201</c:v>
                </c:pt>
                <c:pt idx="1366">
                  <c:v>1.15471774045083</c:v>
                </c:pt>
                <c:pt idx="1367">
                  <c:v>1.15338330923569</c:v>
                </c:pt>
                <c:pt idx="1368">
                  <c:v>1.1520478364764399</c:v>
                </c:pt>
                <c:pt idx="1369">
                  <c:v>1.15071132256984</c:v>
                </c:pt>
                <c:pt idx="1370">
                  <c:v>1.1493737680921301</c:v>
                </c:pt>
                <c:pt idx="1371">
                  <c:v>1.1480351738028101</c:v>
                </c:pt>
                <c:pt idx="1372">
                  <c:v>1.1466955406482999</c:v>
                </c:pt>
                <c:pt idx="1373">
                  <c:v>1.1453548697657701</c:v>
                </c:pt>
                <c:pt idx="1374">
                  <c:v>1.14401316248697</c:v>
                </c:pt>
                <c:pt idx="1375">
                  <c:v>1.1426704203421001</c:v>
                </c:pt>
                <c:pt idx="1376">
                  <c:v>1.14132664506374</c:v>
                </c:pt>
                <c:pt idx="1377">
                  <c:v>1.13998183859086</c:v>
                </c:pt>
                <c:pt idx="1378">
                  <c:v>1.13863600307284</c:v>
                </c:pt>
                <c:pt idx="1379">
                  <c:v>1.13728914087352</c:v>
                </c:pt>
                <c:pt idx="1380">
                  <c:v>1.13594125457539</c:v>
                </c:pt>
                <c:pt idx="1381">
                  <c:v>1.1345923469836801</c:v>
                </c:pt>
                <c:pt idx="1382">
                  <c:v>1.13324242113065</c:v>
                </c:pt>
                <c:pt idx="1383">
                  <c:v>1.1318914802798501</c:v>
                </c:pt>
                <c:pt idx="1384">
                  <c:v>1.13053952793038</c:v>
                </c:pt>
                <c:pt idx="1385">
                  <c:v>1.1291865678213</c:v>
                </c:pt>
                <c:pt idx="1386">
                  <c:v>1.12783260393601</c:v>
                </c:pt>
                <c:pt idx="1387">
                  <c:v>1.1264776405066901</c:v>
                </c:pt>
                <c:pt idx="1388">
                  <c:v>1.1251216820187999</c:v>
                </c:pt>
                <c:pt idx="1389">
                  <c:v>1.12376473321559</c:v>
                </c:pt>
                <c:pt idx="1390">
                  <c:v>1.12240679910267</c:v>
                </c:pt>
                <c:pt idx="1391">
                  <c:v>1.12104788495264</c:v>
                </c:pt>
                <c:pt idx="1392">
                  <c:v>1.11968799630969</c:v>
                </c:pt>
                <c:pt idx="1393">
                  <c:v>1.1183271388706499</c:v>
                </c:pt>
                <c:pt idx="1394">
                  <c:v>1.1169653179775101</c:v>
                </c:pt>
                <c:pt idx="1395">
                  <c:v>1.1156025386645001</c:v>
                </c:pt>
                <c:pt idx="1396">
                  <c:v>1.11423880570408</c:v>
                </c:pt>
                <c:pt idx="1397">
                  <c:v>1.1128741236013</c:v>
                </c:pt>
                <c:pt idx="1398">
                  <c:v>1.1115084965904301</c:v>
                </c:pt>
                <c:pt idx="1399">
                  <c:v>1.11014192863149</c:v>
                </c:pt>
                <c:pt idx="1400">
                  <c:v>1.1087744234068599</c:v>
                </c:pt>
                <c:pt idx="1401">
                  <c:v>1.1074059843178701</c:v>
                </c:pt>
                <c:pt idx="1402">
                  <c:v>1.1060366144813301</c:v>
                </c:pt>
                <c:pt idx="1403">
                  <c:v>1.1046663167261399</c:v>
                </c:pt>
                <c:pt idx="1404">
                  <c:v>1.10329509358988</c:v>
                </c:pt>
                <c:pt idx="1405">
                  <c:v>1.10192294731533</c:v>
                </c:pt>
                <c:pt idx="1406">
                  <c:v>1.1005498798470801</c:v>
                </c:pt>
                <c:pt idx="1407">
                  <c:v>1.0991758928280599</c:v>
                </c:pt>
                <c:pt idx="1408">
                  <c:v>1.0978009875960699</c:v>
                </c:pt>
                <c:pt idx="1409">
                  <c:v>1.0964251651803301</c:v>
                </c:pt>
                <c:pt idx="1410">
                  <c:v>1.095048426298</c:v>
                </c:pt>
                <c:pt idx="1411">
                  <c:v>1.09367077135062</c:v>
                </c:pt>
                <c:pt idx="1412">
                  <c:v>1.0922922004206499</c:v>
                </c:pt>
                <c:pt idx="1413">
                  <c:v>1.09091271326787</c:v>
                </c:pt>
                <c:pt idx="1414">
                  <c:v>1.08953230932583</c:v>
                </c:pt>
                <c:pt idx="1415">
                  <c:v>1.08815098769824</c:v>
                </c:pt>
                <c:pt idx="1416">
                  <c:v>1.08676874715535</c:v>
                </c:pt>
                <c:pt idx="1417">
                  <c:v>1.0853855861302599</c:v>
                </c:pt>
                <c:pt idx="1418">
                  <c:v>1.0840015027152401</c:v>
                </c:pt>
                <c:pt idx="1419">
                  <c:v>1.0826164946579899</c:v>
                </c:pt>
                <c:pt idx="1420">
                  <c:v>1.08123055935785</c:v>
                </c:pt>
                <c:pt idx="1421">
                  <c:v>1.0798436938620199</c:v>
                </c:pt>
                <c:pt idx="1422">
                  <c:v>1.0784558948616501</c:v>
                </c:pt>
                <c:pt idx="1423">
                  <c:v>1.0770671586879501</c:v>
                </c:pt>
                <c:pt idx="1424">
                  <c:v>1.0756774813082199</c:v>
                </c:pt>
                <c:pt idx="1425">
                  <c:v>1.0742868583218601</c:v>
                </c:pt>
                <c:pt idx="1426">
                  <c:v>1.0728952849562601</c:v>
                </c:pt>
                <c:pt idx="1427">
                  <c:v>1.0715027560627099</c:v>
                </c:pt>
                <c:pt idx="1428">
                  <c:v>1.0701092661122</c:v>
                </c:pt>
                <c:pt idx="1429">
                  <c:v>1.06871480919114</c:v>
                </c:pt>
                <c:pt idx="1430">
                  <c:v>1.0673193789970901</c:v>
                </c:pt>
                <c:pt idx="1431">
                  <c:v>1.0659229688343499</c:v>
                </c:pt>
                <c:pt idx="1432">
                  <c:v>1.0645255716094899</c:v>
                </c:pt>
                <c:pt idx="1433">
                  <c:v>1.06312717982684</c:v>
                </c:pt>
                <c:pt idx="1434">
                  <c:v>1.0617277855838601</c:v>
                </c:pt>
                <c:pt idx="1435">
                  <c:v>1.0603273805664799</c:v>
                </c:pt>
                <c:pt idx="1436">
                  <c:v>1.0589259560478499</c:v>
                </c:pt>
                <c:pt idx="1437">
                  <c:v>1.05752350289349</c:v>
                </c:pt>
                <c:pt idx="1438">
                  <c:v>1.05612001155443</c:v>
                </c:pt>
                <c:pt idx="1439">
                  <c:v>1.0547154720615</c:v>
                </c:pt>
                <c:pt idx="1440">
                  <c:v>1.05330987402023</c:v>
                </c:pt>
                <c:pt idx="1441">
                  <c:v>1.0519032066056699</c:v>
                </c:pt>
                <c:pt idx="1442">
                  <c:v>1.0504954587703901</c:v>
                </c:pt>
                <c:pt idx="1443">
                  <c:v>1.0490866198978299</c:v>
                </c:pt>
                <c:pt idx="1444">
                  <c:v>1.0476766796881001</c:v>
                </c:pt>
                <c:pt idx="1445">
                  <c:v>1.0462656281114699</c:v>
                </c:pt>
                <c:pt idx="1446">
                  <c:v>1.0448534554119899</c:v>
                </c:pt>
                <c:pt idx="1447">
                  <c:v>1.0434401521086401</c:v>
                </c:pt>
                <c:pt idx="1448">
                  <c:v>1.0420257089967599</c:v>
                </c:pt>
                <c:pt idx="1449">
                  <c:v>1.0406101171492499</c:v>
                </c:pt>
                <c:pt idx="1450">
                  <c:v>1.03919336791872</c:v>
                </c:pt>
                <c:pt idx="1451">
                  <c:v>1.0377754529415999</c:v>
                </c:pt>
                <c:pt idx="1452">
                  <c:v>1.0363563641392</c:v>
                </c:pt>
                <c:pt idx="1453">
                  <c:v>1.0349360937188099</c:v>
                </c:pt>
                <c:pt idx="1454">
                  <c:v>1.0335146341750501</c:v>
                </c:pt>
                <c:pt idx="1455">
                  <c:v>1.0320919782912099</c:v>
                </c:pt>
                <c:pt idx="1456">
                  <c:v>1.0306681191406699</c:v>
                </c:pt>
                <c:pt idx="1457">
                  <c:v>1.0292430500881999</c:v>
                </c:pt>
                <c:pt idx="1458">
                  <c:v>1.0278167647913501</c:v>
                </c:pt>
                <c:pt idx="1459">
                  <c:v>1.0263892572018001</c:v>
                </c:pt>
                <c:pt idx="1460">
                  <c:v>1.0249605215666799</c:v>
                </c:pt>
                <c:pt idx="1461">
                  <c:v>1.02353055242998</c:v>
                </c:pt>
                <c:pt idx="1462">
                  <c:v>1.02209934463382</c:v>
                </c:pt>
                <c:pt idx="1463">
                  <c:v>1.02066689331982</c:v>
                </c:pt>
                <c:pt idx="1464">
                  <c:v>1.01923319393041</c:v>
                </c:pt>
                <c:pt idx="1465">
                  <c:v>1.0177982422101599</c:v>
                </c:pt>
                <c:pt idx="1466">
                  <c:v>1.0163620342070401</c:v>
                </c:pt>
                <c:pt idx="1467">
                  <c:v>1.01492456627379</c:v>
                </c:pt>
                <c:pt idx="1468">
                  <c:v>1.01348583506912</c:v>
                </c:pt>
                <c:pt idx="1469">
                  <c:v>1.01204583755903</c:v>
                </c:pt>
                <c:pt idx="1470">
                  <c:v>1.01060457101803</c:v>
                </c:pt>
                <c:pt idx="1471">
                  <c:v>1.0091620330304101</c:v>
                </c:pt>
                <c:pt idx="1472">
                  <c:v>1.00771822149146</c:v>
                </c:pt>
                <c:pt idx="1473">
                  <c:v>1.00627313460863</c:v>
                </c:pt>
                <c:pt idx="1474">
                  <c:v>1.00482677090279</c:v>
                </c:pt>
                <c:pt idx="1475">
                  <c:v>1.0033791292093599</c:v>
                </c:pt>
                <c:pt idx="1476">
                  <c:v>1.0019302086794799</c:v>
                </c:pt>
                <c:pt idx="1477">
                  <c:v>1.0004800087811301</c:v>
                </c:pt>
                <c:pt idx="1478">
                  <c:v>0.99902852930025698</c:v>
                </c:pt>
                <c:pt idx="1479">
                  <c:v>0.99757577034187805</c:v>
                </c:pt>
                <c:pt idx="1480">
                  <c:v>0.99612173233113199</c:v>
                </c:pt>
                <c:pt idx="1481">
                  <c:v>0.99466641601434402</c:v>
                </c:pt>
                <c:pt idx="1482">
                  <c:v>0.99320982246005396</c:v>
                </c:pt>
                <c:pt idx="1483">
                  <c:v>0.99175195306001795</c:v>
                </c:pt>
                <c:pt idx="1484">
                  <c:v>0.99029280953019705</c:v>
                </c:pt>
                <c:pt idx="1485">
                  <c:v>0.98883239391170197</c:v>
                </c:pt>
                <c:pt idx="1486">
                  <c:v>0.98737070849807995</c:v>
                </c:pt>
                <c:pt idx="1487">
                  <c:v>0.98590775560853705</c:v>
                </c:pt>
                <c:pt idx="1488">
                  <c:v>0.98444353762880199</c:v>
                </c:pt>
                <c:pt idx="1489">
                  <c:v>0.98297805702734198</c:v>
                </c:pt>
                <c:pt idx="1490">
                  <c:v>0.98151131635424205</c:v>
                </c:pt>
                <c:pt idx="1491">
                  <c:v>0.98004331824096602</c:v>
                </c:pt>
                <c:pt idx="1492">
                  <c:v>0.97857406540007996</c:v>
                </c:pt>
                <c:pt idx="1493">
                  <c:v>0.97710356062496995</c:v>
                </c:pt>
                <c:pt idx="1494">
                  <c:v>0.97563180678955197</c:v>
                </c:pt>
                <c:pt idx="1495">
                  <c:v>0.97415880684797695</c:v>
                </c:pt>
                <c:pt idx="1496">
                  <c:v>0.972684563834331</c:v>
                </c:pt>
                <c:pt idx="1497">
                  <c:v>0.97120908086232505</c:v>
                </c:pt>
                <c:pt idx="1498">
                  <c:v>0.96973236112498296</c:v>
                </c:pt>
                <c:pt idx="1499">
                  <c:v>0.96825440789432404</c:v>
                </c:pt>
                <c:pt idx="1500">
                  <c:v>0.96677522452103204</c:v>
                </c:pt>
                <c:pt idx="1501">
                  <c:v>0.96529481443413001</c:v>
                </c:pt>
                <c:pt idx="1502">
                  <c:v>0.96381318114063996</c:v>
                </c:pt>
                <c:pt idx="1503">
                  <c:v>0.96233032822523801</c:v>
                </c:pt>
                <c:pt idx="1504">
                  <c:v>0.96084625934991297</c:v>
                </c:pt>
                <c:pt idx="1505">
                  <c:v>0.959360978253601</c:v>
                </c:pt>
                <c:pt idx="1506">
                  <c:v>0.95787448875183601</c:v>
                </c:pt>
                <c:pt idx="1507">
                  <c:v>0.956386794736378</c:v>
                </c:pt>
                <c:pt idx="1508">
                  <c:v>0.95489790017484799</c:v>
                </c:pt>
                <c:pt idx="1509">
                  <c:v>0.95340780911034295</c:v>
                </c:pt>
                <c:pt idx="1510">
                  <c:v>0.95191652566106699</c:v>
                </c:pt>
                <c:pt idx="1511">
                  <c:v>0.95042405401993202</c:v>
                </c:pt>
                <c:pt idx="1512">
                  <c:v>0.94893039845417804</c:v>
                </c:pt>
                <c:pt idx="1513">
                  <c:v>0.94743556330496903</c:v>
                </c:pt>
                <c:pt idx="1514">
                  <c:v>0.94593955298699495</c:v>
                </c:pt>
                <c:pt idx="1515">
                  <c:v>0.94444237198806502</c:v>
                </c:pt>
                <c:pt idx="1516">
                  <c:v>0.94294402487582896</c:v>
                </c:pt>
                <c:pt idx="1517">
                  <c:v>0.94144451638585303</c:v>
                </c:pt>
                <c:pt idx="1518">
                  <c:v>0.93994385144992898</c:v>
                </c:pt>
                <c:pt idx="1519">
                  <c:v>0.93844203517422897</c:v>
                </c:pt>
                <c:pt idx="1520">
                  <c:v>0.93693907283894495</c:v>
                </c:pt>
                <c:pt idx="1521">
                  <c:v>0.93543496988576502</c:v>
                </c:pt>
                <c:pt idx="1522">
                  <c:v>0.93392973186944395</c:v>
                </c:pt>
                <c:pt idx="1523">
                  <c:v>0.93242336446268004</c:v>
                </c:pt>
                <c:pt idx="1524">
                  <c:v>0.93091587346077198</c:v>
                </c:pt>
                <c:pt idx="1525">
                  <c:v>0.92940726478135505</c:v>
                </c:pt>
                <c:pt idx="1526">
                  <c:v>0.92789754446433204</c:v>
                </c:pt>
                <c:pt idx="1527">
                  <c:v>0.92638671867179501</c:v>
                </c:pt>
                <c:pt idx="1528">
                  <c:v>0.92487479368794701</c:v>
                </c:pt>
                <c:pt idx="1529">
                  <c:v>0.92336177591902502</c:v>
                </c:pt>
                <c:pt idx="1530">
                  <c:v>0.92184767189321604</c:v>
                </c:pt>
                <c:pt idx="1531">
                  <c:v>0.92033248826057801</c:v>
                </c:pt>
                <c:pt idx="1532">
                  <c:v>0.91881621945050096</c:v>
                </c:pt>
                <c:pt idx="1533">
                  <c:v>0.91729886926629101</c:v>
                </c:pt>
                <c:pt idx="1534">
                  <c:v>0.91578044738014097</c:v>
                </c:pt>
                <c:pt idx="1535">
                  <c:v>0.91426096081983099</c:v>
                </c:pt>
                <c:pt idx="1536">
                  <c:v>0.91274041685797103</c:v>
                </c:pt>
                <c:pt idx="1537">
                  <c:v>0.91121882289942102</c:v>
                </c:pt>
                <c:pt idx="1538">
                  <c:v>0.90969618648357997</c:v>
                </c:pt>
                <c:pt idx="1539">
                  <c:v>0.90817251528365395</c:v>
                </c:pt>
                <c:pt idx="1540">
                  <c:v>0.90664781710596898</c:v>
                </c:pt>
                <c:pt idx="1541">
                  <c:v>0.90512209988929304</c:v>
                </c:pt>
                <c:pt idx="1542">
                  <c:v>0.90359537170413695</c:v>
                </c:pt>
                <c:pt idx="1543">
                  <c:v>0.90206764075205903</c:v>
                </c:pt>
                <c:pt idx="1544">
                  <c:v>0.900538915364963</c:v>
                </c:pt>
                <c:pt idx="1545">
                  <c:v>0.899009204004389</c:v>
                </c:pt>
                <c:pt idx="1546">
                  <c:v>0.89747851526080102</c:v>
                </c:pt>
                <c:pt idx="1547">
                  <c:v>0.89594685785287098</c:v>
                </c:pt>
                <c:pt idx="1548">
                  <c:v>0.89441424062675401</c:v>
                </c:pt>
                <c:pt idx="1549">
                  <c:v>0.89288067255536196</c:v>
                </c:pt>
                <c:pt idx="1550">
                  <c:v>0.89134616273763401</c:v>
                </c:pt>
                <c:pt idx="1551">
                  <c:v>0.88981072039780096</c:v>
                </c:pt>
                <c:pt idx="1552">
                  <c:v>0.88827435488464002</c:v>
                </c:pt>
                <c:pt idx="1553">
                  <c:v>0.88673707567073901</c:v>
                </c:pt>
                <c:pt idx="1554">
                  <c:v>0.88519889235174098</c:v>
                </c:pt>
                <c:pt idx="1555">
                  <c:v>0.88365981464559695</c:v>
                </c:pt>
                <c:pt idx="1556">
                  <c:v>0.88211985239180801</c:v>
                </c:pt>
                <c:pt idx="1557">
                  <c:v>0.88057901555066798</c:v>
                </c:pt>
                <c:pt idx="1558">
                  <c:v>0.87903731420249898</c:v>
                </c:pt>
                <c:pt idx="1559">
                  <c:v>0.87749475854688297</c:v>
                </c:pt>
                <c:pt idx="1560">
                  <c:v>0.87595135890189901</c:v>
                </c:pt>
                <c:pt idx="1561">
                  <c:v>0.874407125703344</c:v>
                </c:pt>
                <c:pt idx="1562">
                  <c:v>0.87286206950396195</c:v>
                </c:pt>
                <c:pt idx="1563">
                  <c:v>0.87131620097265905</c:v>
                </c:pt>
                <c:pt idx="1564">
                  <c:v>0.86976953089373299</c:v>
                </c:pt>
                <c:pt idx="1565">
                  <c:v>0.868222070166076</c:v>
                </c:pt>
                <c:pt idx="1566">
                  <c:v>0.86667382980240204</c:v>
                </c:pt>
                <c:pt idx="1567">
                  <c:v>0.865124820928444</c:v>
                </c:pt>
                <c:pt idx="1568">
                  <c:v>0.863575054782176</c:v>
                </c:pt>
                <c:pt idx="1569">
                  <c:v>0.86202454271300899</c:v>
                </c:pt>
                <c:pt idx="1570">
                  <c:v>0.86047329618097201</c:v>
                </c:pt>
                <c:pt idx="1571">
                  <c:v>0.85892132675547295</c:v>
                </c:pt>
                <c:pt idx="1572">
                  <c:v>0.85736864611434305</c:v>
                </c:pt>
                <c:pt idx="1573">
                  <c:v>0.85581526604313296</c:v>
                </c:pt>
                <c:pt idx="1574">
                  <c:v>0.85426119843431003</c:v>
                </c:pt>
                <c:pt idx="1575">
                  <c:v>0.85270645528644695</c:v>
                </c:pt>
                <c:pt idx="1576">
                  <c:v>0.85115104870341296</c:v>
                </c:pt>
                <c:pt idx="1577">
                  <c:v>0.84959499089356305</c:v>
                </c:pt>
                <c:pt idx="1578">
                  <c:v>0.84803829416892595</c:v>
                </c:pt>
                <c:pt idx="1579">
                  <c:v>0.84648097094439501</c:v>
                </c:pt>
                <c:pt idx="1580">
                  <c:v>0.84492303373691102</c:v>
                </c:pt>
                <c:pt idx="1581">
                  <c:v>0.84336449516464895</c:v>
                </c:pt>
                <c:pt idx="1582">
                  <c:v>0.84180536794620997</c:v>
                </c:pt>
                <c:pt idx="1583">
                  <c:v>0.84024566489979902</c:v>
                </c:pt>
                <c:pt idx="1584">
                  <c:v>0.83868539894241301</c:v>
                </c:pt>
                <c:pt idx="1585">
                  <c:v>0.83712458308902904</c:v>
                </c:pt>
                <c:pt idx="1586">
                  <c:v>0.83556323045178804</c:v>
                </c:pt>
                <c:pt idx="1587">
                  <c:v>0.83400135423917598</c:v>
                </c:pt>
                <c:pt idx="1588">
                  <c:v>0.83243896775521597</c:v>
                </c:pt>
                <c:pt idx="1589">
                  <c:v>0.83087608439865202</c:v>
                </c:pt>
                <c:pt idx="1590">
                  <c:v>0.82931271766197501</c:v>
                </c:pt>
                <c:pt idx="1591">
                  <c:v>0.82774888108609401</c:v>
                </c:pt>
                <c:pt idx="1592">
                  <c:v>0.82618458817150497</c:v>
                </c:pt>
                <c:pt idx="1593">
                  <c:v>0.82461985240296398</c:v>
                </c:pt>
                <c:pt idx="1594">
                  <c:v>0.82305468725345499</c:v>
                </c:pt>
                <c:pt idx="1595">
                  <c:v>0.82148910618393201</c:v>
                </c:pt>
                <c:pt idx="1596">
                  <c:v>0.81992312264330502</c:v>
                </c:pt>
                <c:pt idx="1597">
                  <c:v>0.81835675006839603</c:v>
                </c:pt>
                <c:pt idx="1598">
                  <c:v>0.81679000188390005</c:v>
                </c:pt>
                <c:pt idx="1599">
                  <c:v>0.81522289150233296</c:v>
                </c:pt>
                <c:pt idx="1600">
                  <c:v>0.81365543232397497</c:v>
                </c:pt>
                <c:pt idx="1601">
                  <c:v>0.81208763773680404</c:v>
                </c:pt>
                <c:pt idx="1602">
                  <c:v>0.810519521116429</c:v>
                </c:pt>
                <c:pt idx="1603">
                  <c:v>0.80895109582601099</c:v>
                </c:pt>
                <c:pt idx="1604">
                  <c:v>0.80738237521618195</c:v>
                </c:pt>
                <c:pt idx="1605">
                  <c:v>0.805813372624956</c:v>
                </c:pt>
                <c:pt idx="1606">
                  <c:v>0.80424410137763402</c:v>
                </c:pt>
                <c:pt idx="1607">
                  <c:v>0.80267457478670501</c:v>
                </c:pt>
                <c:pt idx="1608">
                  <c:v>0.80110480615173696</c:v>
                </c:pt>
                <c:pt idx="1609">
                  <c:v>0.79953480875926897</c:v>
                </c:pt>
                <c:pt idx="1610">
                  <c:v>0.79796459588269597</c:v>
                </c:pt>
                <c:pt idx="1611">
                  <c:v>0.79639418078221402</c:v>
                </c:pt>
                <c:pt idx="1612">
                  <c:v>0.794823576707399</c:v>
                </c:pt>
                <c:pt idx="1613">
                  <c:v>0.79325279689960104</c:v>
                </c:pt>
                <c:pt idx="1614">
                  <c:v>0.79168185459089302</c:v>
                </c:pt>
                <c:pt idx="1615">
                  <c:v>0.79011076300398697</c:v>
                </c:pt>
                <c:pt idx="1616">
                  <c:v>0.78853953535219001</c:v>
                </c:pt>
                <c:pt idx="1617">
                  <c:v>0.78696818483935504</c:v>
                </c:pt>
                <c:pt idx="1618">
                  <c:v>0.78539672465982802</c:v>
                </c:pt>
                <c:pt idx="1619">
                  <c:v>0.78382516799839197</c:v>
                </c:pt>
                <c:pt idx="1620">
                  <c:v>0.78225352803020998</c:v>
                </c:pt>
                <c:pt idx="1621">
                  <c:v>0.78068181792076796</c:v>
                </c:pt>
                <c:pt idx="1622">
                  <c:v>0.77911005082581097</c:v>
                </c:pt>
                <c:pt idx="1623">
                  <c:v>0.77753823989128701</c:v>
                </c:pt>
                <c:pt idx="1624">
                  <c:v>0.77596639825327596</c:v>
                </c:pt>
                <c:pt idx="1625">
                  <c:v>0.77439453903793098</c:v>
                </c:pt>
                <c:pt idx="1626">
                  <c:v>0.77282267536141103</c:v>
                </c:pt>
                <c:pt idx="1627">
                  <c:v>0.77125082032981096</c:v>
                </c:pt>
                <c:pt idx="1628">
                  <c:v>0.76967898703909898</c:v>
                </c:pt>
                <c:pt idx="1629">
                  <c:v>0.76810718857504801</c:v>
                </c:pt>
                <c:pt idx="1630">
                  <c:v>0.76653543801316404</c:v>
                </c:pt>
                <c:pt idx="1631">
                  <c:v>0.76496374841862202</c:v>
                </c:pt>
                <c:pt idx="1632">
                  <c:v>0.763392132846194</c:v>
                </c:pt>
                <c:pt idx="1633">
                  <c:v>0.76182060434018395</c:v>
                </c:pt>
                <c:pt idx="1634">
                  <c:v>0.76024917593435704</c:v>
                </c:pt>
                <c:pt idx="1635">
                  <c:v>0.75867786065187504</c:v>
                </c:pt>
                <c:pt idx="1636">
                  <c:v>0.75710667150523003</c:v>
                </c:pt>
                <c:pt idx="1637">
                  <c:v>0.75553562149617304</c:v>
                </c:pt>
                <c:pt idx="1638">
                  <c:v>0.75396472361565703</c:v>
                </c:pt>
                <c:pt idx="1639">
                  <c:v>0.75239399084376901</c:v>
                </c:pt>
                <c:pt idx="1640">
                  <c:v>0.75082343614966895</c:v>
                </c:pt>
                <c:pt idx="1641">
                  <c:v>0.74925307249152995</c:v>
                </c:pt>
                <c:pt idx="1642">
                  <c:v>0.74768291281647903</c:v>
                </c:pt>
                <c:pt idx="1643">
                  <c:v>0.746112970060543</c:v>
                </c:pt>
                <c:pt idx="1644">
                  <c:v>0.74454325714858804</c:v>
                </c:pt>
                <c:pt idx="1645">
                  <c:v>0.74297378699427596</c:v>
                </c:pt>
                <c:pt idx="1646">
                  <c:v>0.74140457250001002</c:v>
                </c:pt>
                <c:pt idx="1647">
                  <c:v>0.73983562655688795</c:v>
                </c:pt>
                <c:pt idx="1648">
                  <c:v>0.73826696204466202</c:v>
                </c:pt>
                <c:pt idx="1649">
                  <c:v>0.73669859183169295</c:v>
                </c:pt>
                <c:pt idx="1650">
                  <c:v>0.73513052877492002</c:v>
                </c:pt>
                <c:pt idx="1651">
                  <c:v>0.73356278571982303</c:v>
                </c:pt>
                <c:pt idx="1652">
                  <c:v>0.73199537550039195</c:v>
                </c:pt>
                <c:pt idx="1653">
                  <c:v>0.73042831093910698</c:v>
                </c:pt>
                <c:pt idx="1654">
                  <c:v>0.72886160484690998</c:v>
                </c:pt>
                <c:pt idx="1655">
                  <c:v>0.72729527002319505</c:v>
                </c:pt>
                <c:pt idx="1656">
                  <c:v>0.72572931925578898</c:v>
                </c:pt>
                <c:pt idx="1657">
                  <c:v>0.72416376532095095</c:v>
                </c:pt>
                <c:pt idx="1658">
                  <c:v>0.72259862098336503</c:v>
                </c:pt>
                <c:pt idx="1659">
                  <c:v>0.72103389899615</c:v>
                </c:pt>
                <c:pt idx="1660">
                  <c:v>0.71946961210085802</c:v>
                </c:pt>
                <c:pt idx="1661">
                  <c:v>0.71790577302750302</c:v>
                </c:pt>
                <c:pt idx="1662">
                  <c:v>0.71634239449456705</c:v>
                </c:pt>
                <c:pt idx="1663">
                  <c:v>0.714779489209042</c:v>
                </c:pt>
                <c:pt idx="1664">
                  <c:v>0.71321706986645195</c:v>
                </c:pt>
                <c:pt idx="1665">
                  <c:v>0.711655149150899</c:v>
                </c:pt>
                <c:pt idx="1666">
                  <c:v>0.71009373973511303</c:v>
                </c:pt>
                <c:pt idx="1667">
                  <c:v>0.70853285428050405</c:v>
                </c:pt>
                <c:pt idx="1668">
                  <c:v>0.70697250543722601</c:v>
                </c:pt>
                <c:pt idx="1669">
                  <c:v>0.70541270584424598</c:v>
                </c:pt>
                <c:pt idx="1670">
                  <c:v>0.70385346812942995</c:v>
                </c:pt>
                <c:pt idx="1671">
                  <c:v>0.70229480490962304</c:v>
                </c:pt>
                <c:pt idx="1672">
                  <c:v>0.700736728790751</c:v>
                </c:pt>
                <c:pt idx="1673">
                  <c:v>0.699179252367923</c:v>
                </c:pt>
                <c:pt idx="1674">
                  <c:v>0.697622388225551</c:v>
                </c:pt>
                <c:pt idx="1675">
                  <c:v>0.69606614893747099</c:v>
                </c:pt>
                <c:pt idx="1676">
                  <c:v>0.69451054706708204</c:v>
                </c:pt>
                <c:pt idx="1677">
                  <c:v>0.69295559516748695</c:v>
                </c:pt>
                <c:pt idx="1678">
                  <c:v>0.69140130578165404</c:v>
                </c:pt>
                <c:pt idx="1679">
                  <c:v>0.68984769144258395</c:v>
                </c:pt>
                <c:pt idx="1680">
                  <c:v>0.68829476467348505</c:v>
                </c:pt>
                <c:pt idx="1681">
                  <c:v>0.68674253798797003</c:v>
                </c:pt>
                <c:pt idx="1682">
                  <c:v>0.68519102389025499</c:v>
                </c:pt>
                <c:pt idx="1683">
                  <c:v>0.68364023487537895</c:v>
                </c:pt>
                <c:pt idx="1684">
                  <c:v>0.68209018343067895</c:v>
                </c:pt>
                <c:pt idx="1685">
                  <c:v>0.68054088205536001</c:v>
                </c:pt>
                <c:pt idx="1686">
                  <c:v>0.67899234325325897</c:v>
                </c:pt>
                <c:pt idx="1687">
                  <c:v>0.67744457951729198</c:v>
                </c:pt>
                <c:pt idx="1688">
                  <c:v>0.67589760333430904</c:v>
                </c:pt>
                <c:pt idx="1689">
                  <c:v>0.67435142718486596</c:v>
                </c:pt>
                <c:pt idx="1690">
                  <c:v>0.67280606354297501</c:v>
                </c:pt>
                <c:pt idx="1691">
                  <c:v>0.67126152487586399</c:v>
                </c:pt>
                <c:pt idx="1692">
                  <c:v>0.66971782364372601</c:v>
                </c:pt>
                <c:pt idx="1693">
                  <c:v>0.66817497229947298</c:v>
                </c:pt>
                <c:pt idx="1694">
                  <c:v>0.66663298328849196</c:v>
                </c:pt>
                <c:pt idx="1695">
                  <c:v>0.66509186904839301</c:v>
                </c:pt>
                <c:pt idx="1696">
                  <c:v>0.66355164200876104</c:v>
                </c:pt>
                <c:pt idx="1697">
                  <c:v>0.66201231459090704</c:v>
                </c:pt>
                <c:pt idx="1698">
                  <c:v>0.66047389920761801</c:v>
                </c:pt>
                <c:pt idx="1699">
                  <c:v>0.658936408262905</c:v>
                </c:pt>
                <c:pt idx="1700">
                  <c:v>0.65739985415175095</c:v>
                </c:pt>
                <c:pt idx="1701">
                  <c:v>0.65586424925985998</c:v>
                </c:pt>
                <c:pt idx="1702">
                  <c:v>0.65432960596340695</c:v>
                </c:pt>
                <c:pt idx="1703">
                  <c:v>0.652795936628777</c:v>
                </c:pt>
                <c:pt idx="1704">
                  <c:v>0.65126325361231996</c:v>
                </c:pt>
                <c:pt idx="1705">
                  <c:v>0.64973156926009301</c:v>
                </c:pt>
                <c:pt idx="1706">
                  <c:v>0.64820089590760299</c:v>
                </c:pt>
                <c:pt idx="1707">
                  <c:v>0.64667124587955804</c:v>
                </c:pt>
                <c:pt idx="1708">
                  <c:v>0.64514263148960604</c:v>
                </c:pt>
                <c:pt idx="1709">
                  <c:v>0.64361506504008203</c:v>
                </c:pt>
                <c:pt idx="1710">
                  <c:v>0.64208855882175198</c:v>
                </c:pt>
                <c:pt idx="1711">
                  <c:v>0.64056312511355695</c:v>
                </c:pt>
                <c:pt idx="1712">
                  <c:v>0.63903877618235305</c:v>
                </c:pt>
                <c:pt idx="1713">
                  <c:v>0.63751552428265901</c:v>
                </c:pt>
                <c:pt idx="1714">
                  <c:v>0.63599338165639796</c:v>
                </c:pt>
                <c:pt idx="1715">
                  <c:v>0.634472360532638</c:v>
                </c:pt>
                <c:pt idx="1716">
                  <c:v>0.63295247312733705</c:v>
                </c:pt>
                <c:pt idx="1717">
                  <c:v>0.63143373164308503</c:v>
                </c:pt>
                <c:pt idx="1718">
                  <c:v>0.62991614826884401</c:v>
                </c:pt>
                <c:pt idx="1719">
                  <c:v>0.62839973517969405</c:v>
                </c:pt>
                <c:pt idx="1720">
                  <c:v>0.62688450453657296</c:v>
                </c:pt>
                <c:pt idx="1721">
                  <c:v>0.62537046848601896</c:v>
                </c:pt>
                <c:pt idx="1722">
                  <c:v>0.62385763915991399</c:v>
                </c:pt>
                <c:pt idx="1723">
                  <c:v>0.62234602867522604</c:v>
                </c:pt>
                <c:pt idx="1724">
                  <c:v>0.620835649133747</c:v>
                </c:pt>
                <c:pt idx="1725">
                  <c:v>0.61932651262184302</c:v>
                </c:pt>
                <c:pt idx="1726">
                  <c:v>0.61781863121019098</c:v>
                </c:pt>
                <c:pt idx="1727">
                  <c:v>0.616312016953522</c:v>
                </c:pt>
                <c:pt idx="1728">
                  <c:v>0.61480668189036802</c:v>
                </c:pt>
                <c:pt idx="1729">
                  <c:v>0.61330263804279905</c:v>
                </c:pt>
                <c:pt idx="1730">
                  <c:v>0.61179989741617102</c:v>
                </c:pt>
                <c:pt idx="1731">
                  <c:v>0.61029847199887099</c:v>
                </c:pt>
                <c:pt idx="1732">
                  <c:v>0.60879837376205204</c:v>
                </c:pt>
                <c:pt idx="1733">
                  <c:v>0.60729961465938997</c:v>
                </c:pt>
                <c:pt idx="1734">
                  <c:v>0.60580220662681605</c:v>
                </c:pt>
                <c:pt idx="1735">
                  <c:v>0.60430616158227002</c:v>
                </c:pt>
                <c:pt idx="1736">
                  <c:v>0.60281149142544199</c:v>
                </c:pt>
                <c:pt idx="1737">
                  <c:v>0.60131820803752001</c:v>
                </c:pt>
                <c:pt idx="1738">
                  <c:v>0.59982632328093199</c:v>
                </c:pt>
                <c:pt idx="1739">
                  <c:v>0.59833584899909797</c:v>
                </c:pt>
                <c:pt idx="1740">
                  <c:v>0.59684679701617405</c:v>
                </c:pt>
                <c:pt idx="1741">
                  <c:v>0.59535917913680103</c:v>
                </c:pt>
                <c:pt idx="1742">
                  <c:v>0.59387300714585001</c:v>
                </c:pt>
                <c:pt idx="1743">
                  <c:v>0.59238829280817595</c:v>
                </c:pt>
                <c:pt idx="1744">
                  <c:v>0.59090504786836395</c:v>
                </c:pt>
                <c:pt idx="1745">
                  <c:v>0.58942328405047995</c:v>
                </c:pt>
                <c:pt idx="1746">
                  <c:v>0.58794301305782104</c:v>
                </c:pt>
                <c:pt idx="1747">
                  <c:v>0.58646424657266805</c:v>
                </c:pt>
                <c:pt idx="1748">
                  <c:v>0.58498699625603501</c:v>
                </c:pt>
                <c:pt idx="1749">
                  <c:v>0.58351127374742695</c:v>
                </c:pt>
                <c:pt idx="1750">
                  <c:v>0.58203709066458797</c:v>
                </c:pt>
                <c:pt idx="1751">
                  <c:v>0.580564458603259</c:v>
                </c:pt>
                <c:pt idx="1752">
                  <c:v>0.57909338913692998</c:v>
                </c:pt>
                <c:pt idx="1753">
                  <c:v>0.57762389381660095</c:v>
                </c:pt>
                <c:pt idx="1754">
                  <c:v>0.57615598417053404</c:v>
                </c:pt>
                <c:pt idx="1755">
                  <c:v>0.57468967170401297</c:v>
                </c:pt>
                <c:pt idx="1756">
                  <c:v>0.57322496789910304</c:v>
                </c:pt>
                <c:pt idx="1757">
                  <c:v>0.57176188421440699</c:v>
                </c:pt>
                <c:pt idx="1758">
                  <c:v>0.57030043208482994</c:v>
                </c:pt>
                <c:pt idx="1759">
                  <c:v>0.56884062292133897</c:v>
                </c:pt>
                <c:pt idx="1760">
                  <c:v>0.56738246811072302</c:v>
                </c:pt>
                <c:pt idx="1761">
                  <c:v>0.56592597901536201</c:v>
                </c:pt>
                <c:pt idx="1762">
                  <c:v>0.56447116697298505</c:v>
                </c:pt>
                <c:pt idx="1763">
                  <c:v>0.56301804329644101</c:v>
                </c:pt>
                <c:pt idx="1764">
                  <c:v>0.56156661927346396</c:v>
                </c:pt>
                <c:pt idx="1765">
                  <c:v>0.56011690616643794</c:v>
                </c:pt>
                <c:pt idx="1766">
                  <c:v>0.55866891521216899</c:v>
                </c:pt>
                <c:pt idx="1767">
                  <c:v>0.55722265762165601</c:v>
                </c:pt>
                <c:pt idx="1768">
                  <c:v>0.55577814457985797</c:v>
                </c:pt>
                <c:pt idx="1769">
                  <c:v>0.55433538724547105</c:v>
                </c:pt>
                <c:pt idx="1770">
                  <c:v>0.55289439675069596</c:v>
                </c:pt>
                <c:pt idx="1771">
                  <c:v>0.55145518420102202</c:v>
                </c:pt>
                <c:pt idx="1772">
                  <c:v>0.55001776067499297</c:v>
                </c:pt>
                <c:pt idx="1773">
                  <c:v>0.54858213722399096</c:v>
                </c:pt>
                <c:pt idx="1774">
                  <c:v>0.54714832487201304</c:v>
                </c:pt>
                <c:pt idx="1775">
                  <c:v>0.54571633461545199</c:v>
                </c:pt>
                <c:pt idx="1776">
                  <c:v>0.54428617742287499</c:v>
                </c:pt>
                <c:pt idx="1777">
                  <c:v>0.54285786423480997</c:v>
                </c:pt>
                <c:pt idx="1778">
                  <c:v>0.54143140596352701</c:v>
                </c:pt>
                <c:pt idx="1779">
                  <c:v>0.54000681349282298</c:v>
                </c:pt>
                <c:pt idx="1780">
                  <c:v>0.53858409767781001</c:v>
                </c:pt>
                <c:pt idx="1781">
                  <c:v>0.53716326934470204</c:v>
                </c:pt>
                <c:pt idx="1782">
                  <c:v>0.53574433929060805</c:v>
                </c:pt>
                <c:pt idx="1783">
                  <c:v>0.53432731828331503</c:v>
                </c:pt>
                <c:pt idx="1784">
                  <c:v>0.53291221706109104</c:v>
                </c:pt>
                <c:pt idx="1785">
                  <c:v>0.53149904633246803</c:v>
                </c:pt>
                <c:pt idx="1786">
                  <c:v>0.53008781677604699</c:v>
                </c:pt>
                <c:pt idx="1787">
                  <c:v>0.52867853904028705</c:v>
                </c:pt>
                <c:pt idx="1788">
                  <c:v>0.52727122374330804</c:v>
                </c:pt>
                <c:pt idx="1789">
                  <c:v>0.52586588147269098</c:v>
                </c:pt>
                <c:pt idx="1790">
                  <c:v>0.52446252278527505</c:v>
                </c:pt>
                <c:pt idx="1791">
                  <c:v>0.52306115820696497</c:v>
                </c:pt>
                <c:pt idx="1792">
                  <c:v>0.521661798232535</c:v>
                </c:pt>
                <c:pt idx="1793">
                  <c:v>0.52026445332543103</c:v>
                </c:pt>
                <c:pt idx="1794">
                  <c:v>0.51886913391758405</c:v>
                </c:pt>
                <c:pt idx="1795">
                  <c:v>0.51747585040921495</c:v>
                </c:pt>
                <c:pt idx="1796">
                  <c:v>0.51608461316864895</c:v>
                </c:pt>
                <c:pt idx="1797">
                  <c:v>0.51469543253212402</c:v>
                </c:pt>
                <c:pt idx="1798">
                  <c:v>0.51330831880361005</c:v>
                </c:pt>
                <c:pt idx="1799">
                  <c:v>0.51192328225462003</c:v>
                </c:pt>
                <c:pt idx="1800">
                  <c:v>0.51054033312403202</c:v>
                </c:pt>
                <c:pt idx="1801">
                  <c:v>0.50915948161790203</c:v>
                </c:pt>
                <c:pt idx="1802">
                  <c:v>0.50778073790929401</c:v>
                </c:pt>
                <c:pt idx="1803">
                  <c:v>0.506404112138094</c:v>
                </c:pt>
                <c:pt idx="1804">
                  <c:v>0.50502961441083905</c:v>
                </c:pt>
                <c:pt idx="1805">
                  <c:v>0.50365725480054202</c:v>
                </c:pt>
                <c:pt idx="1806">
                  <c:v>0.50228704334651797</c:v>
                </c:pt>
                <c:pt idx="1807">
                  <c:v>0.50091899005421803</c:v>
                </c:pt>
                <c:pt idx="1808">
                  <c:v>0.499553104895053</c:v>
                </c:pt>
                <c:pt idx="1809">
                  <c:v>0.498189397806236</c:v>
                </c:pt>
                <c:pt idx="1810">
                  <c:v>0.49682787869060802</c:v>
                </c:pt>
                <c:pt idx="1811">
                  <c:v>0.49546855741647899</c:v>
                </c:pt>
                <c:pt idx="1812">
                  <c:v>0.49411144381746902</c:v>
                </c:pt>
                <c:pt idx="1813">
                  <c:v>0.49275654769234001</c:v>
                </c:pt>
                <c:pt idx="1814">
                  <c:v>0.49140387880484498</c:v>
                </c:pt>
                <c:pt idx="1815">
                  <c:v>0.490053446883569</c:v>
                </c:pt>
                <c:pt idx="1816">
                  <c:v>0.48870526162177302</c:v>
                </c:pt>
                <c:pt idx="1817">
                  <c:v>0.48735933267724502</c:v>
                </c:pt>
                <c:pt idx="1818">
                  <c:v>0.48601566967214499</c:v>
                </c:pt>
                <c:pt idx="1819">
                  <c:v>0.48467428219285602</c:v>
                </c:pt>
                <c:pt idx="1820">
                  <c:v>0.48333517978984197</c:v>
                </c:pt>
                <c:pt idx="1821">
                  <c:v>0.48199837197749501</c:v>
                </c:pt>
                <c:pt idx="1822">
                  <c:v>0.48066386823399498</c:v>
                </c:pt>
                <c:pt idx="1823">
                  <c:v>0.47933167800116899</c:v>
                </c:pt>
                <c:pt idx="1824">
                  <c:v>0.47800181068435099</c:v>
                </c:pt>
                <c:pt idx="1825">
                  <c:v>0.47667427565223802</c:v>
                </c:pt>
                <c:pt idx="1826">
                  <c:v>0.47534908223676098</c:v>
                </c:pt>
                <c:pt idx="1827">
                  <c:v>0.47402623973278701</c:v>
                </c:pt>
                <c:pt idx="1828">
                  <c:v>0.47270575738819798</c:v>
                </c:pt>
                <c:pt idx="1829">
                  <c:v>0.47138764439217301</c:v>
                </c:pt>
                <c:pt idx="1830">
                  <c:v>0.470071909879553</c:v>
                </c:pt>
                <c:pt idx="1831">
                  <c:v>0.46875856293121498</c:v>
                </c:pt>
                <c:pt idx="1832">
                  <c:v>0.46744761257412498</c:v>
                </c:pt>
                <c:pt idx="1833">
                  <c:v>0.46613906778142</c:v>
                </c:pt>
                <c:pt idx="1834">
                  <c:v>0.464832937472482</c:v>
                </c:pt>
                <c:pt idx="1835">
                  <c:v>0.46352923051303002</c:v>
                </c:pt>
                <c:pt idx="1836">
                  <c:v>0.46222795571520098</c:v>
                </c:pt>
                <c:pt idx="1837">
                  <c:v>0.46092912183764001</c:v>
                </c:pt>
                <c:pt idx="1838">
                  <c:v>0.45963273758559697</c:v>
                </c:pt>
                <c:pt idx="1839">
                  <c:v>0.45833881161102302</c:v>
                </c:pt>
                <c:pt idx="1840">
                  <c:v>0.45704735251266698</c:v>
                </c:pt>
                <c:pt idx="1841">
                  <c:v>0.45575836883617799</c:v>
                </c:pt>
                <c:pt idx="1842">
                  <c:v>0.45447186907421699</c:v>
                </c:pt>
                <c:pt idx="1843">
                  <c:v>0.453187861666558</c:v>
                </c:pt>
                <c:pt idx="1844">
                  <c:v>0.45190635500020598</c:v>
                </c:pt>
                <c:pt idx="1845">
                  <c:v>0.45062735740950699</c:v>
                </c:pt>
                <c:pt idx="1846">
                  <c:v>0.44935087717626898</c:v>
                </c:pt>
                <c:pt idx="1847">
                  <c:v>0.44807692252988301</c:v>
                </c:pt>
                <c:pt idx="1848">
                  <c:v>0.44680550164744398</c:v>
                </c:pt>
                <c:pt idx="1849">
                  <c:v>0.44553662265388</c:v>
                </c:pt>
                <c:pt idx="1850">
                  <c:v>0.44427029362208098</c:v>
                </c:pt>
                <c:pt idx="1851">
                  <c:v>0.44300652257302903</c:v>
                </c:pt>
                <c:pt idx="1852">
                  <c:v>0.44174531747593798</c:v>
                </c:pt>
                <c:pt idx="1853">
                  <c:v>0.44048668624838899</c:v>
                </c:pt>
                <c:pt idx="1854">
                  <c:v>0.43923063675646801</c:v>
                </c:pt>
                <c:pt idx="1855">
                  <c:v>0.43797717681491699</c:v>
                </c:pt>
                <c:pt idx="1856">
                  <c:v>0.43672631418727398</c:v>
                </c:pt>
                <c:pt idx="1857">
                  <c:v>0.43547805658602201</c:v>
                </c:pt>
                <c:pt idx="1858">
                  <c:v>0.43423241167274501</c:v>
                </c:pt>
                <c:pt idx="1859">
                  <c:v>0.43298938705828</c:v>
                </c:pt>
                <c:pt idx="1860">
                  <c:v>0.431748990302873</c:v>
                </c:pt>
                <c:pt idx="1861">
                  <c:v>0.43051122891633797</c:v>
                </c:pt>
                <c:pt idx="1862">
                  <c:v>0.429276110358222</c:v>
                </c:pt>
                <c:pt idx="1863">
                  <c:v>0.42804364203796902</c:v>
                </c:pt>
                <c:pt idx="1864">
                  <c:v>0.42681383131508199</c:v>
                </c:pt>
                <c:pt idx="1865">
                  <c:v>0.42558668549930201</c:v>
                </c:pt>
                <c:pt idx="1866">
                  <c:v>0.42436221185077</c:v>
                </c:pt>
                <c:pt idx="1867">
                  <c:v>0.42314041758020798</c:v>
                </c:pt>
                <c:pt idx="1868">
                  <c:v>0.42192130984909498</c:v>
                </c:pt>
                <c:pt idx="1869">
                  <c:v>0.42070489576984199</c:v>
                </c:pt>
                <c:pt idx="1870">
                  <c:v>0.41949118240597899</c:v>
                </c:pt>
                <c:pt idx="1871">
                  <c:v>0.41828017677233598</c:v>
                </c:pt>
                <c:pt idx="1872">
                  <c:v>0.41707188583522697</c:v>
                </c:pt>
                <c:pt idx="1873">
                  <c:v>0.415866316512642</c:v>
                </c:pt>
                <c:pt idx="1874">
                  <c:v>0.41466347567443601</c:v>
                </c:pt>
                <c:pt idx="1875">
                  <c:v>0.41346337014252099</c:v>
                </c:pt>
                <c:pt idx="1876">
                  <c:v>0.41226600669106001</c:v>
                </c:pt>
                <c:pt idx="1877">
                  <c:v>0.41107139204666598</c:v>
                </c:pt>
                <c:pt idx="1878">
                  <c:v>0.40987953288859702</c:v>
                </c:pt>
                <c:pt idx="1879">
                  <c:v>0.40869043584896297</c:v>
                </c:pt>
                <c:pt idx="1880">
                  <c:v>0.40750410751292199</c:v>
                </c:pt>
                <c:pt idx="1881">
                  <c:v>0.40632055441888698</c:v>
                </c:pt>
                <c:pt idx="1882">
                  <c:v>0.40513978305873699</c:v>
                </c:pt>
                <c:pt idx="1883">
                  <c:v>0.403961799878017</c:v>
                </c:pt>
                <c:pt idx="1884">
                  <c:v>0.402786611276157</c:v>
                </c:pt>
                <c:pt idx="1885">
                  <c:v>0.40161422360667698</c:v>
                </c:pt>
                <c:pt idx="1886">
                  <c:v>0.40044464317740502</c:v>
                </c:pt>
                <c:pt idx="1887">
                  <c:v>0.399277876250692</c:v>
                </c:pt>
                <c:pt idx="1888">
                  <c:v>0.39811392904362702</c:v>
                </c:pt>
                <c:pt idx="1889">
                  <c:v>0.39695280772825797</c:v>
                </c:pt>
                <c:pt idx="1890">
                  <c:v>0.39579451843181401</c:v>
                </c:pt>
                <c:pt idx="1891">
                  <c:v>0.39463906723692099</c:v>
                </c:pt>
                <c:pt idx="1892">
                  <c:v>0.39348646018183098</c:v>
                </c:pt>
                <c:pt idx="1893">
                  <c:v>0.39233670326064701</c:v>
                </c:pt>
                <c:pt idx="1894">
                  <c:v>0.39118980242354501</c:v>
                </c:pt>
                <c:pt idx="1895">
                  <c:v>0.39004576357700499</c:v>
                </c:pt>
                <c:pt idx="1896">
                  <c:v>0.38890459258403998</c:v>
                </c:pt>
                <c:pt idx="1897">
                  <c:v>0.38776629526442702</c:v>
                </c:pt>
                <c:pt idx="1898">
                  <c:v>0.38663087739493701</c:v>
                </c:pt>
                <c:pt idx="1899">
                  <c:v>0.38549834470956701</c:v>
                </c:pt>
                <c:pt idx="1900">
                  <c:v>0.38436870289977898</c:v>
                </c:pt>
                <c:pt idx="1901">
                  <c:v>0.38324195761472901</c:v>
                </c:pt>
                <c:pt idx="1902">
                  <c:v>0.38211811446150801</c:v>
                </c:pt>
                <c:pt idx="1903">
                  <c:v>0.38099717900537799</c:v>
                </c:pt>
                <c:pt idx="1904">
                  <c:v>0.379879156770007</c:v>
                </c:pt>
                <c:pt idx="1905">
                  <c:v>0.378764053237715</c:v>
                </c:pt>
                <c:pt idx="1906">
                  <c:v>0.377651873849709</c:v>
                </c:pt>
                <c:pt idx="1907">
                  <c:v>0.37654262400632499</c:v>
                </c:pt>
                <c:pt idx="1908">
                  <c:v>0.37543630906727199</c:v>
                </c:pt>
                <c:pt idx="1909">
                  <c:v>0.37433293435187098</c:v>
                </c:pt>
                <c:pt idx="1910">
                  <c:v>0.37323250513930301</c:v>
                </c:pt>
                <c:pt idx="1911">
                  <c:v>0.37213502666884701</c:v>
                </c:pt>
                <c:pt idx="1912">
                  <c:v>0.37104050414013101</c:v>
                </c:pt>
                <c:pt idx="1913">
                  <c:v>0.36994894271337397</c:v>
                </c:pt>
                <c:pt idx="1914">
                  <c:v>0.36886034750962998</c:v>
                </c:pt>
                <c:pt idx="1915">
                  <c:v>0.36777472361103802</c:v>
                </c:pt>
                <c:pt idx="1916">
                  <c:v>0.36669207606106602</c:v>
                </c:pt>
                <c:pt idx="1917">
                  <c:v>0.36561240986475901</c:v>
                </c:pt>
                <c:pt idx="1918">
                  <c:v>0.36453572998898598</c:v>
                </c:pt>
                <c:pt idx="1919">
                  <c:v>0.363462041362688</c:v>
                </c:pt>
                <c:pt idx="1920">
                  <c:v>0.36239134887712199</c:v>
                </c:pt>
                <c:pt idx="1921">
                  <c:v>0.36132365738611799</c:v>
                </c:pt>
                <c:pt idx="1922">
                  <c:v>0.36025897170631599</c:v>
                </c:pt>
                <c:pt idx="1923">
                  <c:v>0.359197296617421</c:v>
                </c:pt>
                <c:pt idx="1924">
                  <c:v>0.35813863686245001</c:v>
                </c:pt>
                <c:pt idx="1925">
                  <c:v>0.35708299714797798</c:v>
                </c:pt>
                <c:pt idx="1926">
                  <c:v>0.35603038214438898</c:v>
                </c:pt>
                <c:pt idx="1927">
                  <c:v>0.35498079648611902</c:v>
                </c:pt>
                <c:pt idx="1928">
                  <c:v>0.35393424477190799</c:v>
                </c:pt>
                <c:pt idx="1929">
                  <c:v>0.35289073156504502</c:v>
                </c:pt>
                <c:pt idx="1930">
                  <c:v>0.35185026139361603</c:v>
                </c:pt>
                <c:pt idx="1931">
                  <c:v>0.35081283875074898</c:v>
                </c:pt>
                <c:pt idx="1932">
                  <c:v>0.34977846809486102</c:v>
                </c:pt>
                <c:pt idx="1933">
                  <c:v>0.34874715384990201</c:v>
                </c:pt>
                <c:pt idx="1934">
                  <c:v>0.34771890040560299</c:v>
                </c:pt>
                <c:pt idx="1935">
                  <c:v>0.34669371211771699</c:v>
                </c:pt>
                <c:pt idx="1936">
                  <c:v>0.34567159330826502</c:v>
                </c:pt>
                <c:pt idx="1937">
                  <c:v>0.34465254826577502</c:v>
                </c:pt>
                <c:pt idx="1938">
                  <c:v>0.34363658124553098</c:v>
                </c:pt>
                <c:pt idx="1939">
                  <c:v>0.34262369646980601</c:v>
                </c:pt>
                <c:pt idx="1940">
                  <c:v>0.341613898128108</c:v>
                </c:pt>
                <c:pt idx="1941">
                  <c:v>0.34060719037741499</c:v>
                </c:pt>
                <c:pt idx="1942">
                  <c:v>0.33960357734241903</c:v>
                </c:pt>
                <c:pt idx="1943">
                  <c:v>0.338603063115756</c:v>
                </c:pt>
                <c:pt idx="1944">
                  <c:v>0.33760565175797302</c:v>
                </c:pt>
                <c:pt idx="1945">
                  <c:v>0.33661134728998399</c:v>
                </c:pt>
                <c:pt idx="1946">
                  <c:v>0.335620153682263</c:v>
                </c:pt>
                <c:pt idx="1947">
                  <c:v>0.33463207484563801</c:v>
                </c:pt>
                <c:pt idx="1948">
                  <c:v>0.33364711463423902</c:v>
                </c:pt>
                <c:pt idx="1949">
                  <c:v>0.33266527684628999</c:v>
                </c:pt>
                <c:pt idx="1950">
                  <c:v>0.331686565224174</c:v>
                </c:pt>
                <c:pt idx="1951">
                  <c:v>0.33071098345452599</c:v>
                </c:pt>
                <c:pt idx="1952">
                  <c:v>0.32973853516833401</c:v>
                </c:pt>
                <c:pt idx="1953">
                  <c:v>0.32876922394103297</c:v>
                </c:pt>
                <c:pt idx="1954">
                  <c:v>0.32780305329259102</c:v>
                </c:pt>
                <c:pt idx="1955">
                  <c:v>0.32684002668760898</c:v>
                </c:pt>
                <c:pt idx="1956">
                  <c:v>0.32588014753540001</c:v>
                </c:pt>
                <c:pt idx="1957">
                  <c:v>0.324923419190084</c:v>
                </c:pt>
                <c:pt idx="1958">
                  <c:v>0.323969844950667</c:v>
                </c:pt>
                <c:pt idx="1959">
                  <c:v>0.32301942806112399</c:v>
                </c:pt>
                <c:pt idx="1960">
                  <c:v>0.32207217171048202</c:v>
                </c:pt>
                <c:pt idx="1961">
                  <c:v>0.32112807903289597</c:v>
                </c:pt>
                <c:pt idx="1962">
                  <c:v>0.320187153107728</c:v>
                </c:pt>
                <c:pt idx="1963">
                  <c:v>0.31924939695961602</c:v>
                </c:pt>
                <c:pt idx="1964">
                  <c:v>0.31831481355855101</c:v>
                </c:pt>
                <c:pt idx="1965">
                  <c:v>0.31738340581994301</c:v>
                </c:pt>
                <c:pt idx="1966">
                  <c:v>0.31645517660468903</c:v>
                </c:pt>
                <c:pt idx="1967">
                  <c:v>0.31553012871923902</c:v>
                </c:pt>
                <c:pt idx="1968">
                  <c:v>0.31460826491565702</c:v>
                </c:pt>
                <c:pt idx="1969">
                  <c:v>0.31368958789168</c:v>
                </c:pt>
                <c:pt idx="1970">
                  <c:v>0.31277410029077701</c:v>
                </c:pt>
                <c:pt idx="1971">
                  <c:v>0.31186180470220698</c:v>
                </c:pt>
                <c:pt idx="1972">
                  <c:v>0.31095270366106398</c:v>
                </c:pt>
                <c:pt idx="1973">
                  <c:v>0.31004679964833298</c:v>
                </c:pt>
                <c:pt idx="1974">
                  <c:v>0.30914409509093599</c:v>
                </c:pt>
                <c:pt idx="1975">
                  <c:v>0.30824459236177498</c:v>
                </c:pt>
                <c:pt idx="1976">
                  <c:v>0.30734829377977702</c:v>
                </c:pt>
                <c:pt idx="1977">
                  <c:v>0.30645520160992901</c:v>
                </c:pt>
                <c:pt idx="1978">
                  <c:v>0.30556531806331999</c:v>
                </c:pt>
                <c:pt idx="1979">
                  <c:v>0.30467864529717198</c:v>
                </c:pt>
                <c:pt idx="1980">
                  <c:v>0.303795185414869</c:v>
                </c:pt>
                <c:pt idx="1981">
                  <c:v>0.30291494046599099</c:v>
                </c:pt>
                <c:pt idx="1982">
                  <c:v>0.30203791244633399</c:v>
                </c:pt>
                <c:pt idx="1983">
                  <c:v>0.30116410329793702</c:v>
                </c:pt>
                <c:pt idx="1984">
                  <c:v>0.300293514909098</c:v>
                </c:pt>
                <c:pt idx="1985">
                  <c:v>0.29942614911439602</c:v>
                </c:pt>
                <c:pt idx="1986">
                  <c:v>0.29856200769469798</c:v>
                </c:pt>
                <c:pt idx="1987">
                  <c:v>0.29770109237717901</c:v>
                </c:pt>
                <c:pt idx="1988">
                  <c:v>0.29684340483532101</c:v>
                </c:pt>
                <c:pt idx="1989">
                  <c:v>0.295988946688925</c:v>
                </c:pt>
                <c:pt idx="1990">
                  <c:v>0.29513771950411199</c:v>
                </c:pt>
                <c:pt idx="1991">
                  <c:v>0.294289724793319</c:v>
                </c:pt>
                <c:pt idx="1992">
                  <c:v>0.29344496401529901</c:v>
                </c:pt>
                <c:pt idx="1993">
                  <c:v>0.29260343857511101</c:v>
                </c:pt>
                <c:pt idx="1994">
                  <c:v>0.291765149824114</c:v>
                </c:pt>
                <c:pt idx="1995">
                  <c:v>0.29093009905994999</c:v>
                </c:pt>
                <c:pt idx="1996">
                  <c:v>0.29009828752653199</c:v>
                </c:pt>
                <c:pt idx="1997">
                  <c:v>0.28926971641402199</c:v>
                </c:pt>
                <c:pt idx="1998">
                  <c:v>0.28844438685881002</c:v>
                </c:pt>
                <c:pt idx="1999">
                  <c:v>0.28762229994348898</c:v>
                </c:pt>
                <c:pt idx="2000">
                  <c:v>0.286803456696827</c:v>
                </c:pt>
                <c:pt idx="2001">
                  <c:v>0.28598785809373301</c:v>
                </c:pt>
                <c:pt idx="2002">
                  <c:v>0.28517550505522798</c:v>
                </c:pt>
                <c:pt idx="2003">
                  <c:v>0.284366398448402</c:v>
                </c:pt>
                <c:pt idx="2004">
                  <c:v>0.28356053908637602</c:v>
                </c:pt>
                <c:pt idx="2005">
                  <c:v>0.28275792772825697</c:v>
                </c:pt>
                <c:pt idx="2006">
                  <c:v>0.281958565079094</c:v>
                </c:pt>
                <c:pt idx="2007">
                  <c:v>0.28116245178982402</c:v>
                </c:pt>
                <c:pt idx="2008">
                  <c:v>0.28036958845721999</c:v>
                </c:pt>
                <c:pt idx="2009">
                  <c:v>0.27957997562383902</c:v>
                </c:pt>
                <c:pt idx="2010">
                  <c:v>0.27879361377795597</c:v>
                </c:pt>
                <c:pt idx="2011">
                  <c:v>0.27801050335350702</c:v>
                </c:pt>
                <c:pt idx="2012">
                  <c:v>0.27723064473002201</c:v>
                </c:pt>
                <c:pt idx="2013">
                  <c:v>0.27645403823255499</c:v>
                </c:pt>
                <c:pt idx="2014">
                  <c:v>0.275680684131617</c:v>
                </c:pt>
                <c:pt idx="2015">
                  <c:v>0.27491058264309498</c:v>
                </c:pt>
                <c:pt idx="2016">
                  <c:v>0.27414373392818198</c:v>
                </c:pt>
                <c:pt idx="2017">
                  <c:v>0.27338013809329098</c:v>
                </c:pt>
                <c:pt idx="2018">
                  <c:v>0.27261979518997398</c:v>
                </c:pt>
                <c:pt idx="2019">
                  <c:v>0.27186270521483402</c:v>
                </c:pt>
                <c:pt idx="2020">
                  <c:v>0.27110886810944101</c:v>
                </c:pt>
                <c:pt idx="2021">
                  <c:v>0.27035828376023302</c:v>
                </c:pt>
                <c:pt idx="2022">
                  <c:v>0.269610951998425</c:v>
                </c:pt>
                <c:pt idx="2023">
                  <c:v>0.26886687259991099</c:v>
                </c:pt>
                <c:pt idx="2024">
                  <c:v>0.26812604528516398</c:v>
                </c:pt>
                <c:pt idx="2025">
                  <c:v>0.26738846971913</c:v>
                </c:pt>
                <c:pt idx="2026">
                  <c:v>0.26665414551112598</c:v>
                </c:pt>
                <c:pt idx="2027">
                  <c:v>0.26592307221472899</c:v>
                </c:pt>
                <c:pt idx="2028">
                  <c:v>0.26519524932766297</c:v>
                </c:pt>
                <c:pt idx="2029">
                  <c:v>0.26447067629168902</c:v>
                </c:pt>
                <c:pt idx="2030">
                  <c:v>0.26374935249248699</c:v>
                </c:pt>
                <c:pt idx="2031">
                  <c:v>0.26303127725953501</c:v>
                </c:pt>
                <c:pt idx="2032">
                  <c:v>0.26231644986598901</c:v>
                </c:pt>
                <c:pt idx="2033">
                  <c:v>0.26160486952856099</c:v>
                </c:pt>
                <c:pt idx="2034">
                  <c:v>0.26089653540739</c:v>
                </c:pt>
                <c:pt idx="2035">
                  <c:v>0.26019144660591398</c:v>
                </c:pt>
                <c:pt idx="2036">
                  <c:v>0.25948960217073902</c:v>
                </c:pt>
                <c:pt idx="2037">
                  <c:v>0.25879100109150699</c:v>
                </c:pt>
                <c:pt idx="2038">
                  <c:v>0.25809564230075999</c:v>
                </c:pt>
                <c:pt idx="2039">
                  <c:v>0.25740352467380201</c:v>
                </c:pt>
                <c:pt idx="2040">
                  <c:v>0.25671464702856001</c:v>
                </c:pt>
                <c:pt idx="2041">
                  <c:v>0.25602900812544399</c:v>
                </c:pt>
                <c:pt idx="2042">
                  <c:v>0.25534660666720099</c:v>
                </c:pt>
                <c:pt idx="2043">
                  <c:v>0.254667441298771</c:v>
                </c:pt>
                <c:pt idx="2044">
                  <c:v>0.25399151060714098</c:v>
                </c:pt>
                <c:pt idx="2045">
                  <c:v>0.25331881312119497</c:v>
                </c:pt>
                <c:pt idx="2046">
                  <c:v>0.25264934731156502</c:v>
                </c:pt>
                <c:pt idx="2047">
                  <c:v>0.25198311159047598</c:v>
                </c:pt>
                <c:pt idx="2048">
                  <c:v>0.25132010431159801</c:v>
                </c:pt>
                <c:pt idx="2049">
                  <c:v>0.25066032376988401</c:v>
                </c:pt>
                <c:pt idx="2050">
                  <c:v>0.25000376820142201</c:v>
                </c:pt>
                <c:pt idx="2051">
                  <c:v>0.24935043578327001</c:v>
                </c:pt>
                <c:pt idx="2052">
                  <c:v>0.24870032463330299</c:v>
                </c:pt>
                <c:pt idx="2053">
                  <c:v>0.24805343281004999</c:v>
                </c:pt>
                <c:pt idx="2054">
                  <c:v>0.24740975831253501</c:v>
                </c:pt>
                <c:pt idx="2055">
                  <c:v>0.246769299080114</c:v>
                </c:pt>
                <c:pt idx="2056">
                  <c:v>0.246132052992317</c:v>
                </c:pt>
                <c:pt idx="2057">
                  <c:v>0.24549801786867601</c:v>
                </c:pt>
                <c:pt idx="2058">
                  <c:v>0.244867191468571</c:v>
                </c:pt>
                <c:pt idx="2059">
                  <c:v>0.24423957149105899</c:v>
                </c:pt>
                <c:pt idx="2060">
                  <c:v>0.243615155574714</c:v>
                </c:pt>
                <c:pt idx="2061">
                  <c:v>0.24299394129745699</c:v>
                </c:pt>
                <c:pt idx="2062">
                  <c:v>0.242375926176396</c:v>
                </c:pt>
                <c:pt idx="2063">
                  <c:v>0.24176110766765499</c:v>
                </c:pt>
                <c:pt idx="2064">
                  <c:v>0.24114948316621501</c:v>
                </c:pt>
                <c:pt idx="2065">
                  <c:v>0.240541050005742</c:v>
                </c:pt>
                <c:pt idx="2066">
                  <c:v>0.23993580545842699</c:v>
                </c:pt>
                <c:pt idx="2067">
                  <c:v>0.239333746734819</c:v>
                </c:pt>
                <c:pt idx="2068">
                  <c:v>0.238734870983659</c:v>
                </c:pt>
                <c:pt idx="2069">
                  <c:v>0.23813917529172099</c:v>
                </c:pt>
                <c:pt idx="2070">
                  <c:v>0.237546656683641</c:v>
                </c:pt>
                <c:pt idx="2071">
                  <c:v>0.23695731212176399</c:v>
                </c:pt>
                <c:pt idx="2072">
                  <c:v>0.23637113850597299</c:v>
                </c:pt>
                <c:pt idx="2073">
                  <c:v>0.23578813267353499</c:v>
                </c:pt>
                <c:pt idx="2074">
                  <c:v>0.23520829139893901</c:v>
                </c:pt>
                <c:pt idx="2075">
                  <c:v>0.23463161139373701</c:v>
                </c:pt>
                <c:pt idx="2076">
                  <c:v>0.23405808930638899</c:v>
                </c:pt>
                <c:pt idx="2077">
                  <c:v>0.233487721722105</c:v>
                </c:pt>
                <c:pt idx="2078">
                  <c:v>0.232920505162693</c:v>
                </c:pt>
                <c:pt idx="2079">
                  <c:v>0.23235643608640799</c:v>
                </c:pt>
                <c:pt idx="2080">
                  <c:v>0.23179551088779801</c:v>
                </c:pt>
                <c:pt idx="2081">
                  <c:v>0.231237725897559</c:v>
                </c:pt>
                <c:pt idx="2082">
                  <c:v>0.230683077382389</c:v>
                </c:pt>
                <c:pt idx="2083">
                  <c:v>0.23013156154484099</c:v>
                </c:pt>
                <c:pt idx="2084">
                  <c:v>0.229583174523184</c:v>
                </c:pt>
                <c:pt idx="2085">
                  <c:v>0.229037912391266</c:v>
                </c:pt>
                <c:pt idx="2086">
                  <c:v>0.228495771158373</c:v>
                </c:pt>
                <c:pt idx="2087">
                  <c:v>0.22795674676909899</c:v>
                </c:pt>
                <c:pt idx="2088">
                  <c:v>0.22742083510321301</c:v>
                </c:pt>
                <c:pt idx="2089">
                  <c:v>0.226888031975536</c:v>
                </c:pt>
                <c:pt idx="2090">
                  <c:v>0.226358333135811</c:v>
                </c:pt>
                <c:pt idx="2091">
                  <c:v>0.22583173426858599</c:v>
                </c:pt>
                <c:pt idx="2092">
                  <c:v>0.22530823099309599</c:v>
                </c:pt>
                <c:pt idx="2093">
                  <c:v>0.224787818863148</c:v>
                </c:pt>
                <c:pt idx="2094">
                  <c:v>0.22427049336701099</c:v>
                </c:pt>
                <c:pt idx="2095">
                  <c:v>0.223756249927312</c:v>
                </c:pt>
                <c:pt idx="2096">
                  <c:v>0.22324508390093201</c:v>
                </c:pt>
                <c:pt idx="2097">
                  <c:v>0.222736990578908</c:v>
                </c:pt>
                <c:pt idx="2098">
                  <c:v>0.222231965186343</c:v>
                </c:pt>
                <c:pt idx="2099">
                  <c:v>0.22173000288231101</c:v>
                </c:pt>
                <c:pt idx="2100">
                  <c:v>0.22123109875977601</c:v>
                </c:pt>
                <c:pt idx="2101">
                  <c:v>0.22073524784551399</c:v>
                </c:pt>
                <c:pt idx="2102">
                  <c:v>0.22024244510003499</c:v>
                </c:pt>
                <c:pt idx="2103">
                  <c:v>0.219752685417515</c:v>
                </c:pt>
                <c:pt idx="2104">
                  <c:v>0.21926596362573</c:v>
                </c:pt>
                <c:pt idx="2105">
                  <c:v>0.21878227448599999</c:v>
                </c:pt>
                <c:pt idx="2106">
                  <c:v>0.21830161269313</c:v>
                </c:pt>
                <c:pt idx="2107">
                  <c:v>0.21782397287536701</c:v>
                </c:pt>
                <c:pt idx="2108">
                  <c:v>0.21734934959435401</c:v>
                </c:pt>
                <c:pt idx="2109">
                  <c:v>0.21687773734509699</c:v>
                </c:pt>
                <c:pt idx="2110">
                  <c:v>0.216409130555931</c:v>
                </c:pt>
                <c:pt idx="2111">
                  <c:v>0.215943523588496</c:v>
                </c:pt>
                <c:pt idx="2112">
                  <c:v>0.21548091073772199</c:v>
                </c:pt>
                <c:pt idx="2113">
                  <c:v>0.21502128623181399</c:v>
                </c:pt>
                <c:pt idx="2114">
                  <c:v>0.214564644232249</c:v>
                </c:pt>
                <c:pt idx="2115">
                  <c:v>0.214110978833778</c:v>
                </c:pt>
                <c:pt idx="2116">
                  <c:v>0.21366028406442999</c:v>
                </c:pt>
                <c:pt idx="2117">
                  <c:v>0.21321255388553501</c:v>
                </c:pt>
                <c:pt idx="2118">
                  <c:v>0.212767782191741</c:v>
                </c:pt>
                <c:pt idx="2119">
                  <c:v>0.21232596281104499</c:v>
                </c:pt>
                <c:pt idx="2120">
                  <c:v>0.21188708950483001</c:v>
                </c:pt>
                <c:pt idx="2121">
                  <c:v>0.211451155967912</c:v>
                </c:pt>
                <c:pt idx="2122">
                  <c:v>0.21101815582858899</c:v>
                </c:pt>
                <c:pt idx="2123">
                  <c:v>0.21058808264870299</c:v>
                </c:pt>
                <c:pt idx="2124">
                  <c:v>0.21016092992370899</c:v>
                </c:pt>
                <c:pt idx="2125">
                  <c:v>0.20973669108274701</c:v>
                </c:pt>
                <c:pt idx="2126">
                  <c:v>0.20931535948873001</c:v>
                </c:pt>
                <c:pt idx="2127">
                  <c:v>0.20889692843843299</c:v>
                </c:pt>
                <c:pt idx="2128">
                  <c:v>0.20848139116259801</c:v>
                </c:pt>
                <c:pt idx="2129">
                  <c:v>0.20806874082603699</c:v>
                </c:pt>
                <c:pt idx="2130">
                  <c:v>0.20765897052775401</c:v>
                </c:pt>
                <c:pt idx="2131">
                  <c:v>0.20725207330107201</c:v>
                </c:pt>
                <c:pt idx="2132">
                  <c:v>0.20684804211376401</c:v>
                </c:pt>
                <c:pt idx="2133">
                  <c:v>0.20644686986819899</c:v>
                </c:pt>
                <c:pt idx="2134">
                  <c:v>0.206048549401497</c:v>
                </c:pt>
                <c:pt idx="2135">
                  <c:v>0.20565307348568901</c:v>
                </c:pt>
                <c:pt idx="2136">
                  <c:v>0.205260434827887</c:v>
                </c:pt>
                <c:pt idx="2137">
                  <c:v>0.20487062607046699</c:v>
                </c:pt>
                <c:pt idx="2138">
                  <c:v>0.204483639791259</c:v>
                </c:pt>
                <c:pt idx="2139">
                  <c:v>0.204099468503745</c:v>
                </c:pt>
                <c:pt idx="2140">
                  <c:v>0.203718104657268</c:v>
                </c:pt>
                <c:pt idx="2141">
                  <c:v>0.20333954063725401</c:v>
                </c:pt>
                <c:pt idx="2142">
                  <c:v>0.20296376876543501</c:v>
                </c:pt>
                <c:pt idx="2143">
                  <c:v>0.202590781300093</c:v>
                </c:pt>
                <c:pt idx="2144">
                  <c:v>0.20222057043630401</c:v>
                </c:pt>
                <c:pt idx="2145">
                  <c:v>0.201853128306197</c:v>
                </c:pt>
                <c:pt idx="2146">
                  <c:v>0.20148844697922699</c:v>
                </c:pt>
                <c:pt idx="2147">
                  <c:v>0.201126518462446</c:v>
                </c:pt>
                <c:pt idx="2148">
                  <c:v>0.200767334700797</c:v>
                </c:pt>
                <c:pt idx="2149">
                  <c:v>0.20041088757741099</c:v>
                </c:pt>
                <c:pt idx="2150">
                  <c:v>0.20005716891391601</c:v>
                </c:pt>
                <c:pt idx="2151">
                  <c:v>0.19970617047076</c:v>
                </c:pt>
                <c:pt idx="2152">
                  <c:v>0.19935788394753601</c:v>
                </c:pt>
                <c:pt idx="2153">
                  <c:v>0.19901230098332601</c:v>
                </c:pt>
                <c:pt idx="2154">
                  <c:v>0.198669413157052</c:v>
                </c:pt>
                <c:pt idx="2155">
                  <c:v>0.19832921198783701</c:v>
                </c:pt>
                <c:pt idx="2156">
                  <c:v>0.197991688935378</c:v>
                </c:pt>
                <c:pt idx="2157">
                  <c:v>0.19765683540033099</c:v>
                </c:pt>
                <c:pt idx="2158">
                  <c:v>0.19732464272469999</c:v>
                </c:pt>
                <c:pt idx="2159">
                  <c:v>0.196995102192248</c:v>
                </c:pt>
                <c:pt idx="2160">
                  <c:v>0.196668205028909</c:v>
                </c:pt>
                <c:pt idx="2161">
                  <c:v>0.19634394240321401</c:v>
                </c:pt>
                <c:pt idx="2162">
                  <c:v>0.19602230542673199</c:v>
                </c:pt>
                <c:pt idx="2163">
                  <c:v>0.19570328515451399</c:v>
                </c:pt>
                <c:pt idx="2164">
                  <c:v>0.19538687258555501</c:v>
                </c:pt>
                <c:pt idx="2165">
                  <c:v>0.19507305866326299</c:v>
                </c:pt>
                <c:pt idx="2166">
                  <c:v>0.19476183427593899</c:v>
                </c:pt>
                <c:pt idx="2167">
                  <c:v>0.194453190257275</c:v>
                </c:pt>
                <c:pt idx="2168">
                  <c:v>0.19414711738684701</c:v>
                </c:pt>
                <c:pt idx="2169">
                  <c:v>0.19384360639063999</c:v>
                </c:pt>
                <c:pt idx="2170">
                  <c:v>0.19354264794156301</c:v>
                </c:pt>
                <c:pt idx="2171">
                  <c:v>0.19324423265999499</c:v>
                </c:pt>
                <c:pt idx="2172">
                  <c:v>0.19294835111432401</c:v>
                </c:pt>
                <c:pt idx="2173">
                  <c:v>0.192654993821509</c:v>
                </c:pt>
                <c:pt idx="2174">
                  <c:v>0.19236415124764999</c:v>
                </c:pt>
                <c:pt idx="2175">
                  <c:v>0.192075813808566</c:v>
                </c:pt>
                <c:pt idx="2176">
                  <c:v>0.19178997187038699</c:v>
                </c:pt>
                <c:pt idx="2177">
                  <c:v>0.19150661575015601</c:v>
                </c:pt>
                <c:pt idx="2178">
                  <c:v>0.191225735716443</c:v>
                </c:pt>
                <c:pt idx="2179">
                  <c:v>0.190947321989968</c:v>
                </c:pt>
                <c:pt idx="2180">
                  <c:v>0.19067136474423699</c:v>
                </c:pt>
                <c:pt idx="2181">
                  <c:v>0.19039785410618801</c:v>
                </c:pt>
                <c:pt idx="2182">
                  <c:v>0.19012678015684401</c:v>
                </c:pt>
                <c:pt idx="2183">
                  <c:v>0.189858132931988</c:v>
                </c:pt>
                <c:pt idx="2184">
                  <c:v>0.189591902422835</c:v>
                </c:pt>
                <c:pt idx="2185">
                  <c:v>0.18932807857672301</c:v>
                </c:pt>
                <c:pt idx="2186">
                  <c:v>0.189066651297816</c:v>
                </c:pt>
                <c:pt idx="2187">
                  <c:v>0.18880761044781</c:v>
                </c:pt>
                <c:pt idx="2188">
                  <c:v>0.18855094584665899</c:v>
                </c:pt>
                <c:pt idx="2189">
                  <c:v>0.188296647273302</c:v>
                </c:pt>
                <c:pt idx="2190">
                  <c:v>0.188044704466411</c:v>
                </c:pt>
                <c:pt idx="2191">
                  <c:v>0.187795107125143</c:v>
                </c:pt>
                <c:pt idx="2192">
                  <c:v>0.18754784490989901</c:v>
                </c:pt>
                <c:pt idx="2193">
                  <c:v>0.18730290744310599</c:v>
                </c:pt>
                <c:pt idx="2194">
                  <c:v>0.187060284309995</c:v>
                </c:pt>
                <c:pt idx="2195">
                  <c:v>0.18681996505940199</c:v>
                </c:pt>
                <c:pt idx="2196">
                  <c:v>0.186581939204568</c:v>
                </c:pt>
                <c:pt idx="2197">
                  <c:v>0.18634619622395801</c:v>
                </c:pt>
                <c:pt idx="2198">
                  <c:v>0.18611272556208699</c:v>
                </c:pt>
                <c:pt idx="2199">
                  <c:v>0.18588151663035499</c:v>
                </c:pt>
                <c:pt idx="2200">
                  <c:v>0.185652558807896</c:v>
                </c:pt>
                <c:pt idx="2201">
                  <c:v>0.18542584144242799</c:v>
                </c:pt>
                <c:pt idx="2202">
                  <c:v>0.18520135385113001</c:v>
                </c:pt>
                <c:pt idx="2203">
                  <c:v>0.184979085321507</c:v>
                </c:pt>
                <c:pt idx="2204">
                  <c:v>0.18475902511228601</c:v>
                </c:pt>
                <c:pt idx="2205">
                  <c:v>0.18454116245430599</c:v>
                </c:pt>
                <c:pt idx="2206">
                  <c:v>0.184325486551428</c:v>
                </c:pt>
                <c:pt idx="2207">
                  <c:v>0.18411198658144701</c:v>
                </c:pt>
                <c:pt idx="2208">
                  <c:v>0.18390065169702399</c:v>
                </c:pt>
                <c:pt idx="2209">
                  <c:v>0.18369147102661201</c:v>
                </c:pt>
                <c:pt idx="2210">
                  <c:v>0.18348443367541001</c:v>
                </c:pt>
                <c:pt idx="2211">
                  <c:v>0.18327952872631301</c:v>
                </c:pt>
                <c:pt idx="2212">
                  <c:v>0.183076745240876</c:v>
                </c:pt>
                <c:pt idx="2213">
                  <c:v>0.18287607226028699</c:v>
                </c:pt>
                <c:pt idx="2214">
                  <c:v>0.18267749880635201</c:v>
                </c:pt>
                <c:pt idx="2215">
                  <c:v>0.182481013882485</c:v>
                </c:pt>
                <c:pt idx="2216">
                  <c:v>0.18228660647471201</c:v>
                </c:pt>
                <c:pt idx="2217">
                  <c:v>0.18209426555267699</c:v>
                </c:pt>
                <c:pt idx="2218">
                  <c:v>0.18190398007066599</c:v>
                </c:pt>
                <c:pt idx="2219">
                  <c:v>0.18171573896863699</c:v>
                </c:pt>
                <c:pt idx="2220">
                  <c:v>0.18152953117325199</c:v>
                </c:pt>
                <c:pt idx="2221">
                  <c:v>0.18134534559893001</c:v>
                </c:pt>
                <c:pt idx="2222">
                  <c:v>0.18116317114890201</c:v>
                </c:pt>
                <c:pt idx="2223">
                  <c:v>0.18098299671627399</c:v>
                </c:pt>
                <c:pt idx="2224">
                  <c:v>0.180804811185102</c:v>
                </c:pt>
                <c:pt idx="2225">
                  <c:v>0.18062860343147799</c:v>
                </c:pt>
                <c:pt idx="2226">
                  <c:v>0.18045436232461601</c:v>
                </c:pt>
                <c:pt idx="2227">
                  <c:v>0.18028207672795801</c:v>
                </c:pt>
                <c:pt idx="2228">
                  <c:v>0.18011173550028101</c:v>
                </c:pt>
                <c:pt idx="2229">
                  <c:v>0.17994332749681599</c:v>
                </c:pt>
                <c:pt idx="2230">
                  <c:v>0.17977684157037299</c:v>
                </c:pt>
                <c:pt idx="2231">
                  <c:v>0.17961226657248</c:v>
                </c:pt>
                <c:pt idx="2232">
                  <c:v>0.17944959135452601</c:v>
                </c:pt>
                <c:pt idx="2233">
                  <c:v>0.17928880476891201</c:v>
                </c:pt>
                <c:pt idx="2234">
                  <c:v>0.17912989567021501</c:v>
                </c:pt>
                <c:pt idx="2235">
                  <c:v>0.178972852916359</c:v>
                </c:pt>
                <c:pt idx="2236">
                  <c:v>0.17881766536979199</c:v>
                </c:pt>
                <c:pt idx="2237">
                  <c:v>0.17866432189867401</c:v>
                </c:pt>
                <c:pt idx="2238">
                  <c:v>0.17851281137807501</c:v>
                </c:pt>
                <c:pt idx="2239">
                  <c:v>0.17836312269117799</c:v>
                </c:pt>
                <c:pt idx="2240">
                  <c:v>0.178215244730492</c:v>
                </c:pt>
                <c:pt idx="2241">
                  <c:v>0.178069166399076</c:v>
                </c:pt>
                <c:pt idx="2242">
                  <c:v>0.177924876611771</c:v>
                </c:pt>
                <c:pt idx="2243">
                  <c:v>0.17778236429643299</c:v>
                </c:pt>
                <c:pt idx="2244">
                  <c:v>0.17764161839518899</c:v>
                </c:pt>
                <c:pt idx="2245">
                  <c:v>0.17750262786568899</c:v>
                </c:pt>
                <c:pt idx="2246">
                  <c:v>0.17736538168237201</c:v>
                </c:pt>
                <c:pt idx="2247">
                  <c:v>0.177229868837743</c:v>
                </c:pt>
                <c:pt idx="2248">
                  <c:v>0.17709607834365201</c:v>
                </c:pt>
                <c:pt idx="2249">
                  <c:v>0.17696399923258799</c:v>
                </c:pt>
                <c:pt idx="2250">
                  <c:v>0.176833620558979</c:v>
                </c:pt>
                <c:pt idx="2251">
                  <c:v>0.176704931400502</c:v>
                </c:pt>
                <c:pt idx="2252">
                  <c:v>0.17657792085940199</c:v>
                </c:pt>
                <c:pt idx="2253">
                  <c:v>0.17645257806381801</c:v>
                </c:pt>
                <c:pt idx="2254">
                  <c:v>0.17632889216912101</c:v>
                </c:pt>
                <c:pt idx="2255">
                  <c:v>0.17620685235925701</c:v>
                </c:pt>
                <c:pt idx="2256">
                  <c:v>0.17608644784810401</c:v>
                </c:pt>
                <c:pt idx="2257">
                  <c:v>0.17596766788083701</c:v>
                </c:pt>
                <c:pt idx="2258">
                  <c:v>0.17585050173529901</c:v>
                </c:pt>
                <c:pt idx="2259">
                  <c:v>0.175734938723384</c:v>
                </c:pt>
                <c:pt idx="2260">
                  <c:v>0.17562096819243</c:v>
                </c:pt>
                <c:pt idx="2261">
                  <c:v>0.17550857952662</c:v>
                </c:pt>
                <c:pt idx="2262">
                  <c:v>0.175397762148395</c:v>
                </c:pt>
                <c:pt idx="2263">
                  <c:v>0.17528850551987299</c:v>
                </c:pt>
                <c:pt idx="2264">
                  <c:v>0.175180799144281</c:v>
                </c:pt>
                <c:pt idx="2265">
                  <c:v>0.175074632567397</c:v>
                </c:pt>
                <c:pt idx="2266">
                  <c:v>0.17496999537899899</c:v>
                </c:pt>
                <c:pt idx="2267">
                  <c:v>0.174866877214327</c:v>
                </c:pt>
                <c:pt idx="2268">
                  <c:v>0.17476526775555701</c:v>
                </c:pt>
                <c:pt idx="2269">
                  <c:v>0.17466515673327801</c:v>
                </c:pt>
                <c:pt idx="2270">
                  <c:v>0.17456653392798899</c:v>
                </c:pt>
                <c:pt idx="2271">
                  <c:v>0.17446938917159999</c:v>
                </c:pt>
                <c:pt idx="2272">
                  <c:v>0.174373712348948</c:v>
                </c:pt>
                <c:pt idx="2273">
                  <c:v>0.174279493399319</c:v>
                </c:pt>
                <c:pt idx="2274">
                  <c:v>0.17418672231798801</c:v>
                </c:pt>
                <c:pt idx="2275">
                  <c:v>0.17409538915776299</c:v>
                </c:pt>
                <c:pt idx="2276">
                  <c:v>0.174005484030547</c:v>
                </c:pt>
                <c:pt idx="2277">
                  <c:v>0.17391699710890601</c:v>
                </c:pt>
                <c:pt idx="2278">
                  <c:v>0.17382991862765601</c:v>
                </c:pt>
                <c:pt idx="2279">
                  <c:v>0.17374423888544899</c:v>
                </c:pt>
                <c:pt idx="2280">
                  <c:v>0.17365994824639</c:v>
                </c:pt>
                <c:pt idx="2281">
                  <c:v>0.17357703714164699</c:v>
                </c:pt>
                <c:pt idx="2282">
                  <c:v>0.173495496071087</c:v>
                </c:pt>
                <c:pt idx="2283">
                  <c:v>0.17341531560491999</c:v>
                </c:pt>
                <c:pt idx="2284">
                  <c:v>0.17333648638535501</c:v>
                </c:pt>
                <c:pt idx="2285">
                  <c:v>0.173258999128269</c:v>
                </c:pt>
                <c:pt idx="2286">
                  <c:v>0.173182844624894</c:v>
                </c:pt>
                <c:pt idx="2287">
                  <c:v>0.17310801374351001</c:v>
                </c:pt>
                <c:pt idx="2288">
                  <c:v>0.17303449743116001</c:v>
                </c:pt>
                <c:pt idx="2289">
                  <c:v>0.17296228671536901</c:v>
                </c:pt>
                <c:pt idx="2290">
                  <c:v>0.17289137270589</c:v>
                </c:pt>
                <c:pt idx="2291">
                  <c:v>0.172821746596453</c:v>
                </c:pt>
                <c:pt idx="2292">
                  <c:v>0.172753399666532</c:v>
                </c:pt>
                <c:pt idx="2293">
                  <c:v>0.17268632328313199</c:v>
                </c:pt>
                <c:pt idx="2294">
                  <c:v>0.17262050890386199</c:v>
                </c:pt>
                <c:pt idx="2295">
                  <c:v>0.17255594810627101</c:v>
                </c:pt>
                <c:pt idx="2296">
                  <c:v>0.17249263260599601</c:v>
                </c:pt>
                <c:pt idx="2297">
                  <c:v>0.17243055424929801</c:v>
                </c:pt>
                <c:pt idx="2298">
                  <c:v>0.17236970503897101</c:v>
                </c:pt>
                <c:pt idx="2299">
                  <c:v>0.17231007728522399</c:v>
                </c:pt>
                <c:pt idx="2300">
                  <c:v>0.172251663608743</c:v>
                </c:pt>
                <c:pt idx="2301">
                  <c:v>0.17219445691882199</c:v>
                </c:pt>
                <c:pt idx="2302">
                  <c:v>0.17213845041410999</c:v>
                </c:pt>
                <c:pt idx="2303">
                  <c:v>0.172083637582332</c:v>
                </c:pt>
                <c:pt idx="2304">
                  <c:v>0.172030012199967</c:v>
                </c:pt>
                <c:pt idx="2305">
                  <c:v>0.171977568331877</c:v>
                </c:pt>
                <c:pt idx="2306">
                  <c:v>0.17192630033089301</c:v>
                </c:pt>
                <c:pt idx="2307">
                  <c:v>0.17187620283735899</c:v>
                </c:pt>
                <c:pt idx="2308">
                  <c:v>0.171827270778629</c:v>
                </c:pt>
                <c:pt idx="2309">
                  <c:v>0.171779499368519</c:v>
                </c:pt>
                <c:pt idx="2310">
                  <c:v>0.171732884106715</c:v>
                </c:pt>
                <c:pt idx="2311">
                  <c:v>0.17168742077813101</c:v>
                </c:pt>
                <c:pt idx="2312">
                  <c:v>0.171643105452227</c:v>
                </c:pt>
                <c:pt idx="2313">
                  <c:v>0.17159993448227501</c:v>
                </c:pt>
                <c:pt idx="2314">
                  <c:v>0.171557904504581</c:v>
                </c:pt>
                <c:pt idx="2315">
                  <c:v>0.17151701243765899</c:v>
                </c:pt>
                <c:pt idx="2316">
                  <c:v>0.171477255481358</c:v>
                </c:pt>
                <c:pt idx="2317">
                  <c:v>0.17143863111594301</c:v>
                </c:pt>
                <c:pt idx="2318">
                  <c:v>0.17140113710111901</c:v>
                </c:pt>
                <c:pt idx="2319">
                  <c:v>0.17136477147502399</c:v>
                </c:pt>
                <c:pt idx="2320">
                  <c:v>0.171329532553152</c:v>
                </c:pt>
                <c:pt idx="2321">
                  <c:v>0.17129541892724401</c:v>
                </c:pt>
                <c:pt idx="2322">
                  <c:v>0.17126242946411899</c:v>
                </c:pt>
                <c:pt idx="2323">
                  <c:v>0.17123056330446099</c:v>
                </c:pt>
                <c:pt idx="2324">
                  <c:v>0.171199819861553</c:v>
                </c:pt>
                <c:pt idx="2325">
                  <c:v>0.17117019881995901</c:v>
                </c:pt>
                <c:pt idx="2326">
                  <c:v>0.171141700134158</c:v>
                </c:pt>
                <c:pt idx="2327">
                  <c:v>0.17111432402712601</c:v>
                </c:pt>
                <c:pt idx="2328">
                  <c:v>0.171088070988865</c:v>
                </c:pt>
                <c:pt idx="2329">
                  <c:v>0.17106294177487899</c:v>
                </c:pt>
                <c:pt idx="2330">
                  <c:v>0.171038937404599</c:v>
                </c:pt>
                <c:pt idx="2331">
                  <c:v>0.17101605915975901</c:v>
                </c:pt>
                <c:pt idx="2332">
                  <c:v>0.170994308582708</c:v>
                </c:pt>
                <c:pt idx="2333">
                  <c:v>0.170973687474679</c:v>
                </c:pt>
                <c:pt idx="2334">
                  <c:v>0.17095419789400099</c:v>
                </c:pt>
                <c:pt idx="2335">
                  <c:v>0.170935842154253</c:v>
                </c:pt>
                <c:pt idx="2336">
                  <c:v>0.170918622822364</c:v>
                </c:pt>
                <c:pt idx="2337">
                  <c:v>0.17090254271666699</c:v>
                </c:pt>
                <c:pt idx="2338">
                  <c:v>0.170887604904881</c:v>
                </c:pt>
                <c:pt idx="2339">
                  <c:v>0.17087381270205501</c:v>
                </c:pt>
                <c:pt idx="2340">
                  <c:v>0.17086116966843801</c:v>
                </c:pt>
                <c:pt idx="2341">
                  <c:v>0.17084967960731201</c:v>
                </c:pt>
                <c:pt idx="2342">
                  <c:v>0.17083934656274999</c:v>
                </c:pt>
                <c:pt idx="2343">
                  <c:v>0.17083017481732601</c:v>
                </c:pt>
                <c:pt idx="2344">
                  <c:v>0.17082216888977</c:v>
                </c:pt>
                <c:pt idx="2345">
                  <c:v>0.17081533353255801</c:v>
                </c:pt>
                <c:pt idx="2346">
                  <c:v>0.170809673729447</c:v>
                </c:pt>
                <c:pt idx="2347">
                  <c:v>0.17080519469295399</c:v>
                </c:pt>
                <c:pt idx="2348">
                  <c:v>0.17080190186176999</c:v>
                </c:pt>
                <c:pt idx="2349">
                  <c:v>0.17079980089812699</c:v>
                </c:pt>
                <c:pt idx="2350">
                  <c:v>0.17079889768508799</c:v>
                </c:pt>
                <c:pt idx="2351">
                  <c:v>0.170799198323795</c:v>
                </c:pt>
                <c:pt idx="2352">
                  <c:v>0.17080070913064699</c:v>
                </c:pt>
                <c:pt idx="2353">
                  <c:v>0.17080343663441799</c:v>
                </c:pt>
                <c:pt idx="2354">
                  <c:v>0.17080738757332301</c:v>
                </c:pt>
                <c:pt idx="2355">
                  <c:v>0.17081256889201399</c:v>
                </c:pt>
                <c:pt idx="2356">
                  <c:v>0.170818987738524</c:v>
                </c:pt>
                <c:pt idx="2357">
                  <c:v>0.17082665146114001</c:v>
                </c:pt>
                <c:pt idx="2358">
                  <c:v>0.170835567605227</c:v>
                </c:pt>
                <c:pt idx="2359">
                  <c:v>0.170845743909982</c:v>
                </c:pt>
                <c:pt idx="2360">
                  <c:v>0.170857188305132</c:v>
                </c:pt>
                <c:pt idx="2361">
                  <c:v>0.17086990890756701</c:v>
                </c:pt>
                <c:pt idx="2362">
                  <c:v>0.170883914017919</c:v>
                </c:pt>
                <c:pt idx="2363">
                  <c:v>0.17089921211706699</c:v>
                </c:pt>
                <c:pt idx="2364">
                  <c:v>0.17091581186259799</c:v>
                </c:pt>
                <c:pt idx="2365">
                  <c:v>0.170933722085189</c:v>
                </c:pt>
                <c:pt idx="2366">
                  <c:v>0.17095295178493999</c:v>
                </c:pt>
                <c:pt idx="2367">
                  <c:v>0.170973510127642</c:v>
                </c:pt>
                <c:pt idx="2368">
                  <c:v>0.17099540644098499</c:v>
                </c:pt>
                <c:pt idx="2369">
                  <c:v>0.17101865021070001</c:v>
                </c:pt>
                <c:pt idx="2370">
                  <c:v>0.171043251076649</c:v>
                </c:pt>
                <c:pt idx="2371">
                  <c:v>0.17106921882884699</c:v>
                </c:pt>
                <c:pt idx="2372">
                  <c:v>0.17109656340342499</c:v>
                </c:pt>
                <c:pt idx="2373">
                  <c:v>0.171125294878538</c:v>
                </c:pt>
                <c:pt idx="2374">
                  <c:v>0.17115542347020499</c:v>
                </c:pt>
                <c:pt idx="2375">
                  <c:v>0.17118695952809301</c:v>
                </c:pt>
                <c:pt idx="2376">
                  <c:v>0.17121991353124399</c:v>
                </c:pt>
                <c:pt idx="2377">
                  <c:v>0.17125429608374099</c:v>
                </c:pt>
                <c:pt idx="2378">
                  <c:v>0.17129011791031201</c:v>
                </c:pt>
                <c:pt idx="2379">
                  <c:v>0.17132738985188001</c:v>
                </c:pt>
                <c:pt idx="2380">
                  <c:v>0.17136612286105701</c:v>
                </c:pt>
                <c:pt idx="2381">
                  <c:v>0.17140632799757</c:v>
                </c:pt>
                <c:pt idx="2382">
                  <c:v>0.17144801642364699</c:v>
                </c:pt>
                <c:pt idx="2383">
                  <c:v>0.171491199399329</c:v>
                </c:pt>
                <c:pt idx="2384">
                  <c:v>0.17153588827774</c:v>
                </c:pt>
                <c:pt idx="2385">
                  <c:v>0.17158209450029199</c:v>
                </c:pt>
                <c:pt idx="2386">
                  <c:v>0.171629829591845</c:v>
                </c:pt>
                <c:pt idx="2387">
                  <c:v>0.17167910515580401</c:v>
                </c:pt>
                <c:pt idx="2388">
                  <c:v>0.17172993286916799</c:v>
                </c:pt>
                <c:pt idx="2389">
                  <c:v>0.171782324477527</c:v>
                </c:pt>
                <c:pt idx="2390">
                  <c:v>0.17183629179000701</c:v>
                </c:pt>
                <c:pt idx="2391">
                  <c:v>0.17189184667415899</c:v>
                </c:pt>
                <c:pt idx="2392">
                  <c:v>0.17194900105080901</c:v>
                </c:pt>
                <c:pt idx="2393">
                  <c:v>0.172007766888848</c:v>
                </c:pt>
                <c:pt idx="2394">
                  <c:v>0.172068156199983</c:v>
                </c:pt>
                <c:pt idx="2395">
                  <c:v>0.172130181033433</c:v>
                </c:pt>
                <c:pt idx="2396">
                  <c:v>0.17219385347058799</c:v>
                </c:pt>
                <c:pt idx="2397">
                  <c:v>0.17225918561961401</c:v>
                </c:pt>
                <c:pt idx="2398">
                  <c:v>0.172326189610022</c:v>
                </c:pt>
                <c:pt idx="2399">
                  <c:v>0.17239487758718799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2736"/>
        <c:axId val="148294272"/>
      </c:scatterChart>
      <c:valAx>
        <c:axId val="148284544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286464"/>
        <c:crosses val="autoZero"/>
        <c:crossBetween val="midCat"/>
        <c:majorUnit val="30"/>
      </c:valAx>
      <c:valAx>
        <c:axId val="14828646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2.34375E-2"/>
              <c:y val="0.325334173228346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284544"/>
        <c:crosses val="autoZero"/>
        <c:crossBetween val="midCat"/>
        <c:majorUnit val="1"/>
        <c:minorUnit val="0.25"/>
      </c:valAx>
      <c:valAx>
        <c:axId val="14829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294272"/>
        <c:crosses val="autoZero"/>
        <c:crossBetween val="midCat"/>
      </c:valAx>
      <c:valAx>
        <c:axId val="148294272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292736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temp!$A$27:$A$4027</c:f>
              <c:numCache>
                <c:formatCode>General</c:formatCode>
                <c:ptCount val="4001"/>
              </c:numCache>
            </c:numRef>
          </c:xVal>
          <c:yVal>
            <c:numRef>
              <c:f>temp!$K$27:$K$4027</c:f>
              <c:numCache>
                <c:formatCode>0.00E+00</c:formatCode>
                <c:ptCount val="4001"/>
              </c:numCache>
            </c:numRef>
          </c:yVal>
          <c:smooth val="1"/>
        </c:ser>
        <c:ser>
          <c:idx val="2"/>
          <c:order val="2"/>
          <c:tx>
            <c:strRef>
              <c:f>temp!$S$1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temp!$T$2:$T$4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temp!$S$2:$S$4</c:f>
              <c:numCache>
                <c:formatCode>0.00</c:formatCode>
                <c:ptCount val="3"/>
                <c:pt idx="0">
                  <c:v>4.5063235829590962</c:v>
                </c:pt>
                <c:pt idx="1">
                  <c:v>4.5063235829590962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temp!$S$6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temp!$T$7:$T$9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temp!$S$7:$S$9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temp!$V$6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temp!$W$7:$W$9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temp!$V$7:$V$9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temp!$Y$6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temp!$Z$7:$Z$9</c:f>
              <c:numCache>
                <c:formatCode>0.00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temp!$Y$7:$Y$9</c:f>
              <c:numCache>
                <c:formatCode>0.00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2960"/>
        <c:axId val="218634880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temp!$A$27:$A$4027</c:f>
              <c:numCache>
                <c:formatCode>General</c:formatCode>
                <c:ptCount val="4001"/>
              </c:numCache>
            </c:numRef>
          </c:xVal>
          <c:yVal>
            <c:numRef>
              <c:f>temp!$G$27:$G$4027</c:f>
              <c:numCache>
                <c:formatCode>0.00E+00</c:formatCode>
                <c:ptCount val="400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7056"/>
        <c:axId val="218638592"/>
      </c:scatterChart>
      <c:valAx>
        <c:axId val="218632960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634880"/>
        <c:crosses val="autoZero"/>
        <c:crossBetween val="midCat"/>
        <c:majorUnit val="30"/>
      </c:valAx>
      <c:valAx>
        <c:axId val="2186348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2.34375E-2"/>
              <c:y val="0.325334173228346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632960"/>
        <c:crosses val="autoZero"/>
        <c:crossBetween val="midCat"/>
        <c:majorUnit val="1"/>
        <c:minorUnit val="0.25"/>
      </c:valAx>
      <c:valAx>
        <c:axId val="218637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8638592"/>
        <c:crosses val="autoZero"/>
        <c:crossBetween val="midCat"/>
      </c:valAx>
      <c:valAx>
        <c:axId val="218638592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637056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17</xdr:row>
      <xdr:rowOff>0</xdr:rowOff>
    </xdr:from>
    <xdr:to>
      <xdr:col>27</xdr:col>
      <xdr:colOff>0</xdr:colOff>
      <xdr:row>39</xdr:row>
      <xdr:rowOff>9525</xdr:rowOff>
    </xdr:to>
    <xdr:graphicFrame macro="">
      <xdr:nvGraphicFramePr>
        <xdr:cNvPr id="2407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17</xdr:row>
      <xdr:rowOff>0</xdr:rowOff>
    </xdr:from>
    <xdr:to>
      <xdr:col>27</xdr:col>
      <xdr:colOff>0</xdr:colOff>
      <xdr:row>39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426"/>
  <sheetViews>
    <sheetView workbookViewId="0">
      <selection activeCell="G22" sqref="G22"/>
    </sheetView>
  </sheetViews>
  <sheetFormatPr defaultRowHeight="11.25" x14ac:dyDescent="0.2"/>
  <cols>
    <col min="1" max="1" width="6.140625" style="23" bestFit="1" customWidth="1"/>
    <col min="2" max="2" width="7.140625" style="20" bestFit="1" customWidth="1"/>
    <col min="3" max="3" width="7.28515625" style="20" bestFit="1" customWidth="1"/>
    <col min="4" max="4" width="7.140625" style="20" bestFit="1" customWidth="1"/>
    <col min="5" max="5" width="7.28515625" style="20" bestFit="1" customWidth="1"/>
    <col min="6" max="6" width="7.7109375" style="20" customWidth="1"/>
    <col min="7" max="10" width="7.140625" style="20" bestFit="1" customWidth="1"/>
    <col min="11" max="11" width="9.140625" style="20"/>
    <col min="12" max="12" width="7.140625" style="20" bestFit="1" customWidth="1"/>
    <col min="13" max="13" width="7.5703125" style="20" bestFit="1" customWidth="1"/>
    <col min="14" max="14" width="2" style="20" bestFit="1" customWidth="1"/>
    <col min="15" max="16" width="9.140625" style="20"/>
    <col min="17" max="17" width="11.85546875" style="23" bestFit="1" customWidth="1"/>
    <col min="18" max="18" width="14.28515625" style="23" bestFit="1" customWidth="1"/>
    <col min="19" max="19" width="10.140625" style="23" customWidth="1"/>
    <col min="20" max="16384" width="9.140625" style="23"/>
  </cols>
  <sheetData>
    <row r="1" spans="1:27" x14ac:dyDescent="0.2">
      <c r="A1" s="32">
        <f>A25-49.3</f>
        <v>7824.7157479999996</v>
      </c>
      <c r="B1" s="15">
        <v>0</v>
      </c>
      <c r="C1" s="15">
        <v>2</v>
      </c>
      <c r="D1" s="15">
        <v>4</v>
      </c>
      <c r="E1" s="15">
        <v>6</v>
      </c>
      <c r="F1" s="15">
        <v>8</v>
      </c>
      <c r="G1" s="15">
        <v>10</v>
      </c>
      <c r="H1" s="15">
        <v>12</v>
      </c>
      <c r="I1" s="15">
        <v>14</v>
      </c>
      <c r="J1" s="15">
        <v>16</v>
      </c>
      <c r="L1" s="20" t="s">
        <v>65</v>
      </c>
      <c r="M1" s="20" t="s">
        <v>66</v>
      </c>
      <c r="N1" s="15" t="s">
        <v>67</v>
      </c>
      <c r="O1" s="15" t="s">
        <v>64</v>
      </c>
      <c r="Q1" s="21" t="s">
        <v>57</v>
      </c>
      <c r="R1" s="22">
        <v>1</v>
      </c>
      <c r="S1" s="21" t="s">
        <v>59</v>
      </c>
      <c r="T1" s="21"/>
      <c r="U1" s="21" t="s">
        <v>9</v>
      </c>
      <c r="V1" s="21"/>
    </row>
    <row r="2" spans="1:27" x14ac:dyDescent="0.2">
      <c r="A2" s="15"/>
      <c r="B2" s="24">
        <f t="shared" ref="B2:J2" si="0">360-B3</f>
        <v>180</v>
      </c>
      <c r="C2" s="24">
        <f t="shared" si="0"/>
        <v>185.27164089061699</v>
      </c>
      <c r="D2" s="24">
        <f t="shared" si="0"/>
        <v>194.000619044709</v>
      </c>
      <c r="E2" s="24">
        <f t="shared" si="0"/>
        <v>208.110246299587</v>
      </c>
      <c r="F2" s="24">
        <f t="shared" si="0"/>
        <v>230.01596080632399</v>
      </c>
      <c r="G2" s="24">
        <f t="shared" si="0"/>
        <v>262.92636856857331</v>
      </c>
      <c r="H2" s="24">
        <f t="shared" si="0"/>
        <v>316.30181971324299</v>
      </c>
      <c r="I2" s="24">
        <f t="shared" si="0"/>
        <v>360</v>
      </c>
      <c r="J2" s="24">
        <f t="shared" si="0"/>
        <v>360</v>
      </c>
      <c r="L2" s="33">
        <v>1</v>
      </c>
      <c r="M2" s="20" t="e">
        <f ca="1">FORECAST(L2,OFFSET($G$27:$G$3226,MATCH(L2,$M$27:$M$3226,1)-1,0,2),OFFSET($M$27:$M$3226,MATCH(L2,$M$27:$M$3226,1)-1,0,2))</f>
        <v>#DIV/0!</v>
      </c>
      <c r="N2" s="15">
        <f ca="1">IF(O2&lt;100,6,IF(O2&lt;115,5,IF(O2&lt;130,4,IF(O2&lt;145,3,IF(O2&lt;160,2,1)))))</f>
        <v>1</v>
      </c>
      <c r="O2" s="15">
        <f ca="1">FORECAST(L2,OFFSET($B$2:$J$2,0,MATCH(L2,$B$1:$J$1,1)-1,1,2),OFFSET($B$1:$J$1,0,MATCH(L2,$B$1:$J$1,1)-1,1,2))</f>
        <v>182.6358204453085</v>
      </c>
      <c r="Q2" s="21" t="s">
        <v>40</v>
      </c>
      <c r="R2" s="22">
        <f>INDEX(derpsum!$C$1:$G$12,$R$1,1)</f>
        <v>4.5063235829590962</v>
      </c>
      <c r="S2" s="22">
        <f>MIN(R4,R2)</f>
        <v>4.5063235829590962</v>
      </c>
      <c r="T2" s="22">
        <v>0</v>
      </c>
      <c r="U2" s="25">
        <v>30</v>
      </c>
      <c r="V2" s="22">
        <f>S2</f>
        <v>4.5063235829590962</v>
      </c>
      <c r="W2" s="22">
        <f t="shared" ref="V2:W4" si="1">T2</f>
        <v>0</v>
      </c>
      <c r="X2" s="25">
        <v>45</v>
      </c>
      <c r="Y2" s="22">
        <f t="shared" ref="Y2:Z4" si="2">V2</f>
        <v>4.5063235829590962</v>
      </c>
      <c r="Z2" s="22">
        <f t="shared" si="2"/>
        <v>0</v>
      </c>
      <c r="AA2" s="25">
        <v>60</v>
      </c>
    </row>
    <row r="3" spans="1:27" x14ac:dyDescent="0.2">
      <c r="A3" s="15" t="s">
        <v>64</v>
      </c>
      <c r="B3" s="26">
        <v>180</v>
      </c>
      <c r="C3" s="26">
        <v>174.72835910938301</v>
      </c>
      <c r="D3" s="26">
        <v>165.999380955291</v>
      </c>
      <c r="E3" s="26">
        <v>151.889753700413</v>
      </c>
      <c r="F3" s="26">
        <v>129.98403919367601</v>
      </c>
      <c r="G3" s="26">
        <v>97.073631431426705</v>
      </c>
      <c r="H3" s="26">
        <v>43.698180286757001</v>
      </c>
      <c r="I3" s="26">
        <v>0</v>
      </c>
      <c r="J3" s="26">
        <v>0</v>
      </c>
      <c r="L3" s="33">
        <v>2</v>
      </c>
      <c r="M3" s="20" t="e">
        <f t="shared" ref="M3:M10" ca="1" si="3">FORECAST(L3,OFFSET($G$27:$G$3226,MATCH(L3,$M$27:$M$3226,1)-1,0,2),OFFSET($M$27:$M$3226,MATCH(L3,$M$27:$M$3226,1)-1,0,2))</f>
        <v>#DIV/0!</v>
      </c>
      <c r="N3" s="15">
        <f t="shared" ref="N3:N9" ca="1" si="4">IF(O3&lt;100,6,IF(O3&lt;115,5,IF(O3&lt;130,4,IF(O3&lt;145,3,IF(O3&lt;160,2,1)))))</f>
        <v>1</v>
      </c>
      <c r="O3" s="15">
        <f t="shared" ref="O3:O9" ca="1" si="5">FORECAST(L3,OFFSET($B$2:$J$2,0,MATCH(L3,$B$1:$J$1,1)-1,1,2),OFFSET($B$1:$J$1,0,MATCH(L3,$B$1:$J$1,1)-1,1,2))</f>
        <v>185.27164089061702</v>
      </c>
      <c r="Q3" s="21" t="s">
        <v>41</v>
      </c>
      <c r="R3" s="22" t="str">
        <f>INDEX(derpsum!$C$1:$G$12,$R$1,2)</f>
        <v>Max Stress Ratio</v>
      </c>
      <c r="S3" s="22">
        <f>S2</f>
        <v>4.5063235829590962</v>
      </c>
      <c r="T3" s="22">
        <f ca="1">FORECAST(S3,OFFSET($A$27:$A$2500,MATCH(S3,$K$27:$K$2500,1)-1,0,2),OFFSET($K$27:$K$2500,MATCH(S3,$K$27:$K$2500,1)-1,0,2))</f>
        <v>158.58879355454434</v>
      </c>
      <c r="V3" s="22">
        <f t="shared" si="1"/>
        <v>4.5063235829590962</v>
      </c>
      <c r="W3" s="22">
        <f ca="1">T3</f>
        <v>158.58879355454434</v>
      </c>
      <c r="Y3" s="22">
        <f t="shared" si="2"/>
        <v>4.5063235829590962</v>
      </c>
      <c r="Z3" s="22">
        <f t="shared" ca="1" si="2"/>
        <v>158.58879355454434</v>
      </c>
    </row>
    <row r="4" spans="1:27" x14ac:dyDescent="0.2">
      <c r="A4" s="15">
        <v>0</v>
      </c>
      <c r="B4" s="26">
        <v>0.43000000000267402</v>
      </c>
      <c r="C4" s="26">
        <v>1.33487507209312</v>
      </c>
      <c r="D4" s="26">
        <v>1.37087855184222</v>
      </c>
      <c r="E4" s="26">
        <v>1.2368663772089801</v>
      </c>
      <c r="F4" s="26">
        <v>1.0365706523668501</v>
      </c>
      <c r="G4" s="26">
        <v>0.59897184329711295</v>
      </c>
      <c r="H4" s="26">
        <v>0.18688174009268399</v>
      </c>
      <c r="I4" s="26">
        <v>0</v>
      </c>
      <c r="J4" s="26">
        <v>0</v>
      </c>
      <c r="L4" s="33">
        <v>3</v>
      </c>
      <c r="M4" s="20" t="e">
        <f t="shared" ca="1" si="3"/>
        <v>#DIV/0!</v>
      </c>
      <c r="N4" s="15">
        <f t="shared" ca="1" si="4"/>
        <v>1</v>
      </c>
      <c r="O4" s="15">
        <f t="shared" ca="1" si="5"/>
        <v>189.63612996766301</v>
      </c>
      <c r="Q4" s="21" t="s">
        <v>42</v>
      </c>
      <c r="R4" s="22">
        <f>INDEX(derpsum!$C$1:$G$12,$R$1,4)</f>
        <v>5.1931467212848279</v>
      </c>
      <c r="S4" s="22">
        <v>0</v>
      </c>
      <c r="T4" s="22">
        <f ca="1">T3</f>
        <v>158.58879355454434</v>
      </c>
      <c r="V4" s="22">
        <f t="shared" si="1"/>
        <v>0</v>
      </c>
      <c r="W4" s="22">
        <f t="shared" ca="1" si="1"/>
        <v>158.58879355454434</v>
      </c>
      <c r="Y4" s="22">
        <f t="shared" si="2"/>
        <v>0</v>
      </c>
      <c r="Z4" s="22">
        <f t="shared" ca="1" si="2"/>
        <v>158.58879355454434</v>
      </c>
    </row>
    <row r="5" spans="1:27" x14ac:dyDescent="0.2">
      <c r="A5" s="15">
        <v>177</v>
      </c>
      <c r="B5" s="26">
        <v>0.43000000000267402</v>
      </c>
      <c r="C5" s="26">
        <v>1.29499484384198</v>
      </c>
      <c r="D5" s="26">
        <v>1.33038180150492</v>
      </c>
      <c r="E5" s="26">
        <v>1.1998162919533499</v>
      </c>
      <c r="F5" s="26">
        <v>1.00453479207008</v>
      </c>
      <c r="G5" s="26">
        <v>0.57747276446701401</v>
      </c>
      <c r="H5" s="26">
        <v>0.173347989760676</v>
      </c>
      <c r="I5" s="26">
        <v>0</v>
      </c>
      <c r="J5" s="26">
        <v>0</v>
      </c>
      <c r="L5" s="33">
        <v>4</v>
      </c>
      <c r="M5" s="20" t="e">
        <f t="shared" ca="1" si="3"/>
        <v>#DIV/0!</v>
      </c>
      <c r="N5" s="15">
        <f t="shared" ca="1" si="4"/>
        <v>1</v>
      </c>
      <c r="O5" s="15">
        <f t="shared" ca="1" si="5"/>
        <v>194.00061904470903</v>
      </c>
      <c r="Q5" s="21" t="s">
        <v>41</v>
      </c>
      <c r="R5" s="22" t="str">
        <f>INDEX(derpsum!$C$1:$G$12,$R$1,5)</f>
        <v>Max Stress Ratio</v>
      </c>
    </row>
    <row r="6" spans="1:27" x14ac:dyDescent="0.2">
      <c r="A6" s="15">
        <v>276</v>
      </c>
      <c r="B6" s="26">
        <v>0.39000000000242502</v>
      </c>
      <c r="C6" s="26">
        <v>1.31251727079097</v>
      </c>
      <c r="D6" s="26">
        <v>1.3467582218404801</v>
      </c>
      <c r="E6" s="26">
        <v>1.2164432830129499</v>
      </c>
      <c r="F6" s="26">
        <v>1.0220249125168199</v>
      </c>
      <c r="G6" s="26">
        <v>0.59837770362751896</v>
      </c>
      <c r="H6" s="26">
        <v>0.20422608978748599</v>
      </c>
      <c r="I6" s="26">
        <v>0</v>
      </c>
      <c r="J6" s="26">
        <v>0</v>
      </c>
      <c r="L6" s="33">
        <v>6</v>
      </c>
      <c r="M6" s="20" t="e">
        <f t="shared" ca="1" si="3"/>
        <v>#DIV/0!</v>
      </c>
      <c r="N6" s="15">
        <f t="shared" ca="1" si="4"/>
        <v>1</v>
      </c>
      <c r="O6" s="15">
        <f t="shared" ca="1" si="5"/>
        <v>208.11024629958703</v>
      </c>
      <c r="Q6" s="21" t="s">
        <v>43</v>
      </c>
      <c r="R6" s="22" t="str">
        <f ca="1">MID(CELL("filename",R1),FIND("]",CELL("filename",R1))+1,255)</f>
        <v>1yN90</v>
      </c>
      <c r="S6" s="21" t="s">
        <v>58</v>
      </c>
      <c r="T6" s="21"/>
      <c r="V6" s="21" t="s">
        <v>60</v>
      </c>
      <c r="W6" s="21"/>
      <c r="Y6" s="21" t="s">
        <v>61</v>
      </c>
      <c r="Z6" s="21"/>
      <c r="AA6" s="21"/>
    </row>
    <row r="7" spans="1:27" x14ac:dyDescent="0.2">
      <c r="A7" s="15">
        <v>1640</v>
      </c>
      <c r="B7" s="26">
        <v>0.41000000000254899</v>
      </c>
      <c r="C7" s="26">
        <v>0.98529538379307202</v>
      </c>
      <c r="D7" s="26">
        <v>1.01526519604796</v>
      </c>
      <c r="E7" s="26">
        <v>0.91254115527255397</v>
      </c>
      <c r="F7" s="26">
        <v>0.75803451769902896</v>
      </c>
      <c r="G7" s="26">
        <v>0.41785564958323002</v>
      </c>
      <c r="H7" s="26">
        <v>8.2878633593113898E-2</v>
      </c>
      <c r="I7" s="26">
        <v>0</v>
      </c>
      <c r="J7" s="26">
        <v>0</v>
      </c>
      <c r="L7" s="33">
        <v>8</v>
      </c>
      <c r="M7" s="20" t="e">
        <f t="shared" ca="1" si="3"/>
        <v>#DIV/0!</v>
      </c>
      <c r="N7" s="15">
        <f t="shared" ca="1" si="4"/>
        <v>1</v>
      </c>
      <c r="O7" s="15">
        <f t="shared" ca="1" si="5"/>
        <v>230.01596080632402</v>
      </c>
      <c r="Q7" s="23" t="s">
        <v>44</v>
      </c>
      <c r="S7" s="22">
        <f ca="1">FORECAST(T8,OFFSET($K$27:$K$2500,MATCH(T8,$A$27:$A$2500,1)-1,0,2),OFFSET($A$27:$A$2500,MATCH(T8,$A$27:$A$2500,1)-1,0,2))</f>
        <v>3.309582694840941</v>
      </c>
      <c r="T7" s="22">
        <v>0</v>
      </c>
      <c r="V7" s="22">
        <f ca="1">FORECAST(W8,OFFSET($K$27:$K$2500,MATCH(W8,$A$27:$A$2500,1)-1,0,2),OFFSET($A$27:$A$2500,MATCH(W8,$A$27:$A$2500,1)-1,0,2))</f>
        <v>2.7217919297985125</v>
      </c>
      <c r="W7" s="22">
        <v>0</v>
      </c>
      <c r="Y7" s="22">
        <f ca="1">FORECAST(Z8,OFFSET($K$27:$K$2500,MATCH(Z8,$A$27:$A$2500,1)-1,0,2),OFFSET($A$27:$A$2500,MATCH(Z8,$A$27:$A$2500,1)-1,0,2))</f>
        <v>2.1551568778456058</v>
      </c>
      <c r="Z7" s="22">
        <v>0</v>
      </c>
    </row>
    <row r="8" spans="1:27" x14ac:dyDescent="0.2">
      <c r="A8" s="15">
        <v>2625</v>
      </c>
      <c r="B8" s="26">
        <v>0.39000000000242502</v>
      </c>
      <c r="C8" s="26">
        <v>0.78331306771007703</v>
      </c>
      <c r="D8" s="26">
        <v>0.80960969725756404</v>
      </c>
      <c r="E8" s="26">
        <v>0.72561312918550402</v>
      </c>
      <c r="F8" s="26">
        <v>0.59865624364641101</v>
      </c>
      <c r="G8" s="26">
        <v>0.31817807913894303</v>
      </c>
      <c r="H8" s="26">
        <v>3.8190194864232502E-2</v>
      </c>
      <c r="I8" s="26">
        <v>0</v>
      </c>
      <c r="J8" s="26">
        <v>0</v>
      </c>
      <c r="L8" s="33">
        <v>9</v>
      </c>
      <c r="M8" s="20" t="e">
        <f t="shared" ca="1" si="3"/>
        <v>#DIV/0!</v>
      </c>
      <c r="N8" s="15">
        <f t="shared" ca="1" si="4"/>
        <v>1</v>
      </c>
      <c r="O8" s="15">
        <f t="shared" ca="1" si="5"/>
        <v>246.47116468744866</v>
      </c>
      <c r="S8" s="22">
        <f ca="1">S7</f>
        <v>3.309582694840941</v>
      </c>
      <c r="T8" s="22">
        <f ca="1">T3-U2</f>
        <v>128.58879355454434</v>
      </c>
      <c r="V8" s="22">
        <f ca="1">V7</f>
        <v>2.7217919297985125</v>
      </c>
      <c r="W8" s="22">
        <f ca="1">W3-X2</f>
        <v>113.58879355454434</v>
      </c>
      <c r="Y8" s="22">
        <f ca="1">Y7</f>
        <v>2.1551568778456058</v>
      </c>
      <c r="Z8" s="22">
        <f ca="1">Z3-AA2</f>
        <v>98.588793554544338</v>
      </c>
    </row>
    <row r="9" spans="1:27" x14ac:dyDescent="0.2">
      <c r="A9" s="15">
        <v>3937</v>
      </c>
      <c r="B9" s="26">
        <v>0.43000000000267402</v>
      </c>
      <c r="C9" s="26">
        <v>0.448266065257858</v>
      </c>
      <c r="D9" s="26">
        <v>0.472480219950355</v>
      </c>
      <c r="E9" s="26">
        <v>0.41991835092677399</v>
      </c>
      <c r="F9" s="26">
        <v>0.339204732454577</v>
      </c>
      <c r="G9" s="26">
        <v>0.17254146767046399</v>
      </c>
      <c r="H9" s="26">
        <v>0.12999772970031301</v>
      </c>
      <c r="I9" s="26">
        <v>0</v>
      </c>
      <c r="J9" s="26">
        <v>0</v>
      </c>
      <c r="L9" s="33">
        <v>10</v>
      </c>
      <c r="M9" s="20" t="e">
        <f t="shared" ca="1" si="3"/>
        <v>#DIV/0!</v>
      </c>
      <c r="N9" s="15">
        <f t="shared" ca="1" si="4"/>
        <v>1</v>
      </c>
      <c r="O9" s="15">
        <f t="shared" ca="1" si="5"/>
        <v>262.92636856857331</v>
      </c>
      <c r="S9" s="22">
        <v>0</v>
      </c>
      <c r="T9" s="22">
        <f ca="1">T8</f>
        <v>128.58879355454434</v>
      </c>
      <c r="V9" s="22">
        <v>0</v>
      </c>
      <c r="W9" s="22">
        <f ca="1">W8</f>
        <v>113.58879355454434</v>
      </c>
      <c r="Y9" s="22">
        <v>0</v>
      </c>
      <c r="Z9" s="22">
        <f ca="1">Z8</f>
        <v>98.588793554544338</v>
      </c>
    </row>
    <row r="10" spans="1:27" x14ac:dyDescent="0.2">
      <c r="A10" s="15">
        <v>5906</v>
      </c>
      <c r="B10" s="26">
        <v>0.76000000000472601</v>
      </c>
      <c r="C10" s="26">
        <v>0.33005698147453899</v>
      </c>
      <c r="D10" s="26">
        <v>0.33492904500934101</v>
      </c>
      <c r="E10" s="26">
        <v>0.38722044621471802</v>
      </c>
      <c r="F10" s="26">
        <v>0.44599981913197201</v>
      </c>
      <c r="G10" s="26">
        <v>0.54068459662394797</v>
      </c>
      <c r="H10" s="26">
        <v>0.61075003155868401</v>
      </c>
      <c r="I10" s="26">
        <v>0</v>
      </c>
      <c r="J10" s="26">
        <v>0</v>
      </c>
      <c r="L10" s="33">
        <v>11</v>
      </c>
      <c r="M10" s="20" t="e">
        <f t="shared" ca="1" si="3"/>
        <v>#DIV/0!</v>
      </c>
      <c r="N10" s="15">
        <f ca="1">IF(O10&lt;100,6,IF(O10&lt;115,5,IF(O10&lt;130,4,IF(O10&lt;145,3,IF(O10&lt;160,2,1)))))</f>
        <v>1</v>
      </c>
      <c r="O10" s="15">
        <f ca="1">FORECAST(L10,OFFSET($B$2:$J$2,0,MATCH(L10,$B$1:$J$1,1)-1,1,2),OFFSET($B$1:$J$1,0,MATCH(L10,$B$1:$J$1,1)-1,1,2))</f>
        <v>289.61409414090815</v>
      </c>
      <c r="S10" s="22"/>
      <c r="T10" s="22"/>
      <c r="U10" s="22"/>
    </row>
    <row r="11" spans="1:27" x14ac:dyDescent="0.2">
      <c r="A11" s="15">
        <v>7218</v>
      </c>
      <c r="B11" s="26">
        <v>0.80000000000497395</v>
      </c>
      <c r="C11" s="26">
        <v>0.66367569792505199</v>
      </c>
      <c r="D11" s="26">
        <v>0.66338648837789105</v>
      </c>
      <c r="E11" s="26">
        <v>0.67804752694210801</v>
      </c>
      <c r="F11" s="26">
        <v>0.69662750813142504</v>
      </c>
      <c r="G11" s="26">
        <v>0.72905789426548595</v>
      </c>
      <c r="H11" s="26">
        <v>0.75277415970796402</v>
      </c>
      <c r="I11" s="26">
        <v>0</v>
      </c>
      <c r="J11" s="26">
        <v>0</v>
      </c>
      <c r="S11" s="22">
        <f ca="1">S8</f>
        <v>3.309582694840941</v>
      </c>
      <c r="T11" s="22">
        <f ca="1">V8</f>
        <v>2.7217919297985125</v>
      </c>
      <c r="U11" s="22">
        <f ca="1">Y8</f>
        <v>2.1551568778456058</v>
      </c>
    </row>
    <row r="12" spans="1:27" x14ac:dyDescent="0.2">
      <c r="A12" s="15">
        <v>7874</v>
      </c>
      <c r="B12" s="26">
        <v>0.82000000000509898</v>
      </c>
      <c r="C12" s="26">
        <v>0.83108364928585199</v>
      </c>
      <c r="D12" s="26">
        <v>0.83113683358559698</v>
      </c>
      <c r="E12" s="26">
        <v>0.82998578880854101</v>
      </c>
      <c r="F12" s="26">
        <v>0.82848802068814997</v>
      </c>
      <c r="G12" s="26">
        <v>0.82580690414657898</v>
      </c>
      <c r="H12" s="26">
        <v>0.82383851474873704</v>
      </c>
      <c r="I12" s="26">
        <v>0</v>
      </c>
      <c r="J12" s="26">
        <v>0</v>
      </c>
      <c r="S12" s="22">
        <f ca="1">T8</f>
        <v>128.58879355454434</v>
      </c>
      <c r="T12" s="22">
        <f ca="1">W8</f>
        <v>113.58879355454434</v>
      </c>
      <c r="U12" s="22">
        <f ca="1">Z8</f>
        <v>98.588793554544338</v>
      </c>
    </row>
    <row r="13" spans="1:27" x14ac:dyDescent="0.2">
      <c r="A13" s="15"/>
      <c r="B13" s="26"/>
      <c r="C13" s="26"/>
      <c r="D13" s="26"/>
      <c r="E13" s="26"/>
      <c r="F13" s="26"/>
      <c r="G13" s="26"/>
      <c r="H13" s="26"/>
      <c r="I13" s="26"/>
      <c r="J13" s="26"/>
      <c r="S13" s="27"/>
      <c r="T13" s="27"/>
      <c r="U13" s="27"/>
    </row>
    <row r="14" spans="1:27" x14ac:dyDescent="0.2">
      <c r="A14" s="15"/>
      <c r="B14" s="26"/>
      <c r="C14" s="26"/>
      <c r="D14" s="26"/>
      <c r="E14" s="26"/>
      <c r="F14" s="26"/>
      <c r="G14" s="26"/>
      <c r="H14" s="26"/>
      <c r="I14" s="26"/>
      <c r="J14" s="26"/>
      <c r="S14" s="27"/>
      <c r="T14" s="27"/>
      <c r="U14" s="27"/>
    </row>
    <row r="15" spans="1:27" x14ac:dyDescent="0.2">
      <c r="A15" s="15"/>
      <c r="B15" s="26"/>
      <c r="C15" s="26"/>
      <c r="D15" s="26"/>
      <c r="E15" s="26"/>
      <c r="F15" s="26"/>
      <c r="G15" s="26"/>
      <c r="H15" s="26"/>
      <c r="I15" s="26"/>
      <c r="J15" s="26"/>
      <c r="Q15" s="28"/>
    </row>
    <row r="16" spans="1:27" x14ac:dyDescent="0.2">
      <c r="A16" s="15"/>
      <c r="B16" s="26"/>
      <c r="C16" s="26"/>
      <c r="D16" s="26"/>
      <c r="E16" s="26"/>
      <c r="F16" s="26"/>
      <c r="G16" s="26"/>
      <c r="H16" s="26"/>
      <c r="I16" s="26"/>
      <c r="J16" s="26"/>
    </row>
    <row r="17" spans="1:16" x14ac:dyDescent="0.2">
      <c r="A17" s="15"/>
      <c r="B17" s="26"/>
      <c r="C17" s="26"/>
      <c r="D17" s="26"/>
      <c r="E17" s="26"/>
      <c r="F17" s="26"/>
      <c r="G17" s="26"/>
      <c r="H17" s="26"/>
      <c r="I17" s="26"/>
      <c r="J17" s="26"/>
      <c r="P17" s="29"/>
    </row>
    <row r="18" spans="1:16" x14ac:dyDescent="0.2">
      <c r="A18" s="15"/>
      <c r="B18" s="26"/>
      <c r="C18" s="26"/>
      <c r="D18" s="26"/>
      <c r="E18" s="26"/>
      <c r="F18" s="26"/>
      <c r="G18" s="26"/>
      <c r="H18" s="26"/>
      <c r="I18" s="26"/>
      <c r="J18" s="26"/>
    </row>
    <row r="19" spans="1:16" x14ac:dyDescent="0.2">
      <c r="A19" s="15"/>
      <c r="B19" s="26"/>
      <c r="C19" s="26"/>
      <c r="D19" s="26"/>
      <c r="E19" s="26"/>
      <c r="F19" s="26"/>
      <c r="G19" s="26"/>
      <c r="H19" s="26"/>
      <c r="I19" s="26"/>
      <c r="J19" s="26"/>
      <c r="N19" s="23"/>
      <c r="O19" s="23"/>
    </row>
    <row r="20" spans="1:16" x14ac:dyDescent="0.2">
      <c r="A20" s="15"/>
      <c r="B20" s="26"/>
      <c r="C20" s="26"/>
      <c r="D20" s="26"/>
      <c r="E20" s="26"/>
      <c r="F20" s="26"/>
      <c r="G20" s="26"/>
      <c r="H20" s="26"/>
      <c r="I20" s="26"/>
      <c r="J20" s="26"/>
      <c r="N20" s="29"/>
      <c r="O20" s="29"/>
    </row>
    <row r="21" spans="1:16" x14ac:dyDescent="0.2">
      <c r="A21" s="15"/>
      <c r="B21" s="26"/>
      <c r="C21" s="26"/>
      <c r="D21" s="26"/>
      <c r="E21" s="26"/>
      <c r="F21" s="26"/>
      <c r="G21" s="26"/>
      <c r="H21" s="26"/>
      <c r="I21" s="26"/>
      <c r="J21" s="26"/>
    </row>
    <row r="22" spans="1:16" x14ac:dyDescent="0.2">
      <c r="A22" s="15"/>
      <c r="B22" s="26"/>
      <c r="C22" s="26"/>
      <c r="D22" s="26"/>
      <c r="E22" s="26"/>
      <c r="F22" s="26"/>
      <c r="G22" s="26"/>
      <c r="H22" s="26"/>
      <c r="I22" s="26"/>
      <c r="J22" s="26"/>
    </row>
    <row r="23" spans="1:16" x14ac:dyDescent="0.2">
      <c r="A23" s="15"/>
      <c r="B23" s="26"/>
      <c r="C23" s="26"/>
      <c r="D23" s="26"/>
      <c r="E23" s="26"/>
      <c r="F23" s="26"/>
      <c r="G23" s="26"/>
      <c r="H23" s="26"/>
      <c r="I23" s="26"/>
      <c r="J23" s="26"/>
    </row>
    <row r="25" spans="1:16" x14ac:dyDescent="0.2">
      <c r="A25" s="32">
        <v>7874.0157479999998</v>
      </c>
      <c r="B25" s="20" t="s">
        <v>45</v>
      </c>
      <c r="C25" s="20" t="s">
        <v>46</v>
      </c>
      <c r="D25" s="20" t="s">
        <v>47</v>
      </c>
      <c r="E25" s="20" t="s">
        <v>48</v>
      </c>
      <c r="F25" s="20" t="s">
        <v>49</v>
      </c>
      <c r="G25" s="20" t="s">
        <v>50</v>
      </c>
      <c r="H25" s="20" t="s">
        <v>51</v>
      </c>
      <c r="I25" s="20" t="s">
        <v>52</v>
      </c>
      <c r="J25" s="20" t="s">
        <v>53</v>
      </c>
      <c r="K25" s="20" t="s">
        <v>54</v>
      </c>
      <c r="L25" s="20" t="s">
        <v>55</v>
      </c>
      <c r="M25" s="20" t="s">
        <v>56</v>
      </c>
    </row>
    <row r="26" spans="1:16" x14ac:dyDescent="0.2">
      <c r="A26" s="30" t="s">
        <v>0</v>
      </c>
      <c r="B26" s="30" t="s">
        <v>1</v>
      </c>
      <c r="C26" s="30" t="s">
        <v>8</v>
      </c>
      <c r="D26" s="30" t="s">
        <v>7</v>
      </c>
      <c r="E26" s="30" t="s">
        <v>6</v>
      </c>
      <c r="F26" s="30" t="s">
        <v>5</v>
      </c>
      <c r="G26" s="30" t="s">
        <v>4</v>
      </c>
      <c r="H26" s="30" t="s">
        <v>3</v>
      </c>
      <c r="I26" s="30" t="s">
        <v>2</v>
      </c>
      <c r="J26" s="30"/>
      <c r="K26" s="29" t="s">
        <v>39</v>
      </c>
    </row>
    <row r="27" spans="1:16" x14ac:dyDescent="0.2">
      <c r="A27" s="23">
        <v>0</v>
      </c>
      <c r="B27" s="20">
        <v>0</v>
      </c>
      <c r="C27" s="20">
        <v>0</v>
      </c>
      <c r="D27" s="20">
        <v>0</v>
      </c>
      <c r="E27" s="20">
        <v>0</v>
      </c>
      <c r="F27" s="20">
        <v>0</v>
      </c>
      <c r="G27" s="20">
        <v>0</v>
      </c>
      <c r="H27" s="20">
        <v>5.3372430577811103E-2</v>
      </c>
      <c r="I27" s="20">
        <v>172.97402180314199</v>
      </c>
      <c r="J27" s="20">
        <v>0</v>
      </c>
      <c r="K27" s="20">
        <v>0</v>
      </c>
      <c r="L27" s="20">
        <f>SQRT(B27^2+C27^2)</f>
        <v>0</v>
      </c>
      <c r="M27" s="20">
        <f>-L27/A$25*100</f>
        <v>0</v>
      </c>
    </row>
    <row r="28" spans="1:16" x14ac:dyDescent="0.2">
      <c r="A28" s="23">
        <v>0.25</v>
      </c>
      <c r="B28" s="20">
        <v>2.2238191994018702E-3</v>
      </c>
      <c r="C28" s="20">
        <v>-1.1943934807452599E-5</v>
      </c>
      <c r="D28" s="20">
        <v>0</v>
      </c>
      <c r="E28" s="20">
        <v>-6.3689291074770995E-5</v>
      </c>
      <c r="F28" s="20">
        <v>-1.1858191673989899E-2</v>
      </c>
      <c r="G28" s="20">
        <v>1.18583627075107E-2</v>
      </c>
      <c r="H28" s="20">
        <v>5.11658036381974E-2</v>
      </c>
      <c r="I28" s="20">
        <v>172.97402180314199</v>
      </c>
      <c r="J28" s="20">
        <v>2.2238557498099861E-3</v>
      </c>
      <c r="K28" s="20">
        <v>2.8242968022586824E-5</v>
      </c>
      <c r="L28" s="20">
        <f t="shared" ref="L28:L91" si="6">SQRT(B28^2+C28^2)</f>
        <v>2.2238512740754631E-3</v>
      </c>
      <c r="M28" s="20">
        <f t="shared" ref="M28:M91" si="7">-L28/A$25*100</f>
        <v>-2.8242911180871354E-5</v>
      </c>
    </row>
    <row r="29" spans="1:16" x14ac:dyDescent="0.2">
      <c r="A29" s="23">
        <v>0.5</v>
      </c>
      <c r="B29" s="20">
        <v>8.8033360534579205E-3</v>
      </c>
      <c r="C29" s="20">
        <v>-4.71473373117637E-5</v>
      </c>
      <c r="D29" s="20">
        <v>0</v>
      </c>
      <c r="E29" s="20">
        <v>-1.02832757044494E-4</v>
      </c>
      <c r="F29" s="20">
        <v>-1.92733919894763E-2</v>
      </c>
      <c r="G29" s="20">
        <v>1.92736663184753E-2</v>
      </c>
      <c r="H29" s="20">
        <v>5.0821457029944998E-2</v>
      </c>
      <c r="I29" s="20">
        <v>171.97205372999201</v>
      </c>
      <c r="J29" s="20">
        <v>8.8034800220968129E-3</v>
      </c>
      <c r="K29" s="20">
        <v>1.1180419628062952E-4</v>
      </c>
      <c r="L29" s="20">
        <f t="shared" si="6"/>
        <v>8.8034623042032543E-3</v>
      </c>
      <c r="M29" s="20">
        <f t="shared" si="7"/>
        <v>-1.1180397126382855E-4</v>
      </c>
    </row>
    <row r="30" spans="1:16" x14ac:dyDescent="0.2">
      <c r="A30" s="23">
        <v>0.75</v>
      </c>
      <c r="B30" s="20">
        <v>1.8520352115047899E-2</v>
      </c>
      <c r="C30" s="20">
        <v>-9.9032939501806996E-5</v>
      </c>
      <c r="D30" s="20">
        <v>0</v>
      </c>
      <c r="E30" s="20">
        <v>-1.4330594043459799E-4</v>
      </c>
      <c r="F30" s="20">
        <v>-2.6775502863404799E-2</v>
      </c>
      <c r="G30" s="20">
        <v>2.6775886356585201E-2</v>
      </c>
      <c r="H30" s="20">
        <v>5.0565672090771598E-2</v>
      </c>
      <c r="I30" s="20">
        <v>171.35096052972301</v>
      </c>
      <c r="J30" s="20">
        <v>1.852065416475128E-2</v>
      </c>
      <c r="K30" s="20">
        <v>2.3521230789234129E-4</v>
      </c>
      <c r="L30" s="20">
        <f t="shared" si="6"/>
        <v>1.8520616890062423E-2</v>
      </c>
      <c r="M30" s="20">
        <f t="shared" si="7"/>
        <v>-2.3521183450473363E-4</v>
      </c>
    </row>
    <row r="31" spans="1:16" x14ac:dyDescent="0.2">
      <c r="A31" s="23">
        <v>1</v>
      </c>
      <c r="B31" s="20">
        <v>3.1395831865640302E-2</v>
      </c>
      <c r="C31" s="20">
        <v>-1.67924660472827E-4</v>
      </c>
      <c r="D31" s="20">
        <v>0</v>
      </c>
      <c r="E31" s="20">
        <v>-1.8375085360523201E-4</v>
      </c>
      <c r="F31" s="20">
        <v>-3.42462852375204E-2</v>
      </c>
      <c r="G31" s="20">
        <v>3.4246778198040902E-2</v>
      </c>
      <c r="H31" s="20">
        <v>5.03049580393891E-2</v>
      </c>
      <c r="I31" s="20">
        <v>170.72685708618999</v>
      </c>
      <c r="J31" s="20">
        <v>3.139634413410939E-2</v>
      </c>
      <c r="K31" s="20">
        <v>3.9873357050318925E-4</v>
      </c>
      <c r="L31" s="20">
        <f t="shared" si="6"/>
        <v>3.1396280945792769E-2</v>
      </c>
      <c r="M31" s="20">
        <f t="shared" si="7"/>
        <v>-3.9873276801316311E-4</v>
      </c>
    </row>
    <row r="32" spans="1:16" x14ac:dyDescent="0.2">
      <c r="A32" s="23">
        <v>1.25</v>
      </c>
      <c r="B32" s="20">
        <v>4.7415428462138198E-2</v>
      </c>
      <c r="C32" s="20">
        <v>-2.5377185492024399E-4</v>
      </c>
      <c r="D32" s="20">
        <v>0</v>
      </c>
      <c r="E32" s="20">
        <v>-2.24249197614979E-4</v>
      </c>
      <c r="F32" s="20">
        <v>-4.1678084481481102E-2</v>
      </c>
      <c r="G32" s="20">
        <v>4.16786877642292E-2</v>
      </c>
      <c r="H32" s="20">
        <v>5.0047470024957803E-2</v>
      </c>
      <c r="I32" s="20">
        <v>170.109630013973</v>
      </c>
      <c r="J32" s="20">
        <v>4.7416202992654359E-2</v>
      </c>
      <c r="K32" s="20">
        <v>6.0218577800671036E-4</v>
      </c>
      <c r="L32" s="20">
        <f t="shared" si="6"/>
        <v>4.7416107562752288E-2</v>
      </c>
      <c r="M32" s="20">
        <f t="shared" si="7"/>
        <v>-6.0218456604936284E-4</v>
      </c>
    </row>
    <row r="33" spans="1:13" x14ac:dyDescent="0.2">
      <c r="A33" s="23">
        <v>1.5</v>
      </c>
      <c r="B33" s="20">
        <v>6.6562878982763696E-2</v>
      </c>
      <c r="C33" s="20">
        <v>-3.5653395558133002E-4</v>
      </c>
      <c r="D33" s="20">
        <v>0</v>
      </c>
      <c r="E33" s="20">
        <v>-2.6480663208319202E-4</v>
      </c>
      <c r="F33" s="20">
        <v>-4.9071982388588203E-2</v>
      </c>
      <c r="G33" s="20">
        <v>4.9072696870034703E-2</v>
      </c>
      <c r="H33" s="20">
        <v>4.9793116595988299E-2</v>
      </c>
      <c r="I33" s="20">
        <v>169.49985100969599</v>
      </c>
      <c r="J33" s="20">
        <v>6.6563967802631338E-2</v>
      </c>
      <c r="K33" s="20">
        <v>8.4536239109341807E-4</v>
      </c>
      <c r="L33" s="20">
        <f t="shared" si="6"/>
        <v>6.6563833835916686E-2</v>
      </c>
      <c r="M33" s="20">
        <f t="shared" si="7"/>
        <v>-8.4536068971952343E-4</v>
      </c>
    </row>
    <row r="34" spans="1:13" x14ac:dyDescent="0.2">
      <c r="A34" s="23">
        <v>1.75</v>
      </c>
      <c r="B34" s="20">
        <v>8.8822288279556905E-2</v>
      </c>
      <c r="C34" s="20">
        <v>-4.7616023537987298E-4</v>
      </c>
      <c r="D34" s="20">
        <v>0</v>
      </c>
      <c r="E34" s="20">
        <v>-3.0543189234051002E-4</v>
      </c>
      <c r="F34" s="20">
        <v>-5.6428436432786597E-2</v>
      </c>
      <c r="G34" s="20">
        <v>5.6429263036920002E-2</v>
      </c>
      <c r="H34" s="20">
        <v>4.9541832316841103E-2</v>
      </c>
      <c r="I34" s="20">
        <v>168.89736575768001</v>
      </c>
      <c r="J34" s="20">
        <v>8.8823743341635564E-2</v>
      </c>
      <c r="K34" s="20">
        <v>1.1280615404387717E-3</v>
      </c>
      <c r="L34" s="20">
        <f t="shared" si="6"/>
        <v>8.8823564574872074E-2</v>
      </c>
      <c r="M34" s="20">
        <f t="shared" si="7"/>
        <v>-1.1280592701053875E-3</v>
      </c>
    </row>
    <row r="35" spans="1:13" x14ac:dyDescent="0.2">
      <c r="A35" s="23">
        <v>2</v>
      </c>
      <c r="B35" s="20">
        <v>0.114177952534192</v>
      </c>
      <c r="C35" s="20">
        <v>-6.1259090812232505E-4</v>
      </c>
      <c r="D35" s="20">
        <v>0</v>
      </c>
      <c r="E35" s="20">
        <v>-3.4613353855432802E-4</v>
      </c>
      <c r="F35" s="20">
        <v>-6.3747896322381106E-2</v>
      </c>
      <c r="G35" s="20">
        <v>6.3748836020397701E-2</v>
      </c>
      <c r="H35" s="20">
        <v>4.9293573756654101E-2</v>
      </c>
      <c r="I35" s="20">
        <v>168.302073047086</v>
      </c>
      <c r="J35" s="20">
        <v>0.11417982566618461</v>
      </c>
      <c r="K35" s="20">
        <v>1.4500837859605445E-3</v>
      </c>
      <c r="L35" s="20">
        <f t="shared" si="6"/>
        <v>0.11417959586774212</v>
      </c>
      <c r="M35" s="20">
        <f t="shared" si="7"/>
        <v>-1.4500808675261252E-3</v>
      </c>
    </row>
    <row r="36" spans="1:13" x14ac:dyDescent="0.2">
      <c r="A36" s="23">
        <v>2.25</v>
      </c>
      <c r="B36" s="20">
        <v>0.142614356626133</v>
      </c>
      <c r="C36" s="20">
        <v>-7.6575732137827604E-4</v>
      </c>
      <c r="D36" s="20">
        <v>0</v>
      </c>
      <c r="E36" s="20">
        <v>-3.8692000349393302E-4</v>
      </c>
      <c r="F36" s="20">
        <v>-7.1030806962116194E-2</v>
      </c>
      <c r="G36" s="20">
        <v>7.1031860772321806E-2</v>
      </c>
      <c r="H36" s="20">
        <v>4.9048297487732102E-2</v>
      </c>
      <c r="I36" s="20">
        <v>167.71387364632099</v>
      </c>
      <c r="J36" s="20">
        <v>0.14261669948071032</v>
      </c>
      <c r="K36" s="20">
        <v>1.8112320834050212E-3</v>
      </c>
      <c r="L36" s="20">
        <f t="shared" si="6"/>
        <v>0.14261641245018433</v>
      </c>
      <c r="M36" s="20">
        <f t="shared" si="7"/>
        <v>-1.8112284381245859E-3</v>
      </c>
    </row>
    <row r="37" spans="1:13" x14ac:dyDescent="0.2">
      <c r="A37" s="23">
        <v>2.5</v>
      </c>
      <c r="B37" s="20">
        <v>0.17411617187568601</v>
      </c>
      <c r="C37" s="20">
        <v>-9.3558215777321497E-4</v>
      </c>
      <c r="D37" s="20">
        <v>0</v>
      </c>
      <c r="E37" s="20">
        <v>-4.2779959834935398E-4</v>
      </c>
      <c r="F37" s="20">
        <v>-7.8277606824125406E-2</v>
      </c>
      <c r="G37" s="20">
        <v>7.82787758118937E-2</v>
      </c>
      <c r="H37" s="20">
        <v>4.8805960876862398E-2</v>
      </c>
      <c r="I37" s="20">
        <v>167.13267003260199</v>
      </c>
      <c r="J37" s="20">
        <v>0.17411903588153455</v>
      </c>
      <c r="K37" s="20">
        <v>2.2113117556954889E-3</v>
      </c>
      <c r="L37" s="20">
        <f t="shared" si="6"/>
        <v>0.17411868544937209</v>
      </c>
      <c r="M37" s="20">
        <f t="shared" si="7"/>
        <v>-2.2113073052158708E-3</v>
      </c>
    </row>
    <row r="38" spans="1:13" x14ac:dyDescent="0.2">
      <c r="A38" s="23">
        <v>2.75</v>
      </c>
      <c r="B38" s="20">
        <v>0.20866825336181599</v>
      </c>
      <c r="C38" s="20">
        <v>-1.1219796319421999E-3</v>
      </c>
      <c r="D38" s="20">
        <v>0</v>
      </c>
      <c r="E38" s="20">
        <v>-4.6878051452674301E-4</v>
      </c>
      <c r="F38" s="20">
        <v>-8.5488728124195001E-2</v>
      </c>
      <c r="G38" s="20">
        <v>8.5490013401936807E-2</v>
      </c>
      <c r="H38" s="20">
        <v>4.8566522095621803E-2</v>
      </c>
      <c r="I38" s="20">
        <v>166.55836649448801</v>
      </c>
      <c r="J38" s="20">
        <v>0.20867168967563976</v>
      </c>
      <c r="K38" s="20">
        <v>2.650130458880625E-3</v>
      </c>
      <c r="L38" s="20">
        <f t="shared" si="6"/>
        <v>0.20867126970276845</v>
      </c>
      <c r="M38" s="20">
        <f t="shared" si="7"/>
        <v>-2.6501251252357598E-3</v>
      </c>
    </row>
    <row r="39" spans="1:13" x14ac:dyDescent="0.2">
      <c r="A39" s="23">
        <v>3</v>
      </c>
      <c r="B39" s="20">
        <v>0.24625563730650901</v>
      </c>
      <c r="C39" s="20">
        <v>-1.32485568221994E-3</v>
      </c>
      <c r="D39" s="20">
        <v>0</v>
      </c>
      <c r="E39" s="20">
        <v>-5.0987082561193304E-4</v>
      </c>
      <c r="F39" s="20">
        <v>-9.2664596941710697E-2</v>
      </c>
      <c r="G39" s="20">
        <v>9.2665999668856497E-2</v>
      </c>
      <c r="H39" s="20">
        <v>4.83299400995831E-2</v>
      </c>
      <c r="I39" s="20">
        <v>165.99086908786299</v>
      </c>
      <c r="J39" s="20">
        <v>0.24625969676599341</v>
      </c>
      <c r="K39" s="20">
        <v>3.1274981489281166E-3</v>
      </c>
      <c r="L39" s="20">
        <f t="shared" si="6"/>
        <v>0.24625920114345703</v>
      </c>
      <c r="M39" s="20">
        <f t="shared" si="7"/>
        <v>-3.1274918545344142E-3</v>
      </c>
    </row>
    <row r="40" spans="1:13" x14ac:dyDescent="0.2">
      <c r="A40" s="23">
        <v>3.25</v>
      </c>
      <c r="B40" s="20">
        <v>0.28686353850875601</v>
      </c>
      <c r="C40" s="20">
        <v>-1.54410815726535E-3</v>
      </c>
      <c r="D40" s="20">
        <v>0</v>
      </c>
      <c r="E40" s="20">
        <v>-5.5107848929668605E-4</v>
      </c>
      <c r="F40" s="20">
        <v>-9.9805633334222502E-2</v>
      </c>
      <c r="G40" s="20">
        <v>9.9807154717217697E-2</v>
      </c>
      <c r="H40" s="20">
        <v>4.8096174611170397E-2</v>
      </c>
      <c r="I40" s="20">
        <v>165.430085597301</v>
      </c>
      <c r="J40" s="20">
        <v>0.2868682715865028</v>
      </c>
      <c r="K40" s="20">
        <v>3.643227049148586E-3</v>
      </c>
      <c r="L40" s="20">
        <f t="shared" si="6"/>
        <v>0.28686769423510533</v>
      </c>
      <c r="M40" s="20">
        <f t="shared" si="7"/>
        <v>-3.6432197168004103E-3</v>
      </c>
    </row>
    <row r="41" spans="1:13" x14ac:dyDescent="0.2">
      <c r="A41" s="23">
        <v>3.5</v>
      </c>
      <c r="B41" s="20">
        <v>0.33047734782636201</v>
      </c>
      <c r="C41" s="20">
        <v>-1.7796269977549399E-3</v>
      </c>
      <c r="D41" s="20">
        <v>0</v>
      </c>
      <c r="E41" s="20">
        <v>-5.9241134926548604E-4</v>
      </c>
      <c r="F41" s="20">
        <v>-0.10691225144974099</v>
      </c>
      <c r="G41" s="20">
        <v>0.106913892742053</v>
      </c>
      <c r="H41" s="20">
        <v>4.7865186102922397E-2</v>
      </c>
      <c r="I41" s="20">
        <v>164.87592549862899</v>
      </c>
      <c r="J41" s="20">
        <v>0.33048280458481744</v>
      </c>
      <c r="K41" s="20">
        <v>4.1971316182271819E-3</v>
      </c>
      <c r="L41" s="20">
        <f t="shared" si="6"/>
        <v>0.33048213945476296</v>
      </c>
      <c r="M41" s="20">
        <f t="shared" si="7"/>
        <v>-4.197123171092278E-3</v>
      </c>
    </row>
    <row r="42" spans="1:13" x14ac:dyDescent="0.2">
      <c r="A42" s="23">
        <v>3.75</v>
      </c>
      <c r="B42" s="20">
        <v>0.37708262970461598</v>
      </c>
      <c r="C42" s="20">
        <v>-2.0312944132750001E-3</v>
      </c>
      <c r="D42" s="20">
        <v>0</v>
      </c>
      <c r="E42" s="20">
        <v>-6.3387713704438498E-4</v>
      </c>
      <c r="F42" s="20">
        <v>-0.113984859636583</v>
      </c>
      <c r="G42" s="20">
        <v>0.113986622138725</v>
      </c>
      <c r="H42" s="20">
        <v>4.7636935781177697E-2</v>
      </c>
      <c r="I42" s="20">
        <v>164.32829992243401</v>
      </c>
      <c r="J42" s="20">
        <v>0.3770888597519822</v>
      </c>
      <c r="K42" s="20">
        <v>4.7890285188501745E-3</v>
      </c>
      <c r="L42" s="20">
        <f t="shared" si="6"/>
        <v>0.37708810082252919</v>
      </c>
      <c r="M42" s="20">
        <f t="shared" si="7"/>
        <v>-4.789018880465277E-3</v>
      </c>
    </row>
    <row r="43" spans="1:13" x14ac:dyDescent="0.2">
      <c r="A43" s="23">
        <v>4</v>
      </c>
      <c r="B43" s="20">
        <v>0.42666511975079102</v>
      </c>
      <c r="C43" s="20">
        <v>-2.2989850545388399E-3</v>
      </c>
      <c r="D43" s="20">
        <v>359.98882894199397</v>
      </c>
      <c r="E43" s="20">
        <v>-6.7548347381278702E-4</v>
      </c>
      <c r="F43" s="20">
        <v>-0.12102386055084</v>
      </c>
      <c r="G43" s="20">
        <v>0.121025745610397</v>
      </c>
      <c r="H43" s="20">
        <v>4.7411385570177302E-2</v>
      </c>
      <c r="I43" s="20">
        <v>163.78712161849401</v>
      </c>
      <c r="J43" s="20">
        <v>0.42667217219793885</v>
      </c>
      <c r="K43" s="20">
        <v>5.4187365869138235E-3</v>
      </c>
      <c r="L43" s="20">
        <f t="shared" si="6"/>
        <v>0.42667131347705795</v>
      </c>
      <c r="M43" s="20">
        <f t="shared" si="7"/>
        <v>-5.418725681180311E-3</v>
      </c>
    </row>
    <row r="44" spans="1:13" x14ac:dyDescent="0.2">
      <c r="A44" s="23">
        <v>4.25</v>
      </c>
      <c r="B44" s="20">
        <v>0.479210722353481</v>
      </c>
      <c r="C44" s="20">
        <v>-2.5825661810511499E-3</v>
      </c>
      <c r="D44" s="20">
        <v>359.98746054220402</v>
      </c>
      <c r="E44" s="20">
        <v>-7.1723787217907204E-4</v>
      </c>
      <c r="F44" s="20">
        <v>-0.12802965126151</v>
      </c>
      <c r="G44" s="20">
        <v>0.12803166027318899</v>
      </c>
      <c r="H44" s="20">
        <v>4.71884980965716E-2</v>
      </c>
      <c r="I44" s="20">
        <v>163.252304921112</v>
      </c>
      <c r="J44" s="20">
        <v>0.47921864577187795</v>
      </c>
      <c r="K44" s="20">
        <v>6.0860768013028506E-3</v>
      </c>
      <c r="L44" s="20">
        <f t="shared" si="6"/>
        <v>0.47921768129590603</v>
      </c>
      <c r="M44" s="20">
        <f t="shared" si="7"/>
        <v>-6.0860645524823511E-3</v>
      </c>
    </row>
    <row r="45" spans="1:13" x14ac:dyDescent="0.2">
      <c r="A45" s="23">
        <v>4.5</v>
      </c>
      <c r="B45" s="20">
        <v>0.53470550834582498</v>
      </c>
      <c r="C45" s="20">
        <v>-2.88189782433876E-3</v>
      </c>
      <c r="D45" s="20">
        <v>359.98601697868401</v>
      </c>
      <c r="E45" s="20">
        <v>-7.5914773792093502E-4</v>
      </c>
      <c r="F45" s="20">
        <v>-0.13500262335338101</v>
      </c>
      <c r="G45" s="20">
        <v>0.13500475775906201</v>
      </c>
      <c r="H45" s="20">
        <v>4.6968236674320603E-2</v>
      </c>
      <c r="I45" s="20">
        <v>162.72376571531899</v>
      </c>
      <c r="J45" s="20">
        <v>0.53471435072646323</v>
      </c>
      <c r="K45" s="20">
        <v>6.7908722542260836E-3</v>
      </c>
      <c r="L45" s="20">
        <f t="shared" si="6"/>
        <v>0.53471327455977469</v>
      </c>
      <c r="M45" s="20">
        <f t="shared" si="7"/>
        <v>-6.790858586936302E-3</v>
      </c>
    </row>
    <row r="46" spans="1:13" x14ac:dyDescent="0.2">
      <c r="A46" s="23">
        <v>4.75</v>
      </c>
      <c r="B46" s="20">
        <v>0.593135712711654</v>
      </c>
      <c r="C46" s="20">
        <v>-3.19683294686284E-3</v>
      </c>
      <c r="D46" s="20">
        <v>359.98449879572502</v>
      </c>
      <c r="E46" s="20">
        <v>-8.0122037169123395E-4</v>
      </c>
      <c r="F46" s="20">
        <v>-0.141943163027696</v>
      </c>
      <c r="G46" s="20">
        <v>0.14194542431650001</v>
      </c>
      <c r="H46" s="20">
        <v>4.6750565289975399E-2</v>
      </c>
      <c r="I46" s="20">
        <v>162.201421403936</v>
      </c>
      <c r="J46" s="20">
        <v>0.59314552142500532</v>
      </c>
      <c r="K46" s="20">
        <v>7.5329481220975675E-3</v>
      </c>
      <c r="L46" s="20">
        <f t="shared" si="6"/>
        <v>0.59314432765967839</v>
      </c>
      <c r="M46" s="20">
        <f t="shared" si="7"/>
        <v>-7.5329329613080479E-3</v>
      </c>
    </row>
    <row r="47" spans="1:13" x14ac:dyDescent="0.2">
      <c r="A47" s="23">
        <v>5</v>
      </c>
      <c r="B47" s="20">
        <v>0.65448773233365898</v>
      </c>
      <c r="C47" s="20">
        <v>-3.5272175967247001E-3</v>
      </c>
      <c r="D47" s="20">
        <v>359.98290653084501</v>
      </c>
      <c r="E47" s="20">
        <v>-8.4346297069021604E-4</v>
      </c>
      <c r="F47" s="20">
        <v>-0.14885165120067001</v>
      </c>
      <c r="G47" s="20">
        <v>0.14885404090903501</v>
      </c>
      <c r="H47" s="20">
        <v>4.6535448588331002E-2</v>
      </c>
      <c r="I47" s="20">
        <v>161.685190875448</v>
      </c>
      <c r="J47" s="20">
        <v>0.65449855409064583</v>
      </c>
      <c r="K47" s="20">
        <v>8.3121316369512022E-3</v>
      </c>
      <c r="L47" s="20">
        <f t="shared" si="6"/>
        <v>0.65449723684613814</v>
      </c>
      <c r="M47" s="20">
        <f t="shared" si="7"/>
        <v>-8.3121149079792029E-3</v>
      </c>
    </row>
    <row r="48" spans="1:13" x14ac:dyDescent="0.2">
      <c r="A48" s="23">
        <v>5.25</v>
      </c>
      <c r="B48" s="20">
        <v>0.71874812378267605</v>
      </c>
      <c r="C48" s="20">
        <v>-3.8728910582737199E-3</v>
      </c>
      <c r="D48" s="20">
        <v>359.98124071487899</v>
      </c>
      <c r="E48" s="20">
        <v>-8.8588263030482401E-4</v>
      </c>
      <c r="F48" s="20">
        <v>-0.15572846359991099</v>
      </c>
      <c r="G48" s="20">
        <v>0.155730983311682</v>
      </c>
      <c r="H48" s="20">
        <v>4.63228518584392E-2</v>
      </c>
      <c r="I48" s="20">
        <v>161.17499447269</v>
      </c>
      <c r="J48" s="20">
        <v>0.71876000459667011</v>
      </c>
      <c r="K48" s="20">
        <v>9.1282520583777105E-3</v>
      </c>
      <c r="L48" s="20">
        <f t="shared" si="6"/>
        <v>0.71875855801949673</v>
      </c>
      <c r="M48" s="20">
        <f t="shared" si="7"/>
        <v>-9.1282336868841202E-3</v>
      </c>
    </row>
    <row r="49" spans="1:13" x14ac:dyDescent="0.2">
      <c r="A49" s="23">
        <v>5.5</v>
      </c>
      <c r="B49" s="20">
        <v>0.78590360114722102</v>
      </c>
      <c r="C49" s="20">
        <v>-4.2336859987231702E-3</v>
      </c>
      <c r="D49" s="20">
        <v>359.97950187207698</v>
      </c>
      <c r="E49" s="20">
        <v>-9.2848634571598304E-4</v>
      </c>
      <c r="F49" s="20">
        <v>-0.16257397085879899</v>
      </c>
      <c r="G49" s="20">
        <v>0.16257662220532201</v>
      </c>
      <c r="H49" s="20">
        <v>4.6112741019970697E-2</v>
      </c>
      <c r="I49" s="20">
        <v>160.670753962313</v>
      </c>
      <c r="J49" s="20">
        <v>0.78591658629706851</v>
      </c>
      <c r="K49" s="20">
        <v>9.9811406459727695E-3</v>
      </c>
      <c r="L49" s="20">
        <f t="shared" si="6"/>
        <v>0.78591500456048435</v>
      </c>
      <c r="M49" s="20">
        <f t="shared" si="7"/>
        <v>-9.9811205579580752E-3</v>
      </c>
    </row>
    <row r="50" spans="1:13" x14ac:dyDescent="0.2">
      <c r="A50" s="23">
        <v>5.75</v>
      </c>
      <c r="B50" s="20">
        <v>0.85594103390241805</v>
      </c>
      <c r="C50" s="20">
        <v>-4.6094286108762502E-3</v>
      </c>
      <c r="D50" s="20">
        <v>359.97769052019402</v>
      </c>
      <c r="E50" s="20">
        <v>-9.7128101347448103E-4</v>
      </c>
      <c r="F50" s="20">
        <v>-0.16938853860886599</v>
      </c>
      <c r="G50" s="20">
        <v>0.16939132326909301</v>
      </c>
      <c r="H50" s="20">
        <v>4.5905082609917998E-2</v>
      </c>
      <c r="I50" s="20">
        <v>160.172392504996</v>
      </c>
      <c r="J50" s="20">
        <v>0.85595516789648696</v>
      </c>
      <c r="K50" s="20">
        <v>1.0870630632285385E-2</v>
      </c>
      <c r="L50" s="20">
        <f t="shared" si="6"/>
        <v>0.85595344520018091</v>
      </c>
      <c r="M50" s="20">
        <f t="shared" si="7"/>
        <v>-1.087060875408578E-2</v>
      </c>
    </row>
    <row r="51" spans="1:13" ht="12" thickBot="1" x14ac:dyDescent="0.25">
      <c r="A51" s="23">
        <v>6</v>
      </c>
      <c r="B51" s="20">
        <v>0.92884744481749704</v>
      </c>
      <c r="C51" s="20">
        <v>-4.9999387520619602E-3</v>
      </c>
      <c r="D51" s="20">
        <v>359.97580717057798</v>
      </c>
      <c r="E51" s="20">
        <v>-1.0142734330462399E-3</v>
      </c>
      <c r="F51" s="31">
        <v>-0.176172527570231</v>
      </c>
      <c r="G51" s="20">
        <v>0.176175447270841</v>
      </c>
      <c r="H51" s="20">
        <v>4.5699843769628302E-2</v>
      </c>
      <c r="I51" s="20">
        <v>159.67983462640501</v>
      </c>
      <c r="J51" s="20">
        <v>0.92886277135878492</v>
      </c>
      <c r="K51" s="20">
        <v>1.1796557196256569E-2</v>
      </c>
      <c r="L51" s="20">
        <f t="shared" si="6"/>
        <v>0.92886090192854898</v>
      </c>
      <c r="M51" s="20">
        <f t="shared" si="7"/>
        <v>-1.1796533454539758E-2</v>
      </c>
    </row>
    <row r="52" spans="1:13" ht="12" thickTop="1" x14ac:dyDescent="0.2">
      <c r="A52" s="23">
        <v>6.25</v>
      </c>
      <c r="B52" s="20">
        <v>1.00461000790104</v>
      </c>
      <c r="C52" s="20">
        <v>-5.4050300793774099E-3</v>
      </c>
      <c r="D52" s="20">
        <v>359.973852328264</v>
      </c>
      <c r="E52" s="20">
        <v>-1.0574703083276399E-3</v>
      </c>
      <c r="F52" s="20">
        <v>-0.182926293640153</v>
      </c>
      <c r="G52" s="20">
        <v>0.18292935015567199</v>
      </c>
      <c r="H52" s="20">
        <v>4.5496992232157599E-2</v>
      </c>
      <c r="I52" s="20">
        <v>159.193006188862</v>
      </c>
      <c r="J52" s="20">
        <v>1.0046265698532573</v>
      </c>
      <c r="K52" s="20">
        <v>1.2758757437136368E-2</v>
      </c>
      <c r="L52" s="20">
        <f t="shared" si="6"/>
        <v>1.0046245479407154</v>
      </c>
      <c r="M52" s="20">
        <f t="shared" si="7"/>
        <v>-1.275873175889812E-2</v>
      </c>
    </row>
    <row r="53" spans="1:13" x14ac:dyDescent="0.2">
      <c r="A53" s="23">
        <v>6.5</v>
      </c>
      <c r="B53" s="20">
        <v>1.0832160463832201</v>
      </c>
      <c r="C53" s="20">
        <v>-5.8245101813304201E-3</v>
      </c>
      <c r="D53" s="20">
        <v>359.97182649205598</v>
      </c>
      <c r="E53" s="20">
        <v>-1.1008782491317001E-3</v>
      </c>
      <c r="F53" s="20">
        <v>-0.189650187979713</v>
      </c>
      <c r="G53" s="20">
        <v>0.18965338313265101</v>
      </c>
      <c r="H53" s="20">
        <v>4.5296496309937102E-2</v>
      </c>
      <c r="I53" s="20">
        <v>158.71183436370899</v>
      </c>
      <c r="J53" s="20">
        <v>1.083233885737954</v>
      </c>
      <c r="K53" s="20">
        <v>1.3757070348872016E-2</v>
      </c>
      <c r="L53" s="20">
        <f t="shared" si="6"/>
        <v>1.0832317056202458</v>
      </c>
      <c r="M53" s="20">
        <f t="shared" si="7"/>
        <v>-1.3757042661432151E-2</v>
      </c>
    </row>
    <row r="54" spans="1:13" x14ac:dyDescent="0.2">
      <c r="A54" s="23">
        <v>6.75</v>
      </c>
      <c r="B54" s="20">
        <v>1.1646530307342</v>
      </c>
      <c r="C54" s="20">
        <v>-6.2581807059736202E-3</v>
      </c>
      <c r="D54" s="20">
        <v>359.96973015461299</v>
      </c>
      <c r="E54" s="20">
        <v>-1.1445037726455401E-3</v>
      </c>
      <c r="F54" s="20">
        <v>-0.19634455709871601</v>
      </c>
      <c r="G54" s="20">
        <v>0.19634789275970499</v>
      </c>
      <c r="H54" s="20">
        <v>4.5098324882742298E-2</v>
      </c>
      <c r="I54" s="20">
        <v>158.23624760434899</v>
      </c>
      <c r="J54" s="20">
        <v>1.1646721885791003</v>
      </c>
      <c r="K54" s="20">
        <v>1.4791336794954575E-2</v>
      </c>
      <c r="L54" s="20">
        <f t="shared" si="6"/>
        <v>1.1646698445585797</v>
      </c>
      <c r="M54" s="20">
        <f t="shared" si="7"/>
        <v>-1.4791307025953127E-2</v>
      </c>
    </row>
    <row r="55" spans="1:13" x14ac:dyDescent="0.2">
      <c r="A55" s="23">
        <v>7</v>
      </c>
      <c r="B55" s="20">
        <v>1.2489085767179899</v>
      </c>
      <c r="C55" s="20">
        <v>-6.7058374856183798E-3</v>
      </c>
      <c r="D55" s="20">
        <v>359.96756380253498</v>
      </c>
      <c r="E55" s="20">
        <v>-1.18835330485902E-3</v>
      </c>
      <c r="F55" s="20">
        <v>-0.20300974293881599</v>
      </c>
      <c r="G55" s="20">
        <v>0.203013221026763</v>
      </c>
      <c r="H55" s="20">
        <v>4.4902447385958097E-2</v>
      </c>
      <c r="I55" s="20">
        <v>157.76617561994601</v>
      </c>
      <c r="J55" s="20">
        <v>1.2489290932059927</v>
      </c>
      <c r="K55" s="20">
        <v>1.5861399483716107E-2</v>
      </c>
      <c r="L55" s="20">
        <f t="shared" si="6"/>
        <v>1.248926579609922</v>
      </c>
      <c r="M55" s="20">
        <f t="shared" si="7"/>
        <v>-1.5861367561109459E-2</v>
      </c>
    </row>
    <row r="56" spans="1:13" x14ac:dyDescent="0.2">
      <c r="A56" s="23">
        <v>7.25</v>
      </c>
      <c r="B56" s="20">
        <v>1.33597044348108</v>
      </c>
      <c r="C56" s="20">
        <v>-7.1672706582144004E-3</v>
      </c>
      <c r="D56" s="20">
        <v>359.96532791644398</v>
      </c>
      <c r="E56" s="20">
        <v>-1.2324331819661999E-3</v>
      </c>
      <c r="F56" s="20">
        <v>-0.209646082954935</v>
      </c>
      <c r="G56" s="20">
        <v>0.20964970543717801</v>
      </c>
      <c r="H56" s="20">
        <v>4.4708833799129301E-2</v>
      </c>
      <c r="I56" s="20">
        <v>157.30154934975599</v>
      </c>
      <c r="J56" s="20">
        <v>1.335992357800593</v>
      </c>
      <c r="K56" s="20">
        <v>1.6967102944067534E-2</v>
      </c>
      <c r="L56" s="20">
        <f t="shared" si="6"/>
        <v>1.3359896689809101</v>
      </c>
      <c r="M56" s="20">
        <f t="shared" si="7"/>
        <v>-1.6967068796125428E-2</v>
      </c>
    </row>
    <row r="57" spans="1:13" x14ac:dyDescent="0.2">
      <c r="A57" s="23">
        <v>7.5</v>
      </c>
      <c r="B57" s="20">
        <v>1.4258265316749501</v>
      </c>
      <c r="C57" s="20">
        <v>-7.6422647854785504E-3</v>
      </c>
      <c r="D57" s="20">
        <v>359.96302297106502</v>
      </c>
      <c r="E57" s="20">
        <v>-1.27674965174053E-3</v>
      </c>
      <c r="F57" s="20">
        <v>-0.21625391019500501</v>
      </c>
      <c r="G57" s="20">
        <v>0.21625767908747801</v>
      </c>
      <c r="H57" s="20">
        <v>4.4517454634791301E-2</v>
      </c>
      <c r="I57" s="20">
        <v>156.842300938092</v>
      </c>
      <c r="J57" s="20">
        <v>1.4258498820211856</v>
      </c>
      <c r="K57" s="20">
        <v>1.8108293501669058E-2</v>
      </c>
      <c r="L57" s="20">
        <f t="shared" si="6"/>
        <v>1.4258470123541547</v>
      </c>
      <c r="M57" s="20">
        <f t="shared" si="7"/>
        <v>-1.8108257056970199E-2</v>
      </c>
    </row>
    <row r="58" spans="1:13" x14ac:dyDescent="0.2">
      <c r="A58" s="23">
        <v>7.75</v>
      </c>
      <c r="B58" s="20">
        <v>1.5184648816120001</v>
      </c>
      <c r="C58" s="20">
        <v>-8.1305989678544105E-3</v>
      </c>
      <c r="D58" s="20">
        <v>359.96064943530399</v>
      </c>
      <c r="E58" s="20">
        <v>-1.3213088748837501E-3</v>
      </c>
      <c r="F58" s="20">
        <v>-0.222833553378077</v>
      </c>
      <c r="G58" s="20">
        <v>0.22283747074548099</v>
      </c>
      <c r="H58" s="20">
        <v>4.4328280927570997E-2</v>
      </c>
      <c r="I58" s="20">
        <v>156.38836370988</v>
      </c>
      <c r="J58" s="20">
        <v>1.5184897051592492</v>
      </c>
      <c r="K58" s="20">
        <v>1.9284819255522466E-2</v>
      </c>
      <c r="L58" s="20">
        <f t="shared" si="6"/>
        <v>1.5184866490452005</v>
      </c>
      <c r="M58" s="20">
        <f t="shared" si="7"/>
        <v>-1.9284780442951188E-2</v>
      </c>
    </row>
    <row r="59" spans="1:13" x14ac:dyDescent="0.2">
      <c r="A59" s="23">
        <v>8</v>
      </c>
      <c r="B59" s="20">
        <v>1.61387367145407</v>
      </c>
      <c r="C59" s="20">
        <v>-8.6320469563810603E-3</v>
      </c>
      <c r="D59" s="20">
        <v>359.95820777232899</v>
      </c>
      <c r="E59" s="20">
        <v>-1.36611692634918E-3</v>
      </c>
      <c r="F59" s="20">
        <v>-0.22938533697083499</v>
      </c>
      <c r="G59" s="20">
        <v>0.229389404926819</v>
      </c>
      <c r="H59" s="20">
        <v>4.4141284223551701E-2</v>
      </c>
      <c r="I59" s="20">
        <v>155.939672146813</v>
      </c>
      <c r="J59" s="20">
        <v>1.6139000043289837</v>
      </c>
      <c r="K59" s="20">
        <v>2.0496530054978097E-2</v>
      </c>
      <c r="L59" s="20">
        <f t="shared" si="6"/>
        <v>1.6138967561920734</v>
      </c>
      <c r="M59" s="20">
        <f t="shared" si="7"/>
        <v>-2.0496488803721319E-2</v>
      </c>
    </row>
    <row r="60" spans="1:13" x14ac:dyDescent="0.2">
      <c r="A60" s="23">
        <v>8.25</v>
      </c>
      <c r="B60" s="20">
        <v>1.7120412154328299</v>
      </c>
      <c r="C60" s="20">
        <v>-9.1463772615480599E-3</v>
      </c>
      <c r="D60" s="20">
        <v>359.95569843964302</v>
      </c>
      <c r="E60" s="20">
        <v>-1.41117979664003E-3</v>
      </c>
      <c r="F60" s="20">
        <v>-0.23590958126255801</v>
      </c>
      <c r="G60" s="20">
        <v>0.235913801969901</v>
      </c>
      <c r="H60" s="20">
        <v>4.3956436569894598E-2</v>
      </c>
      <c r="I60" s="20">
        <v>155.49616186406999</v>
      </c>
      <c r="J60" s="20">
        <v>1.712069092688836</v>
      </c>
      <c r="K60" s="20">
        <v>2.1743277477148219E-2</v>
      </c>
      <c r="L60" s="20">
        <f t="shared" si="6"/>
        <v>1.7120656469766959</v>
      </c>
      <c r="M60" s="20">
        <f t="shared" si="7"/>
        <v>-2.1743233716691013E-2</v>
      </c>
    </row>
    <row r="61" spans="1:13" x14ac:dyDescent="0.2">
      <c r="A61" s="23">
        <v>8.5</v>
      </c>
      <c r="B61" s="20">
        <v>1.81295596210166</v>
      </c>
      <c r="C61" s="20">
        <v>-9.6733532592106295E-3</v>
      </c>
      <c r="D61" s="20">
        <v>359.95312188916398</v>
      </c>
      <c r="E61" s="20">
        <v>-1.4565033930832401E-3</v>
      </c>
      <c r="F61" s="20">
        <v>-0.24240660243855999</v>
      </c>
      <c r="G61" s="20">
        <v>0.24241097810936699</v>
      </c>
      <c r="H61" s="20">
        <v>4.3773710504709497E-2</v>
      </c>
      <c r="I61" s="20">
        <v>155.05776958759401</v>
      </c>
      <c r="J61" s="20">
        <v>1.8129854176942271</v>
      </c>
      <c r="K61" s="20">
        <v>2.3024914804716686E-2</v>
      </c>
      <c r="L61" s="20">
        <f t="shared" si="6"/>
        <v>1.8129817688777881</v>
      </c>
      <c r="M61" s="20">
        <f t="shared" si="7"/>
        <v>-2.3024868464840007E-2</v>
      </c>
    </row>
    <row r="62" spans="1:13" x14ac:dyDescent="0.2">
      <c r="A62" s="23">
        <v>8.75</v>
      </c>
      <c r="B62" s="20">
        <v>1.91660649261802</v>
      </c>
      <c r="C62" s="20">
        <v>-1.02127332936378E-2</v>
      </c>
      <c r="D62" s="20">
        <v>359.95047856729201</v>
      </c>
      <c r="E62" s="20">
        <v>-1.50209354107937E-3</v>
      </c>
      <c r="F62" s="20">
        <v>-0.248876712652152</v>
      </c>
      <c r="G62" s="20">
        <v>0.248881245548049</v>
      </c>
      <c r="H62" s="20">
        <v>4.3593079047168901E-2</v>
      </c>
      <c r="I62" s="20">
        <v>154.624433131915</v>
      </c>
      <c r="J62" s="20">
        <v>1.9166375593811147</v>
      </c>
      <c r="K62" s="20">
        <v>2.4341297004140158E-2</v>
      </c>
      <c r="L62" s="20">
        <f t="shared" si="6"/>
        <v>1.9166337019542556</v>
      </c>
      <c r="M62" s="20">
        <f t="shared" si="7"/>
        <v>-2.4341248014916411E-2</v>
      </c>
    </row>
    <row r="63" spans="1:13" x14ac:dyDescent="0.2">
      <c r="A63" s="23">
        <v>9</v>
      </c>
      <c r="B63" s="20">
        <v>2.0229815190560099</v>
      </c>
      <c r="C63" s="20">
        <v>-1.07642707777637E-2</v>
      </c>
      <c r="D63" s="20">
        <v>359.94776891498799</v>
      </c>
      <c r="E63" s="20">
        <v>-1.54795598532909E-3</v>
      </c>
      <c r="F63" s="20">
        <v>-0.25532022009515898</v>
      </c>
      <c r="G63" s="20">
        <v>0.25532491252749501</v>
      </c>
      <c r="H63" s="20">
        <v>4.34145156878573E-2</v>
      </c>
      <c r="I63" s="20">
        <v>154.196091378489</v>
      </c>
      <c r="J63" s="20">
        <v>2.0230142286794206</v>
      </c>
      <c r="K63" s="20">
        <v>2.5692280704228646E-2</v>
      </c>
      <c r="L63" s="20">
        <f t="shared" si="6"/>
        <v>2.0230101571587666</v>
      </c>
      <c r="M63" s="20">
        <f t="shared" si="7"/>
        <v>-2.5692228996019105E-2</v>
      </c>
    </row>
    <row r="64" spans="1:13" x14ac:dyDescent="0.2">
      <c r="A64" s="23">
        <v>9.25</v>
      </c>
      <c r="B64" s="20">
        <v>2.13206988274831</v>
      </c>
      <c r="C64" s="20">
        <v>-1.132771429071E-2</v>
      </c>
      <c r="D64" s="20">
        <v>359.94499336784298</v>
      </c>
      <c r="E64" s="20">
        <v>-1.5940963910367899E-3</v>
      </c>
      <c r="F64" s="20">
        <v>-0.26173742906701902</v>
      </c>
      <c r="G64" s="20">
        <v>0.261742283397079</v>
      </c>
      <c r="H64" s="20">
        <v>4.3237994379350803E-2</v>
      </c>
      <c r="I64" s="20">
        <v>153.77268425456199</v>
      </c>
      <c r="J64" s="20">
        <v>2.1321042657560865</v>
      </c>
      <c r="K64" s="20">
        <v>2.7077724175102298E-2</v>
      </c>
      <c r="L64" s="20">
        <f t="shared" si="6"/>
        <v>2.1320999746807008</v>
      </c>
      <c r="M64" s="20">
        <f t="shared" si="7"/>
        <v>-2.7077669678553212E-2</v>
      </c>
    </row>
    <row r="65" spans="1:13" x14ac:dyDescent="0.2">
      <c r="A65" s="23">
        <v>9.5</v>
      </c>
      <c r="B65" s="20">
        <v>2.2438605526570798</v>
      </c>
      <c r="C65" s="20">
        <v>-1.1902807672646501E-2</v>
      </c>
      <c r="D65" s="20">
        <v>359.94215235614598</v>
      </c>
      <c r="E65" s="20">
        <v>-1.64052034509182E-3</v>
      </c>
      <c r="F65" s="20">
        <v>-0.26812864004251202</v>
      </c>
      <c r="G65" s="20">
        <v>0.268133658681729</v>
      </c>
      <c r="H65" s="20">
        <v>4.3063489527020403E-2</v>
      </c>
      <c r="I65" s="20">
        <v>153.35415271252299</v>
      </c>
      <c r="J65" s="20">
        <v>2.2438966383868926</v>
      </c>
      <c r="K65" s="20">
        <v>2.8497487307513537E-2</v>
      </c>
      <c r="L65" s="20">
        <f t="shared" si="6"/>
        <v>2.2438921223180555</v>
      </c>
      <c r="M65" s="20">
        <f t="shared" si="7"/>
        <v>-2.8497429953553293E-2</v>
      </c>
    </row>
    <row r="66" spans="1:13" x14ac:dyDescent="0.2">
      <c r="A66" s="23">
        <v>9.75</v>
      </c>
      <c r="B66" s="20">
        <v>2.3583426237730398</v>
      </c>
      <c r="C66" s="20">
        <v>-1.2489290117053801E-2</v>
      </c>
      <c r="D66" s="20">
        <v>359.93924630495599</v>
      </c>
      <c r="E66" s="20">
        <v>-1.68723335722774E-3</v>
      </c>
      <c r="F66" s="20">
        <v>-0.27449414973814001</v>
      </c>
      <c r="G66" s="20">
        <v>0.27449933514831398</v>
      </c>
      <c r="H66" s="20">
        <v>4.28909759800533E-2</v>
      </c>
      <c r="I66" s="20">
        <v>152.94043870974801</v>
      </c>
      <c r="J66" s="20">
        <v>2.358380440356596</v>
      </c>
      <c r="K66" s="20">
        <v>2.995143159252877E-2</v>
      </c>
      <c r="L66" s="20">
        <f t="shared" si="6"/>
        <v>2.3583756938775324</v>
      </c>
      <c r="M66" s="20">
        <f t="shared" si="7"/>
        <v>-2.9951371312364465E-2</v>
      </c>
    </row>
    <row r="67" spans="1:13" x14ac:dyDescent="0.2">
      <c r="A67" s="23">
        <v>10</v>
      </c>
      <c r="B67" s="20">
        <v>2.4755053155423901</v>
      </c>
      <c r="C67" s="20">
        <v>-1.3086896260451701E-2</v>
      </c>
      <c r="D67" s="20">
        <v>359.936275634168</v>
      </c>
      <c r="E67" s="20">
        <v>-1.73424086116019E-3</v>
      </c>
      <c r="F67" s="20">
        <v>-0.28083425117719202</v>
      </c>
      <c r="G67" s="20">
        <v>0.28083960587071599</v>
      </c>
      <c r="H67" s="20">
        <v>4.2720429022684699E-2</v>
      </c>
      <c r="I67" s="20">
        <v>152.53148518891501</v>
      </c>
      <c r="J67" s="20">
        <v>2.4755448898868089</v>
      </c>
      <c r="K67" s="20">
        <v>3.1439420101562476E-2</v>
      </c>
      <c r="L67" s="20">
        <f t="shared" si="6"/>
        <v>2.4755399076024527</v>
      </c>
      <c r="M67" s="20">
        <f t="shared" si="7"/>
        <v>-3.1439356826676909E-2</v>
      </c>
    </row>
    <row r="68" spans="1:13" x14ac:dyDescent="0.2">
      <c r="A68" s="23">
        <v>10.25</v>
      </c>
      <c r="B68" s="20">
        <v>2.5953379703208501</v>
      </c>
      <c r="C68" s="20">
        <v>-1.3695356269653E-2</v>
      </c>
      <c r="D68" s="20">
        <v>359.93324075857902</v>
      </c>
      <c r="E68" s="20">
        <v>-1.7815482157037799E-3</v>
      </c>
      <c r="F68" s="20">
        <v>-0.28714923375353302</v>
      </c>
      <c r="G68" s="20">
        <v>0.28715476029362003</v>
      </c>
      <c r="H68" s="20">
        <v>4.2551824365637203E-2</v>
      </c>
      <c r="I68" s="20">
        <v>152.12723605877599</v>
      </c>
      <c r="J68" s="20">
        <v>2.5953793280910715</v>
      </c>
      <c r="K68" s="20">
        <v>3.2961317466756609E-2</v>
      </c>
      <c r="L68" s="20">
        <f t="shared" si="6"/>
        <v>2.5953741046277901</v>
      </c>
      <c r="M68" s="20">
        <f t="shared" si="7"/>
        <v>-3.296125112890478E-2</v>
      </c>
    </row>
    <row r="69" spans="1:13" x14ac:dyDescent="0.2">
      <c r="A69" s="23">
        <v>10.5</v>
      </c>
      <c r="B69" s="20">
        <v>2.7178300518543899</v>
      </c>
      <c r="C69" s="20">
        <v>-1.4314395926603401E-2</v>
      </c>
      <c r="D69" s="20">
        <v>359.93014208795699</v>
      </c>
      <c r="E69" s="20">
        <v>-1.82916070586841E-3</v>
      </c>
      <c r="F69" s="20">
        <v>-0.29343938329413199</v>
      </c>
      <c r="G69" s="20">
        <v>0.29344508429504901</v>
      </c>
      <c r="H69" s="20">
        <v>4.2385138137760098E-2</v>
      </c>
      <c r="I69" s="20">
        <v>151.72763617538399</v>
      </c>
      <c r="J69" s="20">
        <v>2.7178732174565146</v>
      </c>
      <c r="K69" s="20">
        <v>3.4516989861697739E-2</v>
      </c>
      <c r="L69" s="20">
        <f t="shared" si="6"/>
        <v>2.717867747461892</v>
      </c>
      <c r="M69" s="20">
        <f t="shared" si="7"/>
        <v>-3.4516920392904098E-2</v>
      </c>
    </row>
    <row r="70" spans="1:13" x14ac:dyDescent="0.2">
      <c r="A70" s="23">
        <v>10.75</v>
      </c>
      <c r="B70" s="20">
        <v>2.8429711437860998</v>
      </c>
      <c r="C70" s="20">
        <v>-1.49437367108637E-2</v>
      </c>
      <c r="D70" s="20">
        <v>359.92698002709699</v>
      </c>
      <c r="E70" s="20">
        <v>-1.87708354393552E-3</v>
      </c>
      <c r="F70" s="20">
        <v>-0.299704982120372</v>
      </c>
      <c r="G70" s="20">
        <v>0.29971086024767901</v>
      </c>
      <c r="H70" s="20">
        <v>4.2220346877864898E-2</v>
      </c>
      <c r="I70" s="20">
        <v>151.33263132375001</v>
      </c>
      <c r="J70" s="20">
        <v>2.8430161403517413</v>
      </c>
      <c r="K70" s="20">
        <v>3.6106304982467113E-2</v>
      </c>
      <c r="L70" s="20">
        <f t="shared" si="6"/>
        <v>2.8430104184943339</v>
      </c>
      <c r="M70" s="20">
        <f t="shared" si="7"/>
        <v>-3.6106232315022468E-2</v>
      </c>
    </row>
    <row r="71" spans="1:13" x14ac:dyDescent="0.2">
      <c r="A71" s="23">
        <v>11</v>
      </c>
      <c r="B71" s="20">
        <v>2.9707509481886198</v>
      </c>
      <c r="C71" s="20">
        <v>-1.55830958797927E-2</v>
      </c>
      <c r="D71" s="20">
        <v>359.92375497589302</v>
      </c>
      <c r="E71" s="20">
        <v>-1.9253218705146799E-3</v>
      </c>
      <c r="F71" s="20">
        <v>-0.305946309108168</v>
      </c>
      <c r="G71" s="20">
        <v>0.30595236707895501</v>
      </c>
      <c r="H71" s="20">
        <v>4.2057427526749999E-2</v>
      </c>
      <c r="I71" s="20">
        <v>150.942168199924</v>
      </c>
      <c r="J71" s="20">
        <v>2.970797797560226</v>
      </c>
      <c r="K71" s="20">
        <v>3.7729132029014872E-2</v>
      </c>
      <c r="L71" s="20">
        <f t="shared" si="6"/>
        <v>2.9707918185293263</v>
      </c>
      <c r="M71" s="20">
        <f t="shared" si="7"/>
        <v>-3.7729056095473362E-2</v>
      </c>
    </row>
    <row r="72" spans="1:13" x14ac:dyDescent="0.2">
      <c r="A72" s="23">
        <v>11.25</v>
      </c>
      <c r="B72" s="20">
        <v>3.1011592841217599</v>
      </c>
      <c r="C72" s="20">
        <v>-1.6232186546482001E-2</v>
      </c>
      <c r="D72" s="20">
        <v>359.92046732939599</v>
      </c>
      <c r="E72" s="20">
        <v>-1.9738807555808998E-3</v>
      </c>
      <c r="F72" s="20">
        <v>-0.31216363974691103</v>
      </c>
      <c r="G72" s="20">
        <v>0.312169880330048</v>
      </c>
      <c r="H72" s="20">
        <v>4.1896357419411598E-2</v>
      </c>
      <c r="I72" s="20">
        <v>150.55619439349701</v>
      </c>
      <c r="J72" s="20">
        <v>3.1012080068389447</v>
      </c>
      <c r="K72" s="20">
        <v>3.9385341686854598E-2</v>
      </c>
      <c r="L72" s="20">
        <f t="shared" si="6"/>
        <v>3.1012017653443102</v>
      </c>
      <c r="M72" s="20">
        <f t="shared" si="7"/>
        <v>-3.9385262420030279E-2</v>
      </c>
    </row>
    <row r="73" spans="1:13" x14ac:dyDescent="0.2">
      <c r="A73" s="23">
        <v>11.5</v>
      </c>
      <c r="B73" s="20">
        <v>3.23418608621474</v>
      </c>
      <c r="C73" s="20">
        <v>-1.68907177554985E-2</v>
      </c>
      <c r="D73" s="20">
        <v>359.91711747787201</v>
      </c>
      <c r="E73" s="20">
        <v>-2.0227651994931301E-3</v>
      </c>
      <c r="F73" s="20">
        <v>-0.31835724619727901</v>
      </c>
      <c r="G73" s="20">
        <v>0.31836367221366102</v>
      </c>
      <c r="H73" s="20">
        <v>4.1737114277434803E-2</v>
      </c>
      <c r="I73" s="20">
        <v>150.17465837049599</v>
      </c>
      <c r="J73" s="20">
        <v>3.234236701501501</v>
      </c>
      <c r="K73" s="20">
        <v>4.1074806109069065E-2</v>
      </c>
      <c r="L73" s="20">
        <f t="shared" si="6"/>
        <v>3.2342301922731651</v>
      </c>
      <c r="M73" s="20">
        <f t="shared" si="7"/>
        <v>-4.1074723442033494E-2</v>
      </c>
    </row>
    <row r="74" spans="1:13" x14ac:dyDescent="0.2">
      <c r="A74" s="23">
        <v>11.75</v>
      </c>
      <c r="B74" s="20">
        <v>3.3698214032725802</v>
      </c>
      <c r="C74" s="20">
        <v>-1.7558394556485401E-2</v>
      </c>
      <c r="D74" s="20">
        <v>359.91370580686902</v>
      </c>
      <c r="E74" s="20">
        <v>-2.0719801339942798E-3</v>
      </c>
      <c r="F74" s="20">
        <v>-0.32452739734793201</v>
      </c>
      <c r="G74" s="20">
        <v>0.32453401167073098</v>
      </c>
      <c r="H74" s="20">
        <v>4.1579676201560202E-2</v>
      </c>
      <c r="I74" s="20">
        <v>149.79750945668101</v>
      </c>
      <c r="J74" s="20">
        <v>3.3698739290255268</v>
      </c>
      <c r="K74" s="20">
        <v>4.2797398898624189E-2</v>
      </c>
      <c r="L74" s="20">
        <f t="shared" si="6"/>
        <v>3.3698671468135628</v>
      </c>
      <c r="M74" s="20">
        <f t="shared" si="7"/>
        <v>-4.2797312764703437E-2</v>
      </c>
    </row>
    <row r="75" spans="1:13" x14ac:dyDescent="0.2">
      <c r="A75" s="23">
        <v>12</v>
      </c>
      <c r="B75" s="20">
        <v>3.5080553969061801</v>
      </c>
      <c r="C75" s="20">
        <v>-1.8234918075670702E-2</v>
      </c>
      <c r="D75" s="20">
        <v>359.91023269726799</v>
      </c>
      <c r="E75" s="20">
        <v>-2.1215304231931601E-3</v>
      </c>
      <c r="F75" s="20">
        <v>-0.33067435887111801</v>
      </c>
      <c r="G75" s="20">
        <v>0.33068116442603901</v>
      </c>
      <c r="H75" s="20">
        <v>4.1424021664422203E-2</v>
      </c>
      <c r="I75" s="20">
        <v>149.42469782121501</v>
      </c>
      <c r="J75" s="20">
        <v>3.5081098496837408</v>
      </c>
      <c r="K75" s="20">
        <v>4.455299509098351E-2</v>
      </c>
      <c r="L75" s="20">
        <f t="shared" si="6"/>
        <v>3.5081027892580061</v>
      </c>
      <c r="M75" s="20">
        <f t="shared" si="7"/>
        <v>-4.4552905423754889E-2</v>
      </c>
    </row>
    <row r="76" spans="1:13" x14ac:dyDescent="0.2">
      <c r="A76" s="23">
        <v>12.25</v>
      </c>
      <c r="B76" s="20">
        <v>3.6488783401856799</v>
      </c>
      <c r="C76" s="20">
        <v>-1.8919985585333698E-2</v>
      </c>
      <c r="D76" s="20">
        <v>359.90669852534597</v>
      </c>
      <c r="E76" s="20">
        <v>-2.1714208645288199E-3</v>
      </c>
      <c r="F76" s="20">
        <v>-0.33679839327722</v>
      </c>
      <c r="G76" s="20">
        <v>0.33680539304275903</v>
      </c>
      <c r="H76" s="20">
        <v>4.1270129503453698E-2</v>
      </c>
      <c r="I76" s="20">
        <v>149.05617446071599</v>
      </c>
      <c r="J76" s="20">
        <v>3.6489347351981944</v>
      </c>
      <c r="K76" s="20">
        <v>4.6341471137017073E-2</v>
      </c>
      <c r="L76" s="20">
        <f t="shared" si="6"/>
        <v>3.648927391348141</v>
      </c>
      <c r="M76" s="20">
        <f t="shared" si="7"/>
        <v>-4.6341377870306753E-2</v>
      </c>
    </row>
    <row r="77" spans="1:13" x14ac:dyDescent="0.2">
      <c r="A77" s="23">
        <v>12.5</v>
      </c>
      <c r="B77" s="20">
        <v>3.7922806163165901</v>
      </c>
      <c r="C77" s="20">
        <v>-1.9613290571275199E-2</v>
      </c>
      <c r="D77" s="20">
        <v>359.90310366283097</v>
      </c>
      <c r="E77" s="20">
        <v>-2.2216561897174599E-3</v>
      </c>
      <c r="F77" s="20">
        <v>-0.342899759968262</v>
      </c>
      <c r="G77" s="20">
        <v>0.34290695697596602</v>
      </c>
      <c r="H77" s="20">
        <v>4.1117978913953301E-2</v>
      </c>
      <c r="I77" s="20">
        <v>148.69189118366199</v>
      </c>
      <c r="J77" s="20">
        <v>3.7923389674173986</v>
      </c>
      <c r="K77" s="20">
        <v>4.8162704886200967E-2</v>
      </c>
      <c r="L77" s="20">
        <f t="shared" si="6"/>
        <v>3.7923313349518355</v>
      </c>
      <c r="M77" s="20">
        <f t="shared" si="7"/>
        <v>-4.8162607954080963E-2</v>
      </c>
    </row>
    <row r="78" spans="1:13" x14ac:dyDescent="0.2">
      <c r="A78" s="23">
        <v>12.75</v>
      </c>
      <c r="B78" s="20">
        <v>3.93825271733827</v>
      </c>
      <c r="C78" s="20">
        <v>-2.0314522798339299E-2</v>
      </c>
      <c r="D78" s="20">
        <v>359.89944847695801</v>
      </c>
      <c r="E78" s="20">
        <v>-2.2722410656824399E-3</v>
      </c>
      <c r="F78" s="20">
        <v>-0.34897871529040297</v>
      </c>
      <c r="G78" s="20">
        <v>0.34898611262513202</v>
      </c>
      <c r="H78" s="20">
        <v>4.0967549442310999E-2</v>
      </c>
      <c r="I78" s="20">
        <v>148.331800595158</v>
      </c>
      <c r="J78" s="20">
        <v>3.9383130370157358</v>
      </c>
      <c r="K78" s="20">
        <v>5.0016575570099843E-2</v>
      </c>
      <c r="L78" s="20">
        <f t="shared" si="6"/>
        <v>3.938305110762597</v>
      </c>
      <c r="M78" s="20">
        <f t="shared" si="7"/>
        <v>-5.0016474906885044E-2</v>
      </c>
    </row>
    <row r="79" spans="1:13" x14ac:dyDescent="0.2">
      <c r="A79" s="23">
        <v>13</v>
      </c>
      <c r="B79" s="20">
        <v>4.0867852428444396</v>
      </c>
      <c r="C79" s="20">
        <v>-2.1023368374029801E-2</v>
      </c>
      <c r="D79" s="20">
        <v>359.89573333052402</v>
      </c>
      <c r="E79" s="20">
        <v>-2.32318009546767E-3</v>
      </c>
      <c r="F79" s="20">
        <v>-0.35503551258543697</v>
      </c>
      <c r="G79" s="20">
        <v>0.355043113385628</v>
      </c>
      <c r="H79" s="20">
        <v>4.0818820979387702E-2</v>
      </c>
      <c r="I79" s="20">
        <v>147.97585608204199</v>
      </c>
      <c r="J79" s="20">
        <v>4.0868475422148656</v>
      </c>
      <c r="K79" s="20">
        <v>5.1902963786128797E-2</v>
      </c>
      <c r="L79" s="20">
        <f t="shared" si="6"/>
        <v>4.0868393170210249</v>
      </c>
      <c r="M79" s="20">
        <f t="shared" si="7"/>
        <v>-5.1902859326374631E-2</v>
      </c>
    </row>
    <row r="80" spans="1:13" x14ac:dyDescent="0.2">
      <c r="A80" s="23">
        <v>13.25</v>
      </c>
      <c r="B80" s="20">
        <v>4.2378688987251003</v>
      </c>
      <c r="C80" s="20">
        <v>-2.17395098102664E-2</v>
      </c>
      <c r="D80" s="20">
        <v>359.89195858194302</v>
      </c>
      <c r="E80" s="20">
        <v>-2.3744778191347399E-3</v>
      </c>
      <c r="F80" s="20">
        <v>-0.36107040224132497</v>
      </c>
      <c r="G80" s="20">
        <v>0.36107820969926402</v>
      </c>
      <c r="H80" s="20">
        <v>4.0671773754045903E-2</v>
      </c>
      <c r="I80" s="20">
        <v>147.62401179833199</v>
      </c>
      <c r="J80" s="20">
        <v>4.2379331875266395</v>
      </c>
      <c r="K80" s="20">
        <v>5.3821751481588333E-2</v>
      </c>
      <c r="L80" s="20">
        <f t="shared" si="6"/>
        <v>4.2379246582576577</v>
      </c>
      <c r="M80" s="20">
        <f t="shared" si="7"/>
        <v>-5.3821643160087536E-2</v>
      </c>
    </row>
    <row r="81" spans="1:13" x14ac:dyDescent="0.2">
      <c r="A81" s="23">
        <v>13.5</v>
      </c>
      <c r="B81" s="20">
        <v>4.3914944959297104</v>
      </c>
      <c r="C81" s="20">
        <v>-2.2462626083322099E-2</v>
      </c>
      <c r="D81" s="20">
        <v>359.88812458529497</v>
      </c>
      <c r="E81" s="20">
        <v>-2.42613871464407E-3</v>
      </c>
      <c r="F81" s="20">
        <v>-0.36708363174178099</v>
      </c>
      <c r="G81" s="20">
        <v>0.36709164910386899</v>
      </c>
      <c r="H81" s="20">
        <v>4.0526388326826E-2</v>
      </c>
      <c r="I81" s="20">
        <v>147.276222650991</v>
      </c>
      <c r="J81" s="20">
        <v>4.391560782517117</v>
      </c>
      <c r="K81" s="20">
        <v>5.5772821937967391E-2</v>
      </c>
      <c r="L81" s="20">
        <f t="shared" si="6"/>
        <v>4.3915519440570776</v>
      </c>
      <c r="M81" s="20">
        <f t="shared" si="7"/>
        <v>-5.5772709689747978E-2</v>
      </c>
    </row>
    <row r="82" spans="1:13" x14ac:dyDescent="0.2">
      <c r="A82" s="23">
        <v>13.75</v>
      </c>
      <c r="B82" s="20">
        <v>4.5476529492509403</v>
      </c>
      <c r="C82" s="20">
        <v>-2.3192392691984001E-2</v>
      </c>
      <c r="D82" s="20">
        <v>359.88423169038401</v>
      </c>
      <c r="E82" s="20">
        <v>-2.4781671987205E-3</v>
      </c>
      <c r="F82" s="20">
        <v>-0.37307544571493401</v>
      </c>
      <c r="G82" s="20">
        <v>0.37308367628195799</v>
      </c>
      <c r="H82" s="20">
        <v>4.0382645583765898E-2</v>
      </c>
      <c r="I82" s="20">
        <v>146.93244428602401</v>
      </c>
      <c r="J82" s="20">
        <v>4.5477212405913399</v>
      </c>
      <c r="K82" s="20">
        <v>5.7756059755510021E-2</v>
      </c>
      <c r="L82" s="20">
        <f t="shared" si="6"/>
        <v>4.5477120878425836</v>
      </c>
      <c r="M82" s="20">
        <f t="shared" si="7"/>
        <v>-5.775594351583184E-2</v>
      </c>
    </row>
    <row r="83" spans="1:13" x14ac:dyDescent="0.2">
      <c r="A83" s="23">
        <v>14</v>
      </c>
      <c r="B83" s="20">
        <v>4.7063352761289696</v>
      </c>
      <c r="C83" s="20">
        <v>-2.3928481713975901E-2</v>
      </c>
      <c r="D83" s="20">
        <v>359.88028024278401</v>
      </c>
      <c r="E83" s="20">
        <v>-2.5305676277035702E-3</v>
      </c>
      <c r="F83" s="20">
        <v>-0.37904608598108103</v>
      </c>
      <c r="G83" s="20">
        <v>0.37905453310849102</v>
      </c>
      <c r="H83" s="20">
        <v>4.0240526730359202E-2</v>
      </c>
      <c r="I83" s="20">
        <v>146.592633074877</v>
      </c>
      <c r="J83" s="20">
        <v>4.7064055777984244</v>
      </c>
      <c r="K83" s="20">
        <v>5.9771350838039985E-2</v>
      </c>
      <c r="L83" s="20">
        <f t="shared" si="6"/>
        <v>4.7063961056814039</v>
      </c>
      <c r="M83" s="20">
        <f t="shared" si="7"/>
        <v>-5.977123054239291E-2</v>
      </c>
    </row>
    <row r="84" spans="1:13" x14ac:dyDescent="0.2">
      <c r="A84" s="23">
        <v>14.25</v>
      </c>
      <c r="B84" s="20">
        <v>4.8675325954755397</v>
      </c>
      <c r="C84" s="20">
        <v>-2.4670561860684798E-2</v>
      </c>
      <c r="D84" s="20">
        <v>359.87627058389302</v>
      </c>
      <c r="E84" s="20">
        <v>-2.5833442983827699E-3</v>
      </c>
      <c r="F84" s="20">
        <v>-0.38499579159956299</v>
      </c>
      <c r="G84" s="20">
        <v>0.38500445869773797</v>
      </c>
      <c r="H84" s="20">
        <v>4.0100013285650299E-2</v>
      </c>
      <c r="I84" s="20">
        <v>146.25674610113899</v>
      </c>
      <c r="J84" s="20">
        <v>4.8676049116566409</v>
      </c>
      <c r="K84" s="20">
        <v>6.1818582378039347E-2</v>
      </c>
      <c r="L84" s="20">
        <f t="shared" si="6"/>
        <v>4.8675951151096539</v>
      </c>
      <c r="M84" s="20">
        <f t="shared" si="7"/>
        <v>-6.1818457962139875E-2</v>
      </c>
    </row>
    <row r="85" spans="1:13" x14ac:dyDescent="0.2">
      <c r="A85" s="23">
        <v>14.5</v>
      </c>
      <c r="B85" s="20">
        <v>5.0312361265177996</v>
      </c>
      <c r="C85" s="20">
        <v>-2.54182985302259E-2</v>
      </c>
      <c r="D85" s="20">
        <v>359.872203050981</v>
      </c>
      <c r="E85" s="20">
        <v>-2.6365014488182199E-3</v>
      </c>
      <c r="F85" s="20">
        <v>-0.390924798914767</v>
      </c>
      <c r="G85" s="20">
        <v>0.39093368944929902</v>
      </c>
      <c r="H85" s="20">
        <v>3.99610870764604E-2</v>
      </c>
      <c r="I85" s="20">
        <v>145.92474114754401</v>
      </c>
      <c r="J85" s="20">
        <v>5.0313104599980445</v>
      </c>
      <c r="K85" s="20">
        <v>6.3897642841975175E-2</v>
      </c>
      <c r="L85" s="20">
        <f t="shared" si="6"/>
        <v>5.031300333977093</v>
      </c>
      <c r="M85" s="20">
        <f t="shared" si="7"/>
        <v>-6.389751424176468E-2</v>
      </c>
    </row>
    <row r="86" spans="1:13" x14ac:dyDescent="0.2">
      <c r="A86" s="23">
        <v>14.75</v>
      </c>
      <c r="B86" s="20">
        <v>5.19743718766125</v>
      </c>
      <c r="C86" s="20">
        <v>-2.6171353858885499E-2</v>
      </c>
      <c r="D86" s="20">
        <v>359.86807797723998</v>
      </c>
      <c r="E86" s="20">
        <v>-2.6900432591468099E-3</v>
      </c>
      <c r="F86" s="20">
        <v>-0.39683334160129202</v>
      </c>
      <c r="G86" s="20">
        <v>0.39684245909325799</v>
      </c>
      <c r="H86" s="20">
        <v>3.9823730231743001E-2</v>
      </c>
      <c r="I86" s="20">
        <v>145.59657668326199</v>
      </c>
      <c r="J86" s="20">
        <v>5.1975135398324008</v>
      </c>
      <c r="K86" s="20">
        <v>6.6008421955871505E-2</v>
      </c>
      <c r="L86" s="20">
        <f t="shared" si="6"/>
        <v>5.197503079310958</v>
      </c>
      <c r="M86" s="20">
        <f t="shared" si="7"/>
        <v>-6.6008289107513191E-2</v>
      </c>
    </row>
    <row r="87" spans="1:13" x14ac:dyDescent="0.2">
      <c r="A87" s="23">
        <v>15</v>
      </c>
      <c r="B87" s="20">
        <v>5.3661271953716296</v>
      </c>
      <c r="C87" s="20">
        <v>-2.6929386770977101E-2</v>
      </c>
      <c r="D87" s="20">
        <v>359.86389569182802</v>
      </c>
      <c r="E87" s="20">
        <v>-2.7439738523743801E-3</v>
      </c>
      <c r="F87" s="20">
        <v>-0.40272165070828397</v>
      </c>
      <c r="G87" s="20">
        <v>0.402730998734524</v>
      </c>
      <c r="H87" s="20">
        <v>3.9687925177065798E-2</v>
      </c>
      <c r="I87" s="20">
        <v>145.27221185146601</v>
      </c>
      <c r="J87" s="20">
        <v>5.3662055662299561</v>
      </c>
      <c r="K87" s="20">
        <v>6.8150810691120445E-2</v>
      </c>
      <c r="L87" s="20">
        <f t="shared" si="6"/>
        <v>5.3661947661987499</v>
      </c>
      <c r="M87" s="20">
        <f t="shared" si="7"/>
        <v>-6.8150673530996728E-2</v>
      </c>
    </row>
    <row r="88" spans="1:13" x14ac:dyDescent="0.2">
      <c r="A88" s="23">
        <v>15.25</v>
      </c>
      <c r="B88" s="20">
        <v>5.5372976630753703</v>
      </c>
      <c r="C88" s="20">
        <v>-2.7692053027144701E-2</v>
      </c>
      <c r="D88" s="20">
        <v>359.85965651992097</v>
      </c>
      <c r="E88" s="20">
        <v>-2.7982972951539902E-3</v>
      </c>
      <c r="F88" s="20">
        <v>-0.408589954702964</v>
      </c>
      <c r="G88" s="20">
        <v>0.40859953689636302</v>
      </c>
      <c r="H88" s="20">
        <v>3.9553654629214299E-2</v>
      </c>
      <c r="I88" s="20">
        <v>144.95160645717399</v>
      </c>
      <c r="J88" s="20">
        <v>5.5373780512227135</v>
      </c>
      <c r="K88" s="20">
        <v>7.0324701250528462E-2</v>
      </c>
      <c r="L88" s="20">
        <f t="shared" si="6"/>
        <v>5.5373669066895701</v>
      </c>
      <c r="M88" s="20">
        <f t="shared" si="7"/>
        <v>-7.0324559715238849E-2</v>
      </c>
    </row>
    <row r="89" spans="1:13" x14ac:dyDescent="0.2">
      <c r="A89" s="23">
        <v>15.5</v>
      </c>
      <c r="B89" s="20">
        <v>5.7109402000782099</v>
      </c>
      <c r="C89" s="20">
        <v>-2.8459005271149199E-2</v>
      </c>
      <c r="D89" s="20">
        <v>359.85536078275697</v>
      </c>
      <c r="E89" s="20">
        <v>-2.8530175985507001E-3</v>
      </c>
      <c r="F89" s="20">
        <v>-0.41443847951336898</v>
      </c>
      <c r="G89" s="20">
        <v>0.41444829956313101</v>
      </c>
      <c r="H89" s="20">
        <v>3.9420901590915498E-2</v>
      </c>
      <c r="I89" s="20">
        <v>144.63472095536599</v>
      </c>
      <c r="J89" s="20">
        <v>5.7110226027239763</v>
      </c>
      <c r="K89" s="20">
        <v>7.25299870545945E-2</v>
      </c>
      <c r="L89" s="20">
        <f t="shared" si="6"/>
        <v>5.7110111087136204</v>
      </c>
      <c r="M89" s="20">
        <f t="shared" si="7"/>
        <v>-7.2529841080953103E-2</v>
      </c>
    </row>
    <row r="90" spans="1:13" x14ac:dyDescent="0.2">
      <c r="A90" s="23">
        <v>15.75</v>
      </c>
      <c r="B90" s="20">
        <v>5.8870465105016896</v>
      </c>
      <c r="C90" s="20">
        <v>-2.9229893075169801E-2</v>
      </c>
      <c r="D90" s="20">
        <v>359.85100879768203</v>
      </c>
      <c r="E90" s="20">
        <v>-2.90813871879306E-3</v>
      </c>
      <c r="F90" s="20">
        <v>-0.42026744857031501</v>
      </c>
      <c r="G90" s="20">
        <v>0.42027751022224602</v>
      </c>
      <c r="H90" s="20">
        <v>3.9289649345678197E-2</v>
      </c>
      <c r="I90" s="20">
        <v>144.32151643935299</v>
      </c>
      <c r="J90" s="20">
        <v>5.8871309234657261</v>
      </c>
      <c r="K90" s="20">
        <v>7.4766562728014727E-2</v>
      </c>
      <c r="L90" s="20">
        <f t="shared" si="6"/>
        <v>5.887119075019573</v>
      </c>
      <c r="M90" s="20">
        <f t="shared" si="7"/>
        <v>-7.4766412253047643E-2</v>
      </c>
    </row>
    <row r="91" spans="1:13" x14ac:dyDescent="0.2">
      <c r="A91" s="23">
        <v>16</v>
      </c>
      <c r="B91" s="20">
        <v>6.0656083922372099</v>
      </c>
      <c r="C91" s="20">
        <v>-3.0004362983652201E-2</v>
      </c>
      <c r="D91" s="20">
        <v>359.84660087819299</v>
      </c>
      <c r="E91" s="20">
        <v>-2.9636645580115601E-3</v>
      </c>
      <c r="F91" s="20">
        <v>-0.42607708284861001</v>
      </c>
      <c r="G91" s="20">
        <v>0.42608738990539702</v>
      </c>
      <c r="H91" s="20">
        <v>3.9159881452747097E-2</v>
      </c>
      <c r="I91" s="20">
        <v>144.011954629402</v>
      </c>
      <c r="J91" s="20">
        <v>6.065694809953535</v>
      </c>
      <c r="K91" s="20">
        <v>7.7034324086409894E-2</v>
      </c>
      <c r="L91" s="20">
        <f t="shared" si="6"/>
        <v>6.0656826021295016</v>
      </c>
      <c r="M91" s="20">
        <f t="shared" si="7"/>
        <v>-7.7034169047352802E-2</v>
      </c>
    </row>
    <row r="92" spans="1:13" x14ac:dyDescent="0.2">
      <c r="A92" s="23">
        <v>16.25</v>
      </c>
      <c r="B92" s="20">
        <v>6.2466177359173596</v>
      </c>
      <c r="C92" s="20">
        <v>-3.0782058555736899E-2</v>
      </c>
      <c r="D92" s="20">
        <v>359.84213733398502</v>
      </c>
      <c r="E92" s="20">
        <v>-3.0195989649643902E-3</v>
      </c>
      <c r="F92" s="20">
        <v>-0.43186760090752802</v>
      </c>
      <c r="G92" s="20">
        <v>0.43187815722901801</v>
      </c>
      <c r="H92" s="20">
        <v>3.9031581742167802E-2</v>
      </c>
      <c r="I92" s="20">
        <v>143.705997861616</v>
      </c>
      <c r="J92" s="20">
        <v>6.2467061514387341</v>
      </c>
      <c r="K92" s="20">
        <v>7.933316812327193E-2</v>
      </c>
      <c r="L92" s="20">
        <f t="shared" ref="L92:L155" si="8">SQRT(B92^2+C92^2)</f>
        <v>6.2466935793110778</v>
      </c>
      <c r="M92" s="20">
        <f t="shared" ref="M92:M155" si="9">-L92/A$25*100</f>
        <v>-7.9333008457568022E-2</v>
      </c>
    </row>
    <row r="93" spans="1:13" x14ac:dyDescent="0.2">
      <c r="A93" s="23">
        <v>16.5</v>
      </c>
      <c r="B93" s="20">
        <v>6.4300665239040997</v>
      </c>
      <c r="C93" s="20">
        <v>-3.15626204062961E-2</v>
      </c>
      <c r="D93" s="20">
        <v>359.83761847099203</v>
      </c>
      <c r="E93" s="20">
        <v>-3.0759457357505899E-3</v>
      </c>
      <c r="F93" s="20">
        <v>-0.43763921893055402</v>
      </c>
      <c r="G93" s="20">
        <v>0.437650028434038</v>
      </c>
      <c r="H93" s="20">
        <v>3.8904734309960401E-2</v>
      </c>
      <c r="I93" s="20">
        <v>143.403609077049</v>
      </c>
      <c r="J93" s="20">
        <v>6.4301569289075005</v>
      </c>
      <c r="K93" s="20">
        <v>8.1662992997125261E-2</v>
      </c>
      <c r="L93" s="20">
        <f t="shared" si="8"/>
        <v>6.4301439875666135</v>
      </c>
      <c r="M93" s="20">
        <f t="shared" si="9"/>
        <v>-8.166282864242265E-2</v>
      </c>
    </row>
    <row r="94" spans="1:13" x14ac:dyDescent="0.2">
      <c r="A94" s="23">
        <v>16.75</v>
      </c>
      <c r="B94" s="20">
        <v>6.6159468292936197</v>
      </c>
      <c r="C94" s="20">
        <v>-3.2345686245609802E-2</v>
      </c>
      <c r="D94" s="20">
        <v>359.83304459143102</v>
      </c>
      <c r="E94" s="20">
        <v>-3.1327086145110801E-3</v>
      </c>
      <c r="F94" s="20">
        <v>-0.443392150764432</v>
      </c>
      <c r="G94" s="20">
        <v>0.443403217424922</v>
      </c>
      <c r="H94" s="20">
        <v>3.8779323513398703E-2</v>
      </c>
      <c r="I94" s="20">
        <v>143.104751811059</v>
      </c>
      <c r="J94" s="20">
        <v>6.6160392140865545</v>
      </c>
      <c r="K94" s="20">
        <v>8.4023698018899237E-2</v>
      </c>
      <c r="L94" s="20">
        <f t="shared" si="8"/>
        <v>6.6160258986387737</v>
      </c>
      <c r="M94" s="20">
        <f t="shared" si="9"/>
        <v>-8.4023528913048526E-2</v>
      </c>
    </row>
    <row r="95" spans="1:13" x14ac:dyDescent="0.2">
      <c r="A95" s="23">
        <v>17</v>
      </c>
      <c r="B95" s="20">
        <v>6.8042508149375402</v>
      </c>
      <c r="C95" s="20">
        <v>-3.3130890917710203E-2</v>
      </c>
      <c r="D95" s="20">
        <v>359.82841599384301</v>
      </c>
      <c r="E95" s="20">
        <v>-3.1898912941174902E-3</v>
      </c>
      <c r="F95" s="20">
        <v>-0.44912660795751802</v>
      </c>
      <c r="G95" s="20">
        <v>0.44913793580802602</v>
      </c>
      <c r="H95" s="20">
        <v>3.8655333966392098E-2</v>
      </c>
      <c r="I95" s="20">
        <v>142.80939018289499</v>
      </c>
      <c r="J95" s="20">
        <v>6.8043451684651828</v>
      </c>
      <c r="K95" s="20">
        <v>8.6415183639507828E-2</v>
      </c>
      <c r="L95" s="20">
        <f t="shared" si="8"/>
        <v>6.8043314740326384</v>
      </c>
      <c r="M95" s="20">
        <f t="shared" si="9"/>
        <v>-8.6415009720560168E-2</v>
      </c>
    </row>
    <row r="96" spans="1:13" x14ac:dyDescent="0.2">
      <c r="A96" s="23">
        <v>17.25</v>
      </c>
      <c r="B96" s="20">
        <v>6.9949707324801302</v>
      </c>
      <c r="C96" s="20">
        <v>-3.3917866437422103E-2</v>
      </c>
      <c r="D96" s="20">
        <v>359.82373297313399</v>
      </c>
      <c r="E96" s="20">
        <v>-3.2474974168493599E-3</v>
      </c>
      <c r="F96" s="20">
        <v>-0.45484279979745101</v>
      </c>
      <c r="G96" s="20">
        <v>0.45485439292927199</v>
      </c>
      <c r="H96" s="20">
        <v>3.85327505349689E-2</v>
      </c>
      <c r="I96" s="20">
        <v>142.517488885505</v>
      </c>
      <c r="J96" s="20">
        <v>6.9950670423333596</v>
      </c>
      <c r="K96" s="20">
        <v>8.8837351437633674E-2</v>
      </c>
      <c r="L96" s="20">
        <f t="shared" si="8"/>
        <v>6.9950529640537589</v>
      </c>
      <c r="M96" s="20">
        <f t="shared" si="9"/>
        <v>-8.8837172643838086E-2</v>
      </c>
    </row>
    <row r="97" spans="1:13" x14ac:dyDescent="0.2">
      <c r="A97" s="23">
        <v>17.5</v>
      </c>
      <c r="B97" s="20">
        <v>7.1880989214112896</v>
      </c>
      <c r="C97" s="20">
        <v>-3.4706242026126898E-2</v>
      </c>
      <c r="D97" s="20">
        <v>359.81899582061601</v>
      </c>
      <c r="E97" s="20">
        <v>-3.3055305750596601E-3</v>
      </c>
      <c r="F97" s="20">
        <v>-0.46054093334817398</v>
      </c>
      <c r="G97" s="20">
        <v>0.46055279591116399</v>
      </c>
      <c r="H97" s="20">
        <v>3.84115583328569E-2</v>
      </c>
      <c r="I97" s="20">
        <v>142.22901317556801</v>
      </c>
      <c r="J97" s="20">
        <v>7.1881971738355039</v>
      </c>
      <c r="K97" s="20">
        <v>9.1290104107710907E-2</v>
      </c>
      <c r="L97" s="20">
        <f t="shared" si="8"/>
        <v>7.188182706861987</v>
      </c>
      <c r="M97" s="20">
        <f t="shared" si="9"/>
        <v>-9.1289920377512393E-2</v>
      </c>
    </row>
    <row r="98" spans="1:13" x14ac:dyDescent="0.2">
      <c r="A98" s="23">
        <v>17.75</v>
      </c>
      <c r="B98" s="20">
        <v>7.3836278081350404</v>
      </c>
      <c r="C98" s="20">
        <v>-3.5495644146276498E-2</v>
      </c>
      <c r="D98" s="20">
        <v>359.81420482404701</v>
      </c>
      <c r="E98" s="20">
        <v>-3.3639943118290599E-3</v>
      </c>
      <c r="F98" s="20">
        <v>-0.46622121348629803</v>
      </c>
      <c r="G98" s="20">
        <v>0.46623334968915098</v>
      </c>
      <c r="H98" s="20">
        <v>3.8291742717164103E-2</v>
      </c>
      <c r="I98" s="20">
        <v>141.943928863737</v>
      </c>
      <c r="J98" s="20">
        <v>7.3837279880398539</v>
      </c>
      <c r="K98" s="20">
        <v>9.3773345448106143E-2</v>
      </c>
      <c r="L98" s="20">
        <f t="shared" si="8"/>
        <v>7.3837131275408048</v>
      </c>
      <c r="M98" s="20">
        <f t="shared" si="9"/>
        <v>-9.3773156720143316E-2</v>
      </c>
    </row>
    <row r="99" spans="1:13" x14ac:dyDescent="0.2">
      <c r="A99" s="23">
        <v>18</v>
      </c>
      <c r="B99" s="20">
        <v>7.5815499050531798</v>
      </c>
      <c r="C99" s="20">
        <v>-3.6285696534696002E-2</v>
      </c>
      <c r="D99" s="20">
        <v>359.80936026766898</v>
      </c>
      <c r="E99" s="20">
        <v>-3.4228921216741801E-3</v>
      </c>
      <c r="F99" s="20">
        <v>-0.47188384293683999</v>
      </c>
      <c r="G99" s="20">
        <v>0.47189625704736898</v>
      </c>
      <c r="H99" s="20">
        <v>3.8173289284163803E-2</v>
      </c>
      <c r="I99" s="20">
        <v>141.66220230509199</v>
      </c>
      <c r="J99" s="20">
        <v>7.5816519960229325</v>
      </c>
      <c r="K99" s="20">
        <v>9.628698034949125E-2</v>
      </c>
      <c r="L99" s="20">
        <f t="shared" si="8"/>
        <v>7.581636737181813</v>
      </c>
      <c r="M99" s="20">
        <f t="shared" si="9"/>
        <v>-9.6286786562594179E-2</v>
      </c>
    </row>
    <row r="100" spans="1:13" x14ac:dyDescent="0.2">
      <c r="A100" s="23">
        <v>18.25</v>
      </c>
      <c r="B100" s="20">
        <v>7.7818578096639497</v>
      </c>
      <c r="C100" s="20">
        <v>-3.7076020234772702E-2</v>
      </c>
      <c r="D100" s="20">
        <v>359.80446243224901</v>
      </c>
      <c r="E100" s="20">
        <v>-3.48222745154714E-3</v>
      </c>
      <c r="F100" s="20">
        <v>-0.47752902230833499</v>
      </c>
      <c r="G100" s="20">
        <v>0.477541718653751</v>
      </c>
      <c r="H100" s="20">
        <v>3.8056183865137601E-2</v>
      </c>
      <c r="I100" s="20">
        <v>141.383800389801</v>
      </c>
      <c r="J100" s="20">
        <v>7.7819617939690673</v>
      </c>
      <c r="K100" s="20">
        <v>9.8830914783407151E-2</v>
      </c>
      <c r="L100" s="20">
        <f t="shared" si="8"/>
        <v>7.7819461319842258</v>
      </c>
      <c r="M100" s="20">
        <f t="shared" si="9"/>
        <v>-9.8830715876594991E-2</v>
      </c>
    </row>
    <row r="101" spans="1:13" x14ac:dyDescent="0.2">
      <c r="A101" s="23">
        <v>18.5</v>
      </c>
      <c r="B101" s="20">
        <v>7.9845442036753704</v>
      </c>
      <c r="C101" s="20">
        <v>-3.7866233627528903E-2</v>
      </c>
      <c r="D101" s="20">
        <v>359.79951159511501</v>
      </c>
      <c r="E101" s="20">
        <v>-3.54200370128221E-3</v>
      </c>
      <c r="F101" s="20">
        <v>-0.48315695012735199</v>
      </c>
      <c r="G101" s="20">
        <v>0.48316993309454198</v>
      </c>
      <c r="H101" s="20">
        <v>3.7940412522316502E-2</v>
      </c>
      <c r="I101" s="20">
        <v>141.10869053394899</v>
      </c>
      <c r="J101" s="20">
        <v>7.984650062284544</v>
      </c>
      <c r="K101" s="20">
        <v>0.10140505579101372</v>
      </c>
      <c r="L101" s="20">
        <f t="shared" si="8"/>
        <v>7.9846339923690355</v>
      </c>
      <c r="M101" s="20">
        <f t="shared" si="9"/>
        <v>-0.10140485170349238</v>
      </c>
    </row>
    <row r="102" spans="1:13" x14ac:dyDescent="0.2">
      <c r="A102" s="23">
        <v>18.75</v>
      </c>
      <c r="B102" s="20">
        <v>8.1896018521330003</v>
      </c>
      <c r="C102" s="20">
        <v>-3.86559524614822E-2</v>
      </c>
      <c r="D102" s="20">
        <v>359.79450803019199</v>
      </c>
      <c r="E102" s="20">
        <v>-3.6022242241275002E-3</v>
      </c>
      <c r="F102" s="20">
        <v>-0.488767822872404</v>
      </c>
      <c r="G102" s="20">
        <v>0.48878109690820698</v>
      </c>
      <c r="H102" s="20">
        <v>3.78259615449048E-2</v>
      </c>
      <c r="I102" s="20">
        <v>140.83684067054901</v>
      </c>
      <c r="J102" s="20">
        <v>8.189709564726062</v>
      </c>
      <c r="K102" s="20">
        <v>0.10400931147202098</v>
      </c>
      <c r="L102" s="20">
        <f t="shared" si="8"/>
        <v>8.1896930821075937</v>
      </c>
      <c r="M102" s="20">
        <f t="shared" si="9"/>
        <v>-0.10400910214318247</v>
      </c>
    </row>
    <row r="103" spans="1:13" x14ac:dyDescent="0.2">
      <c r="A103" s="23">
        <v>19</v>
      </c>
      <c r="B103" s="20">
        <v>8.3970236025618803</v>
      </c>
      <c r="C103" s="20">
        <v>-3.9444789881338399E-2</v>
      </c>
      <c r="D103" s="20">
        <v>359.789452008041</v>
      </c>
      <c r="E103" s="20">
        <v>-3.6628923272309499E-3</v>
      </c>
      <c r="F103" s="20">
        <v>-0.49436183500728598</v>
      </c>
      <c r="G103" s="20">
        <v>0.494375404618769</v>
      </c>
      <c r="H103" s="20">
        <v>3.7712817445221897E-2</v>
      </c>
      <c r="I103" s="20">
        <v>140.56821924083101</v>
      </c>
      <c r="J103" s="20">
        <v>8.3971331475437303</v>
      </c>
      <c r="K103" s="20">
        <v>0.10664359097380539</v>
      </c>
      <c r="L103" s="20">
        <f t="shared" si="8"/>
        <v>8.3971162474643695</v>
      </c>
      <c r="M103" s="20">
        <f t="shared" si="9"/>
        <v>-0.10664337634322407</v>
      </c>
    </row>
    <row r="104" spans="1:13" x14ac:dyDescent="0.2">
      <c r="A104" s="23">
        <v>19.25</v>
      </c>
      <c r="B104" s="20">
        <v>8.6068023841224797</v>
      </c>
      <c r="C104" s="20">
        <v>-4.0232356455556603E-2</v>
      </c>
      <c r="D104" s="20">
        <v>359.78434379589498</v>
      </c>
      <c r="E104" s="20">
        <v>-3.7240112722618998E-3</v>
      </c>
      <c r="F104" s="20">
        <v>-0.49993917901384</v>
      </c>
      <c r="G104" s="20">
        <v>0.499953048768571</v>
      </c>
      <c r="H104" s="20">
        <v>3.7600966954911302E-2</v>
      </c>
      <c r="I104" s="20">
        <v>140.30279518567701</v>
      </c>
      <c r="J104" s="20">
        <v>8.6069137386377079</v>
      </c>
      <c r="K104" s="20">
        <v>0.10930780448069891</v>
      </c>
      <c r="L104" s="20">
        <f t="shared" si="8"/>
        <v>8.6068964163537114</v>
      </c>
      <c r="M104" s="20">
        <f t="shared" si="9"/>
        <v>-0.10930758448812936</v>
      </c>
    </row>
    <row r="105" spans="1:13" x14ac:dyDescent="0.2">
      <c r="A105" s="23">
        <v>19.5</v>
      </c>
      <c r="B105" s="20">
        <v>8.8189312067802792</v>
      </c>
      <c r="C105" s="20">
        <v>-4.1018260202843999E-2</v>
      </c>
      <c r="D105" s="20">
        <v>359.77918365769199</v>
      </c>
      <c r="E105" s="20">
        <v>-3.7855842759976898E-3</v>
      </c>
      <c r="F105" s="20">
        <v>-0.50550004542417504</v>
      </c>
      <c r="G105" s="20">
        <v>0.50551421995049095</v>
      </c>
      <c r="H105" s="20">
        <v>3.7490397021227702E-2</v>
      </c>
      <c r="I105" s="20">
        <v>140.04053793723401</v>
      </c>
      <c r="J105" s="20">
        <v>8.8190443467285391</v>
      </c>
      <c r="K105" s="20">
        <v>0.11200186320345246</v>
      </c>
      <c r="L105" s="20">
        <f t="shared" si="8"/>
        <v>8.8190265975102466</v>
      </c>
      <c r="M105" s="20">
        <f t="shared" si="9"/>
        <v>-0.11200163778882814</v>
      </c>
    </row>
    <row r="106" spans="1:13" x14ac:dyDescent="0.2">
      <c r="A106" s="23">
        <v>19.75</v>
      </c>
      <c r="B106" s="20">
        <v>9.0334031604889002</v>
      </c>
      <c r="C106" s="20">
        <v>-4.1802106617589999E-2</v>
      </c>
      <c r="D106" s="20">
        <v>359.77397185411297</v>
      </c>
      <c r="E106" s="20">
        <v>-3.8476145108937202E-3</v>
      </c>
      <c r="F106" s="20">
        <v>-0.51104462285232799</v>
      </c>
      <c r="G106" s="20">
        <v>0.51105910683961298</v>
      </c>
      <c r="H106" s="20">
        <v>3.7381094803403098E-2</v>
      </c>
      <c r="I106" s="20">
        <v>139.78141741070101</v>
      </c>
      <c r="J106" s="20">
        <v>9.0335180605411285</v>
      </c>
      <c r="K106" s="20">
        <v>0.11472567936887235</v>
      </c>
      <c r="L106" s="20">
        <f t="shared" si="8"/>
        <v>9.0334998796728012</v>
      </c>
      <c r="M106" s="20">
        <f t="shared" si="9"/>
        <v>-0.11472544847230348</v>
      </c>
    </row>
    <row r="107" spans="1:13" x14ac:dyDescent="0.2">
      <c r="A107" s="23">
        <v>20</v>
      </c>
      <c r="B107" s="20">
        <v>9.2502114143864294</v>
      </c>
      <c r="C107" s="20">
        <v>-4.2583498694260098E-2</v>
      </c>
      <c r="D107" s="20">
        <v>359.76870864261502</v>
      </c>
      <c r="E107" s="20">
        <v>-3.9101051056441797E-3</v>
      </c>
      <c r="F107" s="20">
        <v>-0.51657309802540996</v>
      </c>
      <c r="G107" s="20">
        <v>0.51658789622435697</v>
      </c>
      <c r="H107" s="20">
        <v>3.7273047669090398E-2</v>
      </c>
      <c r="I107" s="20">
        <v>139.525403996291</v>
      </c>
      <c r="J107" s="20">
        <v>9.2503280480019132</v>
      </c>
      <c r="K107" s="20">
        <v>0.1174791662096243</v>
      </c>
      <c r="L107" s="20">
        <f t="shared" si="8"/>
        <v>9.250309430781547</v>
      </c>
      <c r="M107" s="20">
        <f t="shared" si="9"/>
        <v>-0.11747892977139555</v>
      </c>
    </row>
    <row r="108" spans="1:13" x14ac:dyDescent="0.2">
      <c r="A108" s="23">
        <v>20.25</v>
      </c>
      <c r="B108" s="20">
        <v>9.46934921600484</v>
      </c>
      <c r="C108" s="20">
        <v>-4.33620369507699E-2</v>
      </c>
      <c r="D108" s="20">
        <v>359.76339427746302</v>
      </c>
      <c r="E108" s="20">
        <v>-3.9730591457334498E-3</v>
      </c>
      <c r="F108" s="20">
        <v>-0.52208565581421895</v>
      </c>
      <c r="G108" s="20">
        <v>0.52210077303710101</v>
      </c>
      <c r="H108" s="20">
        <v>3.71662431908827E-2</v>
      </c>
      <c r="I108" s="20">
        <v>139.27246855135499</v>
      </c>
      <c r="J108" s="20">
        <v>9.4694675554489667</v>
      </c>
      <c r="K108" s="20">
        <v>0.12026223795420189</v>
      </c>
      <c r="L108" s="20">
        <f t="shared" si="8"/>
        <v>9.4694484971882069</v>
      </c>
      <c r="M108" s="20">
        <f t="shared" si="9"/>
        <v>-0.12026199591477127</v>
      </c>
    </row>
    <row r="109" spans="1:13" x14ac:dyDescent="0.2">
      <c r="A109" s="23">
        <v>20.5</v>
      </c>
      <c r="B109" s="20">
        <v>9.6908098904921491</v>
      </c>
      <c r="C109" s="20">
        <v>-4.4137319450858199E-2</v>
      </c>
      <c r="D109" s="20">
        <v>359.75802900976697</v>
      </c>
      <c r="E109" s="20">
        <v>-4.0364796739782898E-3</v>
      </c>
      <c r="F109" s="20">
        <v>-0.52758247926334501</v>
      </c>
      <c r="G109" s="20">
        <v>0.527597920384279</v>
      </c>
      <c r="H109" s="20">
        <v>3.7060669142906302E-2</v>
      </c>
      <c r="I109" s="20">
        <v>139.022582392685</v>
      </c>
      <c r="J109" s="20">
        <v>9.6909299068551586</v>
      </c>
      <c r="K109" s="20">
        <v>0.12307480981706051</v>
      </c>
      <c r="L109" s="20">
        <f t="shared" si="8"/>
        <v>9.6909104028790178</v>
      </c>
      <c r="M109" s="20">
        <f t="shared" si="9"/>
        <v>-0.12307456211705582</v>
      </c>
    </row>
    <row r="110" spans="1:13" x14ac:dyDescent="0.2">
      <c r="A110" s="23">
        <v>20.75</v>
      </c>
      <c r="B110" s="20">
        <v>9.9145868398472192</v>
      </c>
      <c r="C110" s="20">
        <v>-4.4908941825478998E-2</v>
      </c>
      <c r="D110" s="20">
        <v>359.75261308751101</v>
      </c>
      <c r="E110" s="20">
        <v>-4.1003696910609302E-3</v>
      </c>
      <c r="F110" s="20">
        <v>-0.53306374962078396</v>
      </c>
      <c r="G110" s="20">
        <v>0.53307951957599398</v>
      </c>
      <c r="H110" s="20">
        <v>3.6956313497486099E-2</v>
      </c>
      <c r="I110" s="20">
        <v>138.775717288968</v>
      </c>
      <c r="J110" s="20">
        <v>9.9147085030635225</v>
      </c>
      <c r="K110" s="20">
        <v>0.12591679798890676</v>
      </c>
      <c r="L110" s="20">
        <f t="shared" si="8"/>
        <v>9.9146885487103198</v>
      </c>
      <c r="M110" s="20">
        <f t="shared" si="9"/>
        <v>-0.12591654456912474</v>
      </c>
    </row>
    <row r="111" spans="1:13" x14ac:dyDescent="0.2">
      <c r="A111" s="23">
        <v>21</v>
      </c>
      <c r="B111" s="20">
        <v>10.140673542167001</v>
      </c>
      <c r="C111" s="20">
        <v>-4.5676497293230998E-2</v>
      </c>
      <c r="D111" s="20">
        <v>359.74714675558499</v>
      </c>
      <c r="E111" s="20">
        <v>-4.1647321560533404E-3</v>
      </c>
      <c r="F111" s="20">
        <v>-0.53852964636705203</v>
      </c>
      <c r="G111" s="20">
        <v>0.53854575015513195</v>
      </c>
      <c r="H111" s="20">
        <v>3.6853164421880802E-2</v>
      </c>
      <c r="I111" s="20">
        <v>138.53184545339801</v>
      </c>
      <c r="J111" s="20">
        <v>10.140796821035371</v>
      </c>
      <c r="K111" s="20">
        <v>0.12878811962714923</v>
      </c>
      <c r="L111" s="20">
        <f t="shared" si="8"/>
        <v>10.140776411656596</v>
      </c>
      <c r="M111" s="20">
        <f t="shared" si="9"/>
        <v>-0.12878786042855392</v>
      </c>
    </row>
    <row r="112" spans="1:13" x14ac:dyDescent="0.2">
      <c r="A112" s="23">
        <v>21.25</v>
      </c>
      <c r="B112" s="20">
        <v>10.3690635509057</v>
      </c>
      <c r="C112" s="20">
        <v>-4.64395766798422E-2</v>
      </c>
      <c r="D112" s="20">
        <v>359.74163025582197</v>
      </c>
      <c r="E112" s="20">
        <v>-4.2295699869327498E-3</v>
      </c>
      <c r="F112" s="20">
        <v>-0.54398034724383104</v>
      </c>
      <c r="G112" s="20">
        <v>0.54399678992600098</v>
      </c>
      <c r="H112" s="20">
        <v>3.6751210275087903E-2</v>
      </c>
      <c r="I112" s="20">
        <v>138.29093953645099</v>
      </c>
      <c r="J112" s="20">
        <v>10.369188413110413</v>
      </c>
      <c r="K112" s="20">
        <v>0.13168869284650225</v>
      </c>
      <c r="L112" s="20">
        <f t="shared" si="8"/>
        <v>10.369167544070416</v>
      </c>
      <c r="M112" s="20">
        <f t="shared" si="9"/>
        <v>-0.13168842781022105</v>
      </c>
    </row>
    <row r="113" spans="1:13" x14ac:dyDescent="0.2">
      <c r="A113" s="23">
        <v>21.5</v>
      </c>
      <c r="B113" s="20">
        <v>10.5997504941465</v>
      </c>
      <c r="C113" s="20">
        <v>-4.7197768436728203E-2</v>
      </c>
      <c r="D113" s="20">
        <v>359.73606382702297</v>
      </c>
      <c r="E113" s="20">
        <v>-4.2948860610885799E-3</v>
      </c>
      <c r="F113" s="20">
        <v>-0.54941602828214198</v>
      </c>
      <c r="G113" s="20">
        <v>0.54943281498250596</v>
      </c>
      <c r="H113" s="20">
        <v>3.6650439604715299E-2</v>
      </c>
      <c r="I113" s="20">
        <v>138.05297261880099</v>
      </c>
      <c r="J113" s="20">
        <v>10.599876906278869</v>
      </c>
      <c r="K113" s="20">
        <v>0.13461843670974166</v>
      </c>
      <c r="L113" s="20">
        <f t="shared" si="8"/>
        <v>10.599855572954963</v>
      </c>
      <c r="M113" s="20">
        <f t="shared" si="9"/>
        <v>-0.13461816577706651</v>
      </c>
    </row>
    <row r="114" spans="1:13" x14ac:dyDescent="0.2">
      <c r="A114" s="23">
        <v>21.75</v>
      </c>
      <c r="B114" s="20">
        <v>10.8327280738844</v>
      </c>
      <c r="C114" s="20">
        <v>-4.7950658658640399E-2</v>
      </c>
      <c r="D114" s="20">
        <v>359.73044770498802</v>
      </c>
      <c r="E114" s="20">
        <v>-4.3606832158210604E-3</v>
      </c>
      <c r="F114" s="20">
        <v>-0.55483686383005804</v>
      </c>
      <c r="G114" s="20">
        <v>0.55485399973586103</v>
      </c>
      <c r="H114" s="20">
        <v>3.6550839619682397E-2</v>
      </c>
      <c r="I114" s="20">
        <v>137.81791820438801</v>
      </c>
      <c r="J114" s="20">
        <v>10.832856001465458</v>
      </c>
      <c r="K114" s="20">
        <v>0.13757727121861135</v>
      </c>
      <c r="L114" s="20">
        <f t="shared" si="8"/>
        <v>10.83283419924763</v>
      </c>
      <c r="M114" s="20">
        <f t="shared" si="9"/>
        <v>-0.13757699433099521</v>
      </c>
    </row>
    <row r="115" spans="1:13" x14ac:dyDescent="0.2">
      <c r="A115" s="23">
        <v>22</v>
      </c>
      <c r="B115" s="20">
        <v>11.067990065257501</v>
      </c>
      <c r="C115" s="20">
        <v>-4.8697831100720103E-2</v>
      </c>
      <c r="D115" s="20">
        <v>359.72478212255203</v>
      </c>
      <c r="E115" s="20">
        <v>-4.4269642488314904E-3</v>
      </c>
      <c r="F115" s="20">
        <v>-0.56024302624129296</v>
      </c>
      <c r="G115" s="20">
        <v>0.56026051660317999</v>
      </c>
      <c r="H115" s="20">
        <v>3.6452391636327602E-2</v>
      </c>
      <c r="I115" s="20">
        <v>137.585750213632</v>
      </c>
      <c r="J115" s="20">
        <v>11.068119472761545</v>
      </c>
      <c r="K115" s="20">
        <v>0.14056511730407162</v>
      </c>
      <c r="L115" s="20">
        <f t="shared" si="8"/>
        <v>11.068097197052104</v>
      </c>
      <c r="M115" s="20">
        <f t="shared" si="9"/>
        <v>-0.14056483440312401</v>
      </c>
    </row>
    <row r="116" spans="1:13" x14ac:dyDescent="0.2">
      <c r="A116" s="23">
        <v>22.25</v>
      </c>
      <c r="B116" s="20">
        <v>11.305530315473201</v>
      </c>
      <c r="C116" s="20">
        <v>-4.9438867196228697E-2</v>
      </c>
      <c r="D116" s="20">
        <v>359.71906730960598</v>
      </c>
      <c r="E116" s="20">
        <v>-4.4937319187044796E-3</v>
      </c>
      <c r="F116" s="20">
        <v>-0.56563468466503597</v>
      </c>
      <c r="G116" s="20">
        <v>0.565652534797355</v>
      </c>
      <c r="H116" s="20">
        <v>3.6355076052310697E-2</v>
      </c>
      <c r="I116" s="20">
        <v>137.35644299107599</v>
      </c>
      <c r="J116" s="20">
        <v>11.305661166351431</v>
      </c>
      <c r="K116" s="20">
        <v>0.14358189681266317</v>
      </c>
      <c r="L116" s="20">
        <f t="shared" si="8"/>
        <v>11.305638412565353</v>
      </c>
      <c r="M116" s="20">
        <f t="shared" si="9"/>
        <v>-0.14358160784015431</v>
      </c>
    </row>
    <row r="117" spans="1:13" x14ac:dyDescent="0.2">
      <c r="A117" s="23">
        <v>22.5</v>
      </c>
      <c r="B117" s="20">
        <v>11.545342742478001</v>
      </c>
      <c r="C117" s="20">
        <v>-5.0173346074916199E-2</v>
      </c>
      <c r="D117" s="20">
        <v>359.71330349313502</v>
      </c>
      <c r="E117" s="20">
        <v>-4.5609889453809803E-3</v>
      </c>
      <c r="F117" s="20">
        <v>-0.57101200527826401</v>
      </c>
      <c r="G117" s="20">
        <v>0.57103022055935304</v>
      </c>
      <c r="H117" s="20">
        <v>3.6258873758278097E-2</v>
      </c>
      <c r="I117" s="20">
        <v>137.129971349877</v>
      </c>
      <c r="J117" s="20">
        <v>11.545474999183877</v>
      </c>
      <c r="K117" s="20">
        <v>0.14662753248963525</v>
      </c>
      <c r="L117" s="20">
        <f t="shared" si="8"/>
        <v>11.545451762748211</v>
      </c>
      <c r="M117" s="20">
        <f t="shared" si="9"/>
        <v>-0.14662723738748878</v>
      </c>
    </row>
    <row r="118" spans="1:13" x14ac:dyDescent="0.2">
      <c r="A118" s="23">
        <v>22.75</v>
      </c>
      <c r="B118" s="20">
        <v>11.7874213337327</v>
      </c>
      <c r="C118" s="20">
        <v>-5.09008445804029E-2</v>
      </c>
      <c r="D118" s="20">
        <v>359.70749089723802</v>
      </c>
      <c r="E118" s="20">
        <v>-4.6287380106204198E-3</v>
      </c>
      <c r="F118" s="20">
        <v>-0.57637515146332197</v>
      </c>
      <c r="G118" s="20">
        <v>0.57639373733580601</v>
      </c>
      <c r="H118" s="20">
        <v>3.6163766061806803E-2</v>
      </c>
      <c r="I118" s="20">
        <v>136.906310553682</v>
      </c>
      <c r="J118" s="20">
        <v>11.787554957747384</v>
      </c>
      <c r="K118" s="20">
        <v>0.14970194796339178</v>
      </c>
      <c r="L118" s="20">
        <f t="shared" si="8"/>
        <v>11.787531234101388</v>
      </c>
      <c r="M118" s="20">
        <f t="shared" si="9"/>
        <v>-0.14970164667368646</v>
      </c>
    </row>
    <row r="119" spans="1:13" x14ac:dyDescent="0.2">
      <c r="A119" s="23">
        <v>23</v>
      </c>
      <c r="B119" s="20">
        <v>12.031760145044499</v>
      </c>
      <c r="C119" s="20">
        <v>-5.1620937286782603E-2</v>
      </c>
      <c r="D119" s="20">
        <v>359.70162974316298</v>
      </c>
      <c r="E119" s="20">
        <v>-4.6969817584586702E-3</v>
      </c>
      <c r="F119" s="20">
        <v>-0.58172428386405794</v>
      </c>
      <c r="G119" s="20">
        <v>0.58174324583512804</v>
      </c>
      <c r="H119" s="20">
        <v>3.6069734674456497E-2</v>
      </c>
      <c r="I119" s="20">
        <v>136.685436301392</v>
      </c>
      <c r="J119" s="20">
        <v>12.031895096903597</v>
      </c>
      <c r="K119" s="20">
        <v>0.15280506773067568</v>
      </c>
      <c r="L119" s="20">
        <f t="shared" si="8"/>
        <v>12.031870881498337</v>
      </c>
      <c r="M119" s="20">
        <f t="shared" si="9"/>
        <v>-0.1528047601956401</v>
      </c>
    </row>
    <row r="120" spans="1:13" x14ac:dyDescent="0.2">
      <c r="A120" s="23">
        <v>23.25</v>
      </c>
      <c r="B120" s="20">
        <v>12.2783532994233</v>
      </c>
      <c r="C120" s="20">
        <v>-5.2333196514613399E-2</v>
      </c>
      <c r="D120" s="20">
        <v>359.69572024932899</v>
      </c>
      <c r="E120" s="20">
        <v>-4.76572279565973E-3</v>
      </c>
      <c r="F120" s="20">
        <v>-0.58705956044470398</v>
      </c>
      <c r="G120" s="20">
        <v>0.58707890408640495</v>
      </c>
      <c r="H120" s="20">
        <v>3.5976761698751497E-2</v>
      </c>
      <c r="I120" s="20">
        <v>136.46732471736499</v>
      </c>
      <c r="J120" s="20">
        <v>12.278489538743893</v>
      </c>
      <c r="K120" s="20">
        <v>0.15593681714204743</v>
      </c>
      <c r="L120" s="20">
        <f t="shared" si="8"/>
        <v>12.278464827042365</v>
      </c>
      <c r="M120" s="20">
        <f t="shared" si="9"/>
        <v>-0.15593650330406178</v>
      </c>
    </row>
    <row r="121" spans="1:13" x14ac:dyDescent="0.2">
      <c r="A121" s="23">
        <v>23.5</v>
      </c>
      <c r="B121" s="20">
        <v>12.5271949859619</v>
      </c>
      <c r="C121" s="20">
        <v>-5.3037192346305599E-2</v>
      </c>
      <c r="D121" s="20">
        <v>359.68976263135801</v>
      </c>
      <c r="E121" s="20">
        <v>-4.8349636921612002E-3</v>
      </c>
      <c r="F121" s="20">
        <v>-0.592381136546831</v>
      </c>
      <c r="G121" s="20">
        <v>0.59240086749634302</v>
      </c>
      <c r="H121" s="20">
        <v>3.58848296156139E-2</v>
      </c>
      <c r="I121" s="20">
        <v>136.25195234169601</v>
      </c>
      <c r="J121" s="20">
        <v>12.527332471470659</v>
      </c>
      <c r="K121" s="20">
        <v>0.15909712238767737</v>
      </c>
      <c r="L121" s="20">
        <f t="shared" si="8"/>
        <v>12.527307258947589</v>
      </c>
      <c r="M121" s="20">
        <f t="shared" si="9"/>
        <v>-0.15909680218927078</v>
      </c>
    </row>
    <row r="122" spans="1:13" x14ac:dyDescent="0.2">
      <c r="A122" s="23">
        <v>23.75</v>
      </c>
      <c r="B122" s="20">
        <v>12.778279458740499</v>
      </c>
      <c r="C122" s="20">
        <v>-5.3732492640920997E-2</v>
      </c>
      <c r="D122" s="20">
        <v>359.68375710209898</v>
      </c>
      <c r="E122" s="20">
        <v>-4.9047069815180396E-3</v>
      </c>
      <c r="F122" s="20">
        <v>-0.597689164944472</v>
      </c>
      <c r="G122" s="20">
        <v>0.59770928890439201</v>
      </c>
      <c r="H122" s="20">
        <v>3.5793921272283299E-2</v>
      </c>
      <c r="I122" s="20">
        <v>136.039296120796</v>
      </c>
      <c r="J122" s="20">
        <v>12.778418148302638</v>
      </c>
      <c r="K122" s="20">
        <v>0.16228591048344351</v>
      </c>
      <c r="L122" s="20">
        <f t="shared" si="8"/>
        <v>12.778392430444246</v>
      </c>
      <c r="M122" s="20">
        <f t="shared" si="9"/>
        <v>-0.16228558386729108</v>
      </c>
    </row>
    <row r="123" spans="1:13" x14ac:dyDescent="0.2">
      <c r="A123" s="23">
        <v>24</v>
      </c>
      <c r="B123" s="20">
        <v>13.0316010357534</v>
      </c>
      <c r="C123" s="20">
        <v>-5.4418663048399901E-2</v>
      </c>
      <c r="D123" s="20">
        <v>359.677703871652</v>
      </c>
      <c r="E123" s="20">
        <v>-4.9749551613354698E-3</v>
      </c>
      <c r="F123" s="20">
        <v>-0.60298379589748996</v>
      </c>
      <c r="G123" s="20">
        <v>0.60300431863611303</v>
      </c>
      <c r="H123" s="20">
        <v>3.5704019870694097E-2</v>
      </c>
      <c r="I123" s="20">
        <v>135.829333398237</v>
      </c>
      <c r="J123" s="20">
        <v>13.031740886402222</v>
      </c>
      <c r="K123" s="20">
        <v>0.16550310925730821</v>
      </c>
      <c r="L123" s="20">
        <f t="shared" si="8"/>
        <v>13.031714658706163</v>
      </c>
      <c r="M123" s="20">
        <f t="shared" si="9"/>
        <v>-0.16550277616623027</v>
      </c>
    </row>
    <row r="124" spans="1:13" x14ac:dyDescent="0.2">
      <c r="A124" s="23">
        <v>24.25</v>
      </c>
      <c r="B124" s="20">
        <v>13.2871540978587</v>
      </c>
      <c r="C124" s="20">
        <v>-5.5095267023226799E-2</v>
      </c>
      <c r="D124" s="20">
        <v>359.67160314739903</v>
      </c>
      <c r="E124" s="20">
        <v>-5.0457106936945802E-3</v>
      </c>
      <c r="F124" s="20">
        <v>-0.608265177203268</v>
      </c>
      <c r="G124" s="20">
        <v>0.60828610455486198</v>
      </c>
      <c r="H124" s="20">
        <v>3.5615108956292899E-2</v>
      </c>
      <c r="I124" s="20">
        <v>135.62204190585399</v>
      </c>
      <c r="J124" s="20">
        <v>13.287295065825855</v>
      </c>
      <c r="K124" s="20">
        <v>0.16874864733598838</v>
      </c>
      <c r="L124" s="20">
        <f t="shared" si="8"/>
        <v>13.287268323801232</v>
      </c>
      <c r="M124" s="20">
        <f t="shared" si="9"/>
        <v>-0.16874830771295063</v>
      </c>
    </row>
    <row r="125" spans="1:13" x14ac:dyDescent="0.2">
      <c r="A125" s="23">
        <v>24.5</v>
      </c>
      <c r="B125" s="20">
        <v>13.5449330877483</v>
      </c>
      <c r="C125" s="20">
        <v>-5.5761865837548698E-2</v>
      </c>
      <c r="D125" s="20">
        <v>359.66545513402298</v>
      </c>
      <c r="E125" s="20">
        <v>-5.1169760055726097E-3</v>
      </c>
      <c r="F125" s="20">
        <v>-0.61353345424676298</v>
      </c>
      <c r="G125" s="20">
        <v>0.61355479211184305</v>
      </c>
      <c r="H125" s="20">
        <v>3.5527172407273502E-2</v>
      </c>
      <c r="I125" s="20">
        <v>135.41739975510501</v>
      </c>
      <c r="J125" s="20">
        <v>13.545075128495316</v>
      </c>
      <c r="K125" s="20">
        <v>0.17202245413189052</v>
      </c>
      <c r="L125" s="20">
        <f t="shared" si="8"/>
        <v>13.545047867662202</v>
      </c>
      <c r="M125" s="20">
        <f t="shared" si="9"/>
        <v>-0.17202210791999806</v>
      </c>
    </row>
    <row r="126" spans="1:13" x14ac:dyDescent="0.2">
      <c r="A126" s="23">
        <v>24.75</v>
      </c>
      <c r="B126" s="20">
        <v>13.804932508940199</v>
      </c>
      <c r="C126" s="20">
        <v>-5.6418018593760298E-2</v>
      </c>
      <c r="D126" s="20">
        <v>359.659260033539</v>
      </c>
      <c r="E126" s="20">
        <v>-5.1887534892573403E-3</v>
      </c>
      <c r="F126" s="20">
        <v>-0.61878877004900301</v>
      </c>
      <c r="G126" s="20">
        <v>0.61881052439460804</v>
      </c>
      <c r="H126" s="20">
        <v>3.5440194424211098E-2</v>
      </c>
      <c r="I126" s="20">
        <v>135.21538542867199</v>
      </c>
      <c r="J126" s="20">
        <v>13.805075577190042</v>
      </c>
      <c r="K126" s="20">
        <v>0.17532445983031356</v>
      </c>
      <c r="L126" s="20">
        <f t="shared" si="8"/>
        <v>13.805047793079748</v>
      </c>
      <c r="M126" s="20">
        <f t="shared" si="9"/>
        <v>-0.17532410697281411</v>
      </c>
    </row>
    <row r="127" spans="1:13" x14ac:dyDescent="0.2">
      <c r="A127" s="23">
        <v>25</v>
      </c>
      <c r="B127" s="20">
        <v>14.0671469247894</v>
      </c>
      <c r="C127" s="20">
        <v>-5.7063282236566697E-2</v>
      </c>
      <c r="D127" s="20">
        <v>359.65301804531202</v>
      </c>
      <c r="E127" s="20">
        <v>-5.2610455027555297E-3</v>
      </c>
      <c r="F127" s="20">
        <v>-0.62403126531407704</v>
      </c>
      <c r="G127" s="20">
        <v>0.62405344217404202</v>
      </c>
      <c r="H127" s="20">
        <v>3.5354159520078199E-2</v>
      </c>
      <c r="I127" s="20">
        <v>135.015977772296</v>
      </c>
      <c r="J127" s="20">
        <v>14.067290974559423</v>
      </c>
      <c r="K127" s="20">
        <v>0.1786545953769047</v>
      </c>
      <c r="L127" s="20">
        <f t="shared" si="8"/>
        <v>14.067262662714146</v>
      </c>
      <c r="M127" s="20">
        <f t="shared" si="9"/>
        <v>-0.17865423581718429</v>
      </c>
    </row>
    <row r="128" spans="1:13" x14ac:dyDescent="0.2">
      <c r="A128" s="23">
        <v>25.25</v>
      </c>
      <c r="B128" s="20">
        <v>14.3315709575194</v>
      </c>
      <c r="C128" s="20">
        <v>-5.7697211564539698E-2</v>
      </c>
      <c r="D128" s="20">
        <v>359.64672936608599</v>
      </c>
      <c r="E128" s="20">
        <v>-5.3338543701956899E-3</v>
      </c>
      <c r="F128" s="20">
        <v>-0.62926107847467805</v>
      </c>
      <c r="G128" s="20">
        <v>0.62928368394989997</v>
      </c>
      <c r="H128" s="20">
        <v>3.52690525106246E-2</v>
      </c>
      <c r="I128" s="20">
        <v>134.81915598683099</v>
      </c>
      <c r="J128" s="20">
        <v>14.331715942154815</v>
      </c>
      <c r="K128" s="20">
        <v>0.18201279246536617</v>
      </c>
      <c r="L128" s="20">
        <f t="shared" si="8"/>
        <v>14.331687098127556</v>
      </c>
      <c r="M128" s="20">
        <f t="shared" si="9"/>
        <v>-0.18201242614694801</v>
      </c>
    </row>
    <row r="129" spans="1:13" x14ac:dyDescent="0.2">
      <c r="A129" s="23">
        <v>25.5</v>
      </c>
      <c r="B129" s="20">
        <v>14.598199287272299</v>
      </c>
      <c r="C129" s="20">
        <v>-5.8319359241175803E-2</v>
      </c>
      <c r="D129" s="20">
        <v>359.64039419000602</v>
      </c>
      <c r="E129" s="20">
        <v>-5.4071823822250996E-3</v>
      </c>
      <c r="F129" s="20">
        <v>-0.63447834573623896</v>
      </c>
      <c r="G129" s="20">
        <v>0.63450138599494699</v>
      </c>
      <c r="H129" s="20">
        <v>3.51848585051052E-2</v>
      </c>
      <c r="I129" s="20">
        <v>134.62489962052501</v>
      </c>
      <c r="J129" s="20">
        <v>14.598345159480379</v>
      </c>
      <c r="K129" s="20">
        <v>0.18539898352540082</v>
      </c>
      <c r="L129" s="20">
        <f t="shared" si="8"/>
        <v>14.598315778834891</v>
      </c>
      <c r="M129" s="20">
        <f t="shared" si="9"/>
        <v>-0.18539861039194472</v>
      </c>
    </row>
    <row r="130" spans="1:13" x14ac:dyDescent="0.2">
      <c r="A130" s="23">
        <v>25.75</v>
      </c>
      <c r="B130" s="20">
        <v>14.867026651176801</v>
      </c>
      <c r="C130" s="20">
        <v>-5.89292758054712E-2</v>
      </c>
      <c r="D130" s="20">
        <v>359.63401270863801</v>
      </c>
      <c r="E130" s="20">
        <v>-5.4810317964013302E-3</v>
      </c>
      <c r="F130" s="20">
        <v>-0.63968320111973098</v>
      </c>
      <c r="G130" s="20">
        <v>0.63970668239775297</v>
      </c>
      <c r="H130" s="20">
        <v>3.5101562897340899E-2</v>
      </c>
      <c r="I130" s="20">
        <v>134.43318856150199</v>
      </c>
      <c r="J130" s="20">
        <v>14.867173363061964</v>
      </c>
      <c r="K130" s="20">
        <v>0.18881310171088697</v>
      </c>
      <c r="L130" s="20">
        <f t="shared" si="8"/>
        <v>14.867143441372598</v>
      </c>
      <c r="M130" s="20">
        <f t="shared" si="9"/>
        <v>-0.18881272170618724</v>
      </c>
    </row>
    <row r="131" spans="1:13" x14ac:dyDescent="0.2">
      <c r="A131" s="23">
        <v>26</v>
      </c>
      <c r="B131" s="20">
        <v>15.1380478424348</v>
      </c>
      <c r="C131" s="20">
        <v>-5.9526509682023797E-2</v>
      </c>
      <c r="D131" s="20">
        <v>359.62758511099702</v>
      </c>
      <c r="E131" s="20">
        <v>-5.5554048375782601E-3</v>
      </c>
      <c r="F131" s="20">
        <v>-0.64487577650315697</v>
      </c>
      <c r="G131" s="20">
        <v>0.64489970510418104</v>
      </c>
      <c r="H131" s="20">
        <v>3.5019151357096899E-2</v>
      </c>
      <c r="I131" s="20">
        <v>134.244003030448</v>
      </c>
      <c r="J131" s="20">
        <v>15.138195345534571</v>
      </c>
      <c r="K131" s="20">
        <v>0.19225508088828908</v>
      </c>
      <c r="L131" s="20">
        <f t="shared" si="8"/>
        <v>15.138164878386013</v>
      </c>
      <c r="M131" s="20">
        <f t="shared" si="9"/>
        <v>-0.1922546939562714</v>
      </c>
    </row>
    <row r="132" spans="1:13" x14ac:dyDescent="0.2">
      <c r="A132" s="23">
        <v>26.25</v>
      </c>
      <c r="B132" s="20">
        <v>15.411257709424699</v>
      </c>
      <c r="C132" s="20">
        <v>-6.01106071906738E-2</v>
      </c>
      <c r="D132" s="20">
        <v>359.62111158356601</v>
      </c>
      <c r="E132" s="20">
        <v>-5.6303036982867901E-3</v>
      </c>
      <c r="F132" s="20">
        <v>-0.65005620166179201</v>
      </c>
      <c r="G132" s="20">
        <v>0.65008058395762902</v>
      </c>
      <c r="H132" s="20">
        <v>3.4937609821765803E-2</v>
      </c>
      <c r="I132" s="20">
        <v>134.057323573491</v>
      </c>
      <c r="J132" s="20">
        <v>15.411405954746039</v>
      </c>
      <c r="K132" s="20">
        <v>0.1957248556252747</v>
      </c>
      <c r="L132" s="20">
        <f t="shared" si="8"/>
        <v>15.411374937733463</v>
      </c>
      <c r="M132" s="20">
        <f t="shared" si="9"/>
        <v>-0.19572446170999785</v>
      </c>
    </row>
    <row r="133" spans="1:13" x14ac:dyDescent="0.2">
      <c r="A133" s="23">
        <v>26.5</v>
      </c>
      <c r="B133" s="20">
        <v>15.6866511548214</v>
      </c>
      <c r="C133" s="20">
        <v>-6.0681112555694597E-2</v>
      </c>
      <c r="D133" s="20">
        <v>359.61459231031603</v>
      </c>
      <c r="E133" s="20">
        <v>-5.7057305391101203E-3</v>
      </c>
      <c r="F133" s="20">
        <v>-0.65522460430721496</v>
      </c>
      <c r="G133" s="20">
        <v>0.65524944673805796</v>
      </c>
      <c r="H133" s="20">
        <v>3.4856924488341497E-2</v>
      </c>
      <c r="I133" s="20">
        <v>133.87313105527201</v>
      </c>
      <c r="J133" s="20">
        <v>15.686800092878102</v>
      </c>
      <c r="K133" s="20">
        <v>0.19922236117955192</v>
      </c>
      <c r="L133" s="20">
        <f t="shared" si="8"/>
        <v>15.686768521607009</v>
      </c>
      <c r="M133" s="20">
        <f t="shared" si="9"/>
        <v>-0.19922196022520589</v>
      </c>
    </row>
    <row r="134" spans="1:13" x14ac:dyDescent="0.2">
      <c r="A134" s="23">
        <v>26.75</v>
      </c>
      <c r="B134" s="20">
        <v>15.9642231347328</v>
      </c>
      <c r="C134" s="20">
        <v>-6.1237567914543503E-2</v>
      </c>
      <c r="D134" s="20">
        <v>359.60802747273402</v>
      </c>
      <c r="E134" s="20">
        <v>-5.7816874890540297E-3</v>
      </c>
      <c r="F134" s="20">
        <v>-0.66038111012517198</v>
      </c>
      <c r="G134" s="20">
        <v>0.66040641919985599</v>
      </c>
      <c r="H134" s="20">
        <v>3.47770818056716E-2</v>
      </c>
      <c r="I134" s="20">
        <v>133.691406652187</v>
      </c>
      <c r="J134" s="20">
        <v>15.964372715583771</v>
      </c>
      <c r="K134" s="20">
        <v>0.20274753348791391</v>
      </c>
      <c r="L134" s="20">
        <f t="shared" si="8"/>
        <v>15.964340585669738</v>
      </c>
      <c r="M134" s="20">
        <f t="shared" si="9"/>
        <v>-0.20274712543881668</v>
      </c>
    </row>
    <row r="135" spans="1:13" x14ac:dyDescent="0.2">
      <c r="A135" s="23">
        <v>27</v>
      </c>
      <c r="B135" s="20">
        <v>16.2439686578516</v>
      </c>
      <c r="C135" s="20">
        <v>-6.1779513326185101E-2</v>
      </c>
      <c r="D135" s="20">
        <v>359.60141724983703</v>
      </c>
      <c r="E135" s="20">
        <v>-5.8581766459119104E-3</v>
      </c>
      <c r="F135" s="20">
        <v>-0.66552584281231897</v>
      </c>
      <c r="G135" s="20">
        <v>0.66555162510857302</v>
      </c>
      <c r="H135" s="20">
        <v>3.4698068466977101E-2</v>
      </c>
      <c r="I135" s="20">
        <v>133.51213184581701</v>
      </c>
      <c r="J135" s="20">
        <v>16.244118831139705</v>
      </c>
      <c r="K135" s="20">
        <v>0.20630030915547429</v>
      </c>
      <c r="L135" s="20">
        <f t="shared" si="8"/>
        <v>16.244086138208328</v>
      </c>
      <c r="M135" s="20">
        <f t="shared" si="9"/>
        <v>-0.20629989395607096</v>
      </c>
    </row>
    <row r="136" spans="1:13" x14ac:dyDescent="0.2">
      <c r="A136" s="23">
        <v>27.25</v>
      </c>
      <c r="B136" s="20">
        <v>16.525882784623199</v>
      </c>
      <c r="C136" s="20">
        <v>-6.23064867789953E-2</v>
      </c>
      <c r="D136" s="20">
        <v>359.59476181819798</v>
      </c>
      <c r="E136" s="20">
        <v>-5.9352000766248201E-3</v>
      </c>
      <c r="F136" s="20">
        <v>-0.67065892411186301</v>
      </c>
      <c r="G136" s="20">
        <v>0.67068518627656504</v>
      </c>
      <c r="H136" s="20">
        <v>3.46198714026262E-2</v>
      </c>
      <c r="I136" s="20">
        <v>133.335288416515</v>
      </c>
      <c r="J136" s="20">
        <v>16.526033499614826</v>
      </c>
      <c r="K136" s="20">
        <v>0.2098806254451083</v>
      </c>
      <c r="L136" s="20">
        <f t="shared" si="8"/>
        <v>16.526000239301712</v>
      </c>
      <c r="M136" s="20">
        <f t="shared" si="9"/>
        <v>-0.20988020303997126</v>
      </c>
    </row>
    <row r="137" spans="1:13" x14ac:dyDescent="0.2">
      <c r="A137" s="23">
        <v>27.5</v>
      </c>
      <c r="B137" s="20">
        <v>16.809960626427301</v>
      </c>
      <c r="C137" s="20">
        <v>-6.2818024198257605E-2</v>
      </c>
      <c r="D137" s="20">
        <v>359.58806135196397</v>
      </c>
      <c r="E137" s="20">
        <v>-6.0127598176366402E-3</v>
      </c>
      <c r="F137" s="20">
        <v>-0.67578047384816597</v>
      </c>
      <c r="G137" s="20">
        <v>0.67580722259759596</v>
      </c>
      <c r="H137" s="20">
        <v>3.4542477773154397E-2</v>
      </c>
      <c r="I137" s="20">
        <v>133.160858437163</v>
      </c>
      <c r="J137" s="20">
        <v>16.810111832052947</v>
      </c>
      <c r="K137" s="20">
        <v>0.21348842026707246</v>
      </c>
      <c r="L137" s="20">
        <f t="shared" si="8"/>
        <v>16.810078000003461</v>
      </c>
      <c r="M137" s="20">
        <f t="shared" si="9"/>
        <v>-0.21348799060089793</v>
      </c>
    </row>
    <row r="138" spans="1:13" x14ac:dyDescent="0.2">
      <c r="A138" s="23">
        <v>27.75</v>
      </c>
      <c r="B138" s="20">
        <v>17.0961973447749</v>
      </c>
      <c r="C138" s="20">
        <v>-6.3313659453261506E-2</v>
      </c>
      <c r="D138" s="20">
        <v>359.58131602287699</v>
      </c>
      <c r="E138" s="20">
        <v>-6.0908578752443803E-3</v>
      </c>
      <c r="F138" s="20">
        <v>-0.68089060996032502</v>
      </c>
      <c r="G138" s="20">
        <v>0.68091785208041</v>
      </c>
      <c r="H138" s="20">
        <v>3.4465874962517899E-2</v>
      </c>
      <c r="I138" s="20">
        <v>132.98882426707999</v>
      </c>
      <c r="J138" s="20">
        <v>17.096348989670272</v>
      </c>
      <c r="K138" s="20">
        <v>0.21712363216881245</v>
      </c>
      <c r="L138" s="20">
        <f t="shared" si="8"/>
        <v>17.096314581539545</v>
      </c>
      <c r="M138" s="20">
        <f t="shared" si="9"/>
        <v>-0.21712319518642073</v>
      </c>
    </row>
    <row r="139" spans="1:13" x14ac:dyDescent="0.2">
      <c r="A139" s="23">
        <v>28</v>
      </c>
      <c r="B139" s="20">
        <v>17.3845881505184</v>
      </c>
      <c r="C139" s="20">
        <v>-6.3792924364011405E-2</v>
      </c>
      <c r="D139" s="20">
        <v>359.57452600029302</v>
      </c>
      <c r="E139" s="20">
        <v>-6.16949622594369E-3</v>
      </c>
      <c r="F139" s="20">
        <v>-0.68598944853476995</v>
      </c>
      <c r="G139" s="20">
        <v>0.68601719088133595</v>
      </c>
      <c r="H139" s="20">
        <v>3.4390050571572003E-2</v>
      </c>
      <c r="I139" s="20">
        <v>132.81916854608801</v>
      </c>
      <c r="J139" s="20">
        <v>17.38474018306643</v>
      </c>
      <c r="K139" s="20">
        <v>0.22078620032494367</v>
      </c>
      <c r="L139" s="20">
        <f t="shared" si="8"/>
        <v>17.384705194519224</v>
      </c>
      <c r="M139" s="20">
        <f t="shared" si="9"/>
        <v>-0.22078575597127728</v>
      </c>
    </row>
    <row r="140" spans="1:13" x14ac:dyDescent="0.2">
      <c r="A140" s="23">
        <v>28.25</v>
      </c>
      <c r="B140" s="20">
        <v>17.6751283030762</v>
      </c>
      <c r="C140" s="20">
        <v>-6.4255348707558294E-2</v>
      </c>
      <c r="D140" s="20">
        <v>359.56769145120199</v>
      </c>
      <c r="E140" s="20">
        <v>-6.2486768167697403E-3</v>
      </c>
      <c r="F140" s="20">
        <v>-0.69107710383691801</v>
      </c>
      <c r="G140" s="20">
        <v>0.69110535333593104</v>
      </c>
      <c r="H140" s="20">
        <v>3.4314992411765499E-2</v>
      </c>
      <c r="I140" s="20">
        <v>132.65187418872</v>
      </c>
      <c r="J140" s="20">
        <v>17.67528067144967</v>
      </c>
      <c r="K140" s="20">
        <v>0.22447606452741081</v>
      </c>
      <c r="L140" s="20">
        <f t="shared" si="8"/>
        <v>17.675245098160392</v>
      </c>
      <c r="M140" s="20">
        <f t="shared" si="9"/>
        <v>-0.22447561274753489</v>
      </c>
    </row>
    <row r="141" spans="1:13" x14ac:dyDescent="0.2">
      <c r="A141" s="23">
        <v>28.5</v>
      </c>
      <c r="B141" s="20">
        <v>17.967813109669301</v>
      </c>
      <c r="C141" s="20">
        <v>-6.4700460223959505E-2</v>
      </c>
      <c r="D141" s="20">
        <v>359.560812540249</v>
      </c>
      <c r="E141" s="20">
        <v>-6.3284015656335001E-3</v>
      </c>
      <c r="F141" s="20">
        <v>-0.69615368834190305</v>
      </c>
      <c r="G141" s="20">
        <v>0.69618245198971396</v>
      </c>
      <c r="H141" s="20">
        <v>3.4240688499041098E-2</v>
      </c>
      <c r="I141" s="20">
        <v>132.48692437857</v>
      </c>
      <c r="J141" s="20">
        <v>17.967965761874574</v>
      </c>
      <c r="K141" s="20">
        <v>0.22819316517580712</v>
      </c>
      <c r="L141" s="20">
        <f t="shared" si="8"/>
        <v>17.967929599526965</v>
      </c>
      <c r="M141" s="20">
        <f t="shared" si="9"/>
        <v>-0.22819270591490523</v>
      </c>
    </row>
    <row r="142" spans="1:13" x14ac:dyDescent="0.2">
      <c r="A142" s="23">
        <v>28.75</v>
      </c>
      <c r="B142" s="20">
        <v>18.262637924571798</v>
      </c>
      <c r="C142" s="20">
        <v>-6.5127784621880305E-2</v>
      </c>
      <c r="D142" s="20">
        <v>359.55388942974901</v>
      </c>
      <c r="E142" s="20">
        <v>-6.4086723616535004E-3</v>
      </c>
      <c r="F142" s="20">
        <v>-0.70121931276442095</v>
      </c>
      <c r="G142" s="20">
        <v>0.70124859762800595</v>
      </c>
      <c r="H142" s="20">
        <v>3.4167127047934003E-2</v>
      </c>
      <c r="I142" s="20">
        <v>132.324302562783</v>
      </c>
      <c r="J142" s="20">
        <v>18.262790808492934</v>
      </c>
      <c r="K142" s="20">
        <v>0.23193744326786028</v>
      </c>
      <c r="L142" s="20">
        <f t="shared" si="8"/>
        <v>18.262754052780153</v>
      </c>
      <c r="M142" s="20">
        <f t="shared" si="9"/>
        <v>-0.23193697647123568</v>
      </c>
    </row>
    <row r="143" spans="1:13" x14ac:dyDescent="0.2">
      <c r="A143" s="23">
        <v>29</v>
      </c>
      <c r="B143" s="20">
        <v>18.559598148373102</v>
      </c>
      <c r="C143" s="20">
        <v>-6.5536845583841999E-2</v>
      </c>
      <c r="D143" s="20">
        <v>359.54692227970901</v>
      </c>
      <c r="E143" s="20">
        <v>-6.4894910654831797E-3</v>
      </c>
      <c r="F143" s="20">
        <v>-0.70627408608771503</v>
      </c>
      <c r="G143" s="20">
        <v>0.706303899304914</v>
      </c>
      <c r="H143" s="20">
        <v>3.4094296465861901E-2</v>
      </c>
      <c r="I143" s="20">
        <v>132.16399244667201</v>
      </c>
      <c r="J143" s="20">
        <v>18.559751211817112</v>
      </c>
      <c r="K143" s="20">
        <v>0.23570884039007733</v>
      </c>
      <c r="L143" s="20">
        <f t="shared" si="8"/>
        <v>18.559713858441441</v>
      </c>
      <c r="M143" s="20">
        <f t="shared" si="9"/>
        <v>-0.23570836600314915</v>
      </c>
    </row>
    <row r="144" spans="1:13" x14ac:dyDescent="0.2">
      <c r="A144" s="23">
        <v>29.25</v>
      </c>
      <c r="B144" s="20">
        <v>18.858689227252299</v>
      </c>
      <c r="C144" s="20">
        <v>-6.5927164771128505E-2</v>
      </c>
      <c r="D144" s="20">
        <v>359.539911247845</v>
      </c>
      <c r="E144" s="20">
        <v>-6.5708595096339003E-3</v>
      </c>
      <c r="F144" s="20">
        <v>-0.71131811559172997</v>
      </c>
      <c r="G144" s="20">
        <v>0.71134846437148103</v>
      </c>
      <c r="H144" s="20">
        <v>3.4022185347596302E-2</v>
      </c>
      <c r="I144" s="20">
        <v>132.00597798846701</v>
      </c>
      <c r="J144" s="20">
        <v>18.858842417994698</v>
      </c>
      <c r="K144" s="20">
        <v>0.23950729870853268</v>
      </c>
      <c r="L144" s="20">
        <f t="shared" si="8"/>
        <v>18.858804462667738</v>
      </c>
      <c r="M144" s="20">
        <f t="shared" si="9"/>
        <v>-0.23950681667683832</v>
      </c>
    </row>
    <row r="145" spans="1:13" x14ac:dyDescent="0.2">
      <c r="A145" s="23">
        <v>29.5</v>
      </c>
      <c r="B145" s="20">
        <v>19.159906652264599</v>
      </c>
      <c r="C145" s="20">
        <v>-6.6298261828357505E-2</v>
      </c>
      <c r="D145" s="20">
        <v>359.53285648960099</v>
      </c>
      <c r="E145" s="20">
        <v>-6.6527794987936697E-3</v>
      </c>
      <c r="F145" s="20">
        <v>-0.71635150688045401</v>
      </c>
      <c r="G145" s="20">
        <v>0.71638239850303198</v>
      </c>
      <c r="H145" s="20">
        <v>3.3950782469909797E-2</v>
      </c>
      <c r="I145" s="20">
        <v>131.85024339418601</v>
      </c>
      <c r="J145" s="20">
        <v>19.160059918096238</v>
      </c>
      <c r="K145" s="20">
        <v>0.24333276095982226</v>
      </c>
      <c r="L145" s="20">
        <f t="shared" si="8"/>
        <v>19.160021356538586</v>
      </c>
      <c r="M145" s="20">
        <f t="shared" si="9"/>
        <v>-0.24333227122901338</v>
      </c>
    </row>
    <row r="146" spans="1:13" x14ac:dyDescent="0.2">
      <c r="A146" s="23">
        <v>29.75</v>
      </c>
      <c r="B146" s="20">
        <v>19.463245958638499</v>
      </c>
      <c r="C146" s="20">
        <v>-6.66496543877272E-2</v>
      </c>
      <c r="D146" s="20">
        <v>359.52575815816198</v>
      </c>
      <c r="E146" s="20">
        <v>-6.7352528101417303E-3</v>
      </c>
      <c r="F146" s="20">
        <v>-0.72137436390849496</v>
      </c>
      <c r="G146" s="20">
        <v>0.72140580572573898</v>
      </c>
      <c r="H146" s="20">
        <v>3.3880076786391898E-2</v>
      </c>
      <c r="I146" s="20">
        <v>131.696773112626</v>
      </c>
      <c r="J146" s="20">
        <v>19.463399247412788</v>
      </c>
      <c r="K146" s="20">
        <v>0.24718517044214242</v>
      </c>
      <c r="L146" s="20">
        <f t="shared" si="8"/>
        <v>19.463360075354096</v>
      </c>
      <c r="M146" s="20">
        <f t="shared" si="9"/>
        <v>-0.24718467295798577</v>
      </c>
    </row>
    <row r="147" spans="1:13" x14ac:dyDescent="0.2">
      <c r="A147" s="23">
        <v>30</v>
      </c>
      <c r="B147" s="20">
        <v>19.768702725084701</v>
      </c>
      <c r="C147" s="20">
        <v>-6.6980858072944294E-2</v>
      </c>
      <c r="D147" s="20">
        <v>359.51861640448101</v>
      </c>
      <c r="E147" s="20">
        <v>-6.8182811936590201E-3</v>
      </c>
      <c r="F147" s="20">
        <v>-0.72638678900688503</v>
      </c>
      <c r="G147" s="20">
        <v>0.72641878844243002</v>
      </c>
      <c r="H147" s="20">
        <v>3.38100574224263E-2</v>
      </c>
      <c r="I147" s="20">
        <v>131.545551830466</v>
      </c>
      <c r="J147" s="20">
        <v>19.768855984765946</v>
      </c>
      <c r="K147" s="20">
        <v>0.25106447100652751</v>
      </c>
      <c r="L147" s="20">
        <f t="shared" si="8"/>
        <v>19.76881619794467</v>
      </c>
      <c r="M147" s="20">
        <f t="shared" si="9"/>
        <v>-0.25106396571490158</v>
      </c>
    </row>
    <row r="148" spans="1:13" x14ac:dyDescent="0.2">
      <c r="A148" s="23">
        <v>30.25</v>
      </c>
      <c r="B148" s="20">
        <v>20.076272573115201</v>
      </c>
      <c r="C148" s="20">
        <v>-6.7291386502843498E-2</v>
      </c>
      <c r="D148" s="20">
        <v>359.511431377284</v>
      </c>
      <c r="E148" s="20">
        <v>-6.90186637243464E-3</v>
      </c>
      <c r="F148" s="20">
        <v>-0.73138888290816595</v>
      </c>
      <c r="G148" s="20">
        <v>0.73142144745767301</v>
      </c>
      <c r="H148" s="20">
        <v>3.3740713670324003E-2</v>
      </c>
      <c r="I148" s="20">
        <v>131.39656446749001</v>
      </c>
      <c r="J148" s="20">
        <v>20.07642575182733</v>
      </c>
      <c r="K148" s="20">
        <v>0.25497060704820707</v>
      </c>
      <c r="L148" s="20">
        <f t="shared" si="8"/>
        <v>20.076385345990825</v>
      </c>
      <c r="M148" s="20">
        <f t="shared" si="9"/>
        <v>-0.25497009389510339</v>
      </c>
    </row>
    <row r="149" spans="1:13" x14ac:dyDescent="0.2">
      <c r="A149" s="23">
        <v>30.5</v>
      </c>
      <c r="B149" s="20">
        <v>20.385951166373101</v>
      </c>
      <c r="C149" s="20">
        <v>-6.7580751294704797E-2</v>
      </c>
      <c r="D149" s="20">
        <v>359.50420322309799</v>
      </c>
      <c r="E149" s="20">
        <v>-6.9860100429683502E-3</v>
      </c>
      <c r="F149" s="20">
        <v>-0.73638074477075699</v>
      </c>
      <c r="G149" s="20">
        <v>0.73641388200213498</v>
      </c>
      <c r="H149" s="20">
        <v>3.3672034984605401E-2</v>
      </c>
      <c r="I149" s="20">
        <v>131.24979617190499</v>
      </c>
      <c r="J149" s="20">
        <v>20.38610421244956</v>
      </c>
      <c r="K149" s="20">
        <v>0.25890352349810947</v>
      </c>
      <c r="L149" s="20">
        <f t="shared" si="8"/>
        <v>20.386063183353826</v>
      </c>
      <c r="M149" s="20">
        <f t="shared" si="9"/>
        <v>-0.25890300242962921</v>
      </c>
    </row>
    <row r="150" spans="1:13" x14ac:dyDescent="0.2">
      <c r="A150" s="23">
        <v>30.75</v>
      </c>
      <c r="B150" s="20">
        <v>20.697734209972602</v>
      </c>
      <c r="C150" s="20">
        <v>-6.7848462067278195E-2</v>
      </c>
      <c r="D150" s="20">
        <v>359.49693208626098</v>
      </c>
      <c r="E150" s="20">
        <v>-7.0707138754692997E-3</v>
      </c>
      <c r="F150" s="20">
        <v>-0.74136247220263796</v>
      </c>
      <c r="G150" s="20">
        <v>0.74139618975626997</v>
      </c>
      <c r="H150" s="20">
        <v>3.3604010977426602E-2</v>
      </c>
      <c r="I150" s="20">
        <v>131.10523231577599</v>
      </c>
      <c r="J150" s="20">
        <v>20.697887072006651</v>
      </c>
      <c r="K150" s="20">
        <v>0.26286316581448449</v>
      </c>
      <c r="L150" s="20">
        <f t="shared" si="8"/>
        <v>20.697845415416431</v>
      </c>
      <c r="M150" s="20">
        <f t="shared" si="9"/>
        <v>-0.26286263677684013</v>
      </c>
    </row>
    <row r="151" spans="1:13" x14ac:dyDescent="0.2">
      <c r="A151" s="23">
        <v>31</v>
      </c>
      <c r="B151" s="20">
        <v>21.011617449848501</v>
      </c>
      <c r="C151" s="20">
        <v>-6.8094026443521499E-2</v>
      </c>
      <c r="D151" s="20">
        <v>359.48961810894002</v>
      </c>
      <c r="E151" s="20">
        <v>-7.1559795141509196E-3</v>
      </c>
      <c r="F151" s="20">
        <v>-0.74633416128436703</v>
      </c>
      <c r="G151" s="20">
        <v>0.74636846687333103</v>
      </c>
      <c r="H151" s="20">
        <v>3.35366314141433E-2</v>
      </c>
      <c r="I151" s="20">
        <v>130.96285849055599</v>
      </c>
      <c r="J151" s="20">
        <v>21.011770076744707</v>
      </c>
      <c r="K151" s="20">
        <v>0.2668494799746578</v>
      </c>
      <c r="L151" s="20">
        <f t="shared" si="8"/>
        <v>21.011727788433184</v>
      </c>
      <c r="M151" s="20">
        <f t="shared" si="9"/>
        <v>-0.26684894291416883</v>
      </c>
    </row>
    <row r="152" spans="1:13" x14ac:dyDescent="0.2">
      <c r="A152" s="23">
        <v>31.25</v>
      </c>
      <c r="B152" s="20">
        <v>21.3275966721157</v>
      </c>
      <c r="C152" s="20">
        <v>-6.8316950053061098E-2</v>
      </c>
      <c r="D152" s="20">
        <v>359.48226143114698</v>
      </c>
      <c r="E152" s="20">
        <v>-7.2418085775221496E-3</v>
      </c>
      <c r="F152" s="20">
        <v>-0.75129590659144796</v>
      </c>
      <c r="G152" s="20">
        <v>0.75133080800173402</v>
      </c>
      <c r="H152" s="20">
        <v>3.3469886209008301E-2</v>
      </c>
      <c r="I152" s="20">
        <v>130.82266050271201</v>
      </c>
      <c r="J152" s="20">
        <v>21.327749013141773</v>
      </c>
      <c r="K152" s="20">
        <v>0.27086241246690052</v>
      </c>
      <c r="L152" s="20">
        <f t="shared" si="8"/>
        <v>21.327706088890693</v>
      </c>
      <c r="M152" s="20">
        <f t="shared" si="9"/>
        <v>-0.27086186732999523</v>
      </c>
    </row>
    <row r="153" spans="1:13" x14ac:dyDescent="0.2">
      <c r="A153" s="23">
        <v>31.5</v>
      </c>
      <c r="B153" s="20">
        <v>21.645667702437599</v>
      </c>
      <c r="C153" s="20">
        <v>-6.8516736534380507E-2</v>
      </c>
      <c r="D153" s="20">
        <v>359.47486219075699</v>
      </c>
      <c r="E153" s="20">
        <v>-7.3282026586751498E-3</v>
      </c>
      <c r="F153" s="20">
        <v>-0.75624780121607205</v>
      </c>
      <c r="G153" s="20">
        <v>0.75628330630680396</v>
      </c>
      <c r="H153" s="20">
        <v>3.3403765420995997E-2</v>
      </c>
      <c r="I153" s="20">
        <v>130.68462436944699</v>
      </c>
      <c r="J153" s="20">
        <v>21.645819707277333</v>
      </c>
      <c r="K153" s="20">
        <v>0.27490191028242217</v>
      </c>
      <c r="L153" s="20">
        <f t="shared" si="8"/>
        <v>21.645776142876826</v>
      </c>
      <c r="M153" s="20">
        <f t="shared" si="9"/>
        <v>-0.27490135701563528</v>
      </c>
    </row>
    <row r="154" spans="1:13" x14ac:dyDescent="0.2">
      <c r="A154" s="23">
        <v>31.75</v>
      </c>
      <c r="B154" s="20">
        <v>21.965826405403899</v>
      </c>
      <c r="C154" s="20">
        <v>-6.8692887536746794E-2</v>
      </c>
      <c r="D154" s="20">
        <v>359.46742052351902</v>
      </c>
      <c r="E154" s="20">
        <v>-7.4151633255694297E-3</v>
      </c>
      <c r="F154" s="20">
        <v>-0.76118993678825098</v>
      </c>
      <c r="G154" s="20">
        <v>0.76122605349189598</v>
      </c>
      <c r="H154" s="20">
        <v>3.3338259249750202E-2</v>
      </c>
      <c r="I154" s="20">
        <v>130.54873631451599</v>
      </c>
      <c r="J154" s="20">
        <v>21.965978024210791</v>
      </c>
      <c r="K154" s="20">
        <v>0.27896792090747707</v>
      </c>
      <c r="L154" s="20">
        <f t="shared" si="8"/>
        <v>21.965933815459277</v>
      </c>
      <c r="M154" s="20">
        <f t="shared" si="9"/>
        <v>-0.27896735945744866</v>
      </c>
    </row>
    <row r="155" spans="1:13" x14ac:dyDescent="0.2">
      <c r="A155" s="23">
        <v>32</v>
      </c>
      <c r="B155" s="20">
        <v>22.288068683917</v>
      </c>
      <c r="C155" s="20">
        <v>-6.8844902721880596E-2</v>
      </c>
      <c r="D155" s="20">
        <v>359.45993656307598</v>
      </c>
      <c r="E155" s="20">
        <v>-7.5026921213126102E-3</v>
      </c>
      <c r="F155" s="20">
        <v>-0.76612240349635696</v>
      </c>
      <c r="G155" s="20">
        <v>0.76615913981894201</v>
      </c>
      <c r="H155" s="20">
        <v>3.32733580316509E-2</v>
      </c>
      <c r="I155" s="20">
        <v>130.41498276412699</v>
      </c>
      <c r="J155" s="20">
        <v>22.288219867368554</v>
      </c>
      <c r="K155" s="20">
        <v>0.28306039231558067</v>
      </c>
      <c r="L155" s="20">
        <f t="shared" si="8"/>
        <v>22.288175010072774</v>
      </c>
      <c r="M155" s="20">
        <f t="shared" si="9"/>
        <v>-0.28305982262905643</v>
      </c>
    </row>
    <row r="156" spans="1:13" x14ac:dyDescent="0.2">
      <c r="A156" s="23">
        <v>32.25</v>
      </c>
      <c r="B156" s="20">
        <v>22.612390478586899</v>
      </c>
      <c r="C156" s="20">
        <v>-6.8972279765376496E-2</v>
      </c>
      <c r="D156" s="20">
        <v>359.45241044097799</v>
      </c>
      <c r="E156" s="20">
        <v>-7.5907905644379504E-3</v>
      </c>
      <c r="F156" s="20">
        <v>-0.77104529010709</v>
      </c>
      <c r="G156" s="20">
        <v>0.77108265412841503</v>
      </c>
      <c r="H156" s="20">
        <v>3.3209052235994102E-2</v>
      </c>
      <c r="I156" s="20">
        <v>130.283350342924</v>
      </c>
      <c r="J156" s="20">
        <v>22.612541177939889</v>
      </c>
      <c r="K156" s="20">
        <v>0.28717927295983658</v>
      </c>
      <c r="L156" s="20">
        <f t="shared" ref="L156:L219" si="10">SQRT(B156^2+C156^2)</f>
        <v>22.612495667914754</v>
      </c>
      <c r="M156" s="20">
        <f t="shared" ref="M156:M219" si="11">-L156/A$25*100</f>
        <v>-0.28717869498366611</v>
      </c>
    </row>
    <row r="157" spans="1:13" x14ac:dyDescent="0.2">
      <c r="A157" s="23">
        <v>32.5</v>
      </c>
      <c r="B157" s="20">
        <v>22.9387877671344</v>
      </c>
      <c r="C157" s="20">
        <v>-6.9074514357881894E-2</v>
      </c>
      <c r="D157" s="20">
        <v>359.44484228669597</v>
      </c>
      <c r="E157" s="20">
        <v>-7.6794601491785202E-3</v>
      </c>
      <c r="F157" s="20">
        <v>-0.77595868398489098</v>
      </c>
      <c r="G157" s="20">
        <v>0.775996683858731</v>
      </c>
      <c r="H157" s="20">
        <v>3.3145332461281998E-2</v>
      </c>
      <c r="I157" s="20">
        <v>130.15382587006201</v>
      </c>
      <c r="J157" s="20">
        <v>22.938937934280997</v>
      </c>
      <c r="K157" s="20">
        <v>0.29132451176536867</v>
      </c>
      <c r="L157" s="20">
        <f t="shared" si="10"/>
        <v>22.938891767349368</v>
      </c>
      <c r="M157" s="20">
        <f t="shared" si="11"/>
        <v>-0.29132392544650226</v>
      </c>
    </row>
    <row r="158" spans="1:13" x14ac:dyDescent="0.2">
      <c r="A158" s="23">
        <v>32.75</v>
      </c>
      <c r="B158" s="20">
        <v>23.267256563802601</v>
      </c>
      <c r="C158" s="20">
        <v>-6.9151100206041399E-2</v>
      </c>
      <c r="D158" s="20">
        <v>359.43723222763998</v>
      </c>
      <c r="E158" s="20">
        <v>-7.7687023457384602E-3</v>
      </c>
      <c r="F158" s="20">
        <v>-0.78086267111080399</v>
      </c>
      <c r="G158" s="20">
        <v>0.78090131506512195</v>
      </c>
      <c r="H158" s="20">
        <v>3.3082189431618399E-2</v>
      </c>
      <c r="I158" s="20">
        <v>130.02639635534899</v>
      </c>
      <c r="J158" s="20">
        <v>23.267406151326899</v>
      </c>
      <c r="K158" s="20">
        <v>0.29549605812185165</v>
      </c>
      <c r="L158" s="20">
        <f t="shared" si="10"/>
        <v>23.267359323319759</v>
      </c>
      <c r="M158" s="20">
        <f t="shared" si="11"/>
        <v>-0.29549546340734295</v>
      </c>
    </row>
    <row r="159" spans="1:13" x14ac:dyDescent="0.2">
      <c r="A159" s="23">
        <v>33</v>
      </c>
      <c r="B159" s="20">
        <v>23.597792918776101</v>
      </c>
      <c r="C159" s="20">
        <v>-6.92015290332125E-2</v>
      </c>
      <c r="D159" s="20">
        <v>359.42958038916998</v>
      </c>
      <c r="E159" s="20">
        <v>-7.8585186005611096E-3</v>
      </c>
      <c r="F159" s="20">
        <v>-0.78575733610082199</v>
      </c>
      <c r="G159" s="20">
        <v>0.78579663243797104</v>
      </c>
      <c r="H159" s="20">
        <v>3.3019613993206201E-2</v>
      </c>
      <c r="I159" s="20">
        <v>129.90104899547299</v>
      </c>
      <c r="J159" s="20">
        <v>23.597941880011799</v>
      </c>
      <c r="K159" s="20">
        <v>0.29969386187614988</v>
      </c>
      <c r="L159" s="20">
        <f t="shared" si="10"/>
        <v>23.597894386768072</v>
      </c>
      <c r="M159" s="20">
        <f t="shared" si="11"/>
        <v>-0.29969325871315328</v>
      </c>
    </row>
    <row r="160" spans="1:13" x14ac:dyDescent="0.2">
      <c r="A160" s="23">
        <v>33.25</v>
      </c>
      <c r="B160" s="20">
        <v>23.930392917607598</v>
      </c>
      <c r="C160" s="20">
        <v>-6.9225290579960005E-2</v>
      </c>
      <c r="D160" s="20">
        <v>359.42188689461</v>
      </c>
      <c r="E160" s="20">
        <v>-7.94891033659436E-3</v>
      </c>
      <c r="F160" s="20">
        <v>-0.79064276222371799</v>
      </c>
      <c r="G160" s="20">
        <v>0.79068271932064504</v>
      </c>
      <c r="H160" s="20">
        <v>3.2957596807315602E-2</v>
      </c>
      <c r="I160" s="20">
        <v>129.77777117030001</v>
      </c>
      <c r="J160" s="20">
        <v>23.930541206696276</v>
      </c>
      <c r="K160" s="20">
        <v>0.30391787332504272</v>
      </c>
      <c r="L160" s="20">
        <f t="shared" si="10"/>
        <v>23.930493044062835</v>
      </c>
      <c r="M160" s="20">
        <f t="shared" si="11"/>
        <v>-0.30391726166081368</v>
      </c>
    </row>
    <row r="161" spans="1:13" x14ac:dyDescent="0.2">
      <c r="A161" s="23">
        <v>33.5</v>
      </c>
      <c r="B161" s="20">
        <v>24.265052680639499</v>
      </c>
      <c r="C161" s="20">
        <v>-6.9221872604464496E-2</v>
      </c>
      <c r="D161" s="20">
        <v>359.41415186526802</v>
      </c>
      <c r="E161" s="20">
        <v>-8.0398789535532401E-3</v>
      </c>
      <c r="F161" s="20">
        <v>-0.79551903135090496</v>
      </c>
      <c r="G161" s="20">
        <v>0.79555965765935499</v>
      </c>
      <c r="H161" s="20">
        <v>3.2896125288989303E-2</v>
      </c>
      <c r="I161" s="20">
        <v>129.65655043924701</v>
      </c>
      <c r="J161" s="20">
        <v>24.265200252590102</v>
      </c>
      <c r="K161" s="20">
        <v>0.30816804320789432</v>
      </c>
      <c r="L161" s="20">
        <f t="shared" si="10"/>
        <v>24.265151416421389</v>
      </c>
      <c r="M161" s="20">
        <f t="shared" si="11"/>
        <v>-0.30816742298978433</v>
      </c>
    </row>
    <row r="162" spans="1:13" x14ac:dyDescent="0.2">
      <c r="A162" s="23">
        <v>33.75</v>
      </c>
      <c r="B162" s="20">
        <v>24.6017683622803</v>
      </c>
      <c r="C162" s="20">
        <v>-6.9190760884292199E-2</v>
      </c>
      <c r="D162" s="20">
        <v>359.40637542044101</v>
      </c>
      <c r="E162" s="20">
        <v>-8.1314258281799303E-3</v>
      </c>
      <c r="F162" s="20">
        <v>-0.80038622324875597</v>
      </c>
      <c r="G162" s="20">
        <v>0.80042752729551103</v>
      </c>
      <c r="H162" s="20">
        <v>3.28351853164855E-2</v>
      </c>
      <c r="I162" s="20">
        <v>129.53737453934701</v>
      </c>
      <c r="J162" s="20">
        <v>24.601915173028505</v>
      </c>
      <c r="K162" s="20">
        <v>0.31244432269746203</v>
      </c>
      <c r="L162" s="20">
        <f t="shared" si="10"/>
        <v>24.601865659187062</v>
      </c>
      <c r="M162" s="20">
        <f t="shared" si="11"/>
        <v>-0.31244369387292548</v>
      </c>
    </row>
    <row r="163" spans="1:13" x14ac:dyDescent="0.2">
      <c r="A163" s="23">
        <v>34</v>
      </c>
      <c r="B163" s="20">
        <v>24.940536150084501</v>
      </c>
      <c r="C163" s="20">
        <v>-6.9131439220174895E-2</v>
      </c>
      <c r="D163" s="20">
        <v>359.39855767743501</v>
      </c>
      <c r="E163" s="20">
        <v>-8.2235523145017496E-3</v>
      </c>
      <c r="F163" s="20">
        <v>-0.80524441547755199</v>
      </c>
      <c r="G163" s="20">
        <v>0.80528640586467903</v>
      </c>
      <c r="H163" s="20">
        <v>3.2774763415312901E-2</v>
      </c>
      <c r="I163" s="20">
        <v>129.42023139894999</v>
      </c>
      <c r="J163" s="20">
        <v>24.940682156554185</v>
      </c>
      <c r="K163" s="20">
        <v>0.3167466633882382</v>
      </c>
      <c r="L163" s="20">
        <f t="shared" si="10"/>
        <v>24.940631960909901</v>
      </c>
      <c r="M163" s="20">
        <f t="shared" si="11"/>
        <v>-0.3167460259048227</v>
      </c>
    </row>
    <row r="164" spans="1:13" x14ac:dyDescent="0.2">
      <c r="A164" s="23">
        <v>34.25</v>
      </c>
      <c r="B164" s="20">
        <v>25.281352263864498</v>
      </c>
      <c r="C164" s="20">
        <v>-6.9043389439599201E-2</v>
      </c>
      <c r="D164" s="20">
        <v>359.39069875157799</v>
      </c>
      <c r="E164" s="20">
        <v>-8.3162597440920999E-3</v>
      </c>
      <c r="F164" s="20">
        <v>-0.81009368364913903</v>
      </c>
      <c r="G164" s="20">
        <v>0.81013636905422504</v>
      </c>
      <c r="H164" s="20">
        <v>3.27148466587244E-2</v>
      </c>
      <c r="I164" s="20">
        <v>129.30510913557501</v>
      </c>
      <c r="J164" s="20">
        <v>25.281497424028881</v>
      </c>
      <c r="K164" s="20">
        <v>0.3210750172851668</v>
      </c>
      <c r="L164" s="20">
        <f t="shared" si="10"/>
        <v>25.281446542459392</v>
      </c>
      <c r="M164" s="20">
        <f t="shared" si="11"/>
        <v>-0.32107437109051856</v>
      </c>
    </row>
    <row r="165" spans="1:13" x14ac:dyDescent="0.2">
      <c r="A165" s="23">
        <v>34.5</v>
      </c>
      <c r="B165" s="20">
        <v>25.6242129548829</v>
      </c>
      <c r="C165" s="20">
        <v>-6.8926091399650502E-2</v>
      </c>
      <c r="D165" s="20">
        <v>359.38279875622902</v>
      </c>
      <c r="E165" s="20">
        <v>-8.4095494263290108E-3</v>
      </c>
      <c r="F165" s="20">
        <v>-0.814934101500699</v>
      </c>
      <c r="G165" s="20">
        <v>0.81497749067707703</v>
      </c>
      <c r="H165" s="20">
        <v>3.2655422626665799E-2</v>
      </c>
      <c r="I165" s="20">
        <v>129.19199604526801</v>
      </c>
      <c r="J165" s="20">
        <v>25.624357227827058</v>
      </c>
      <c r="K165" s="20">
        <v>0.32542933679340369</v>
      </c>
      <c r="L165" s="20">
        <f t="shared" si="10"/>
        <v>25.624305656217579</v>
      </c>
      <c r="M165" s="20">
        <f t="shared" si="11"/>
        <v>-0.32542868183526497</v>
      </c>
    </row>
    <row r="166" spans="1:13" x14ac:dyDescent="0.2">
      <c r="A166" s="23">
        <v>34.75</v>
      </c>
      <c r="B166" s="20">
        <v>25.969114505076298</v>
      </c>
      <c r="C166" s="20">
        <v>-6.8779022989609903E-2</v>
      </c>
      <c r="D166" s="20">
        <v>359.37485780279502</v>
      </c>
      <c r="E166" s="20">
        <v>-8.5034226486504008E-3</v>
      </c>
      <c r="F166" s="20">
        <v>-0.81976574096676402</v>
      </c>
      <c r="G166" s="20">
        <v>0.81980984274374902</v>
      </c>
      <c r="H166" s="20">
        <v>3.25964793678978E-2</v>
      </c>
      <c r="I166" s="20">
        <v>129.08088059673801</v>
      </c>
      <c r="J166" s="20">
        <v>25.969257851060533</v>
      </c>
      <c r="K166" s="20">
        <v>0.32980957470846878</v>
      </c>
      <c r="L166" s="20">
        <f t="shared" si="10"/>
        <v>25.969205585303676</v>
      </c>
      <c r="M166" s="20">
        <f t="shared" si="11"/>
        <v>-0.3298089109346759</v>
      </c>
    </row>
    <row r="167" spans="1:13" x14ac:dyDescent="0.2">
      <c r="A167" s="23">
        <v>35</v>
      </c>
      <c r="B167" s="20">
        <v>26.316053226307702</v>
      </c>
      <c r="C167" s="20">
        <v>-6.8601660133306194E-2</v>
      </c>
      <c r="D167" s="20">
        <v>359.36687600074401</v>
      </c>
      <c r="E167" s="20">
        <v>-8.5978806768067292E-3</v>
      </c>
      <c r="F167" s="20">
        <v>-0.82458867224586296</v>
      </c>
      <c r="G167" s="20">
        <v>0.82463349552897003</v>
      </c>
      <c r="H167" s="20">
        <v>3.2538005365461503E-2</v>
      </c>
      <c r="I167" s="20">
        <v>128.97175142571001</v>
      </c>
      <c r="J167" s="20">
        <v>26.316195606831386</v>
      </c>
      <c r="K167" s="20">
        <v>0.33421568420675862</v>
      </c>
      <c r="L167" s="20">
        <f t="shared" si="10"/>
        <v>26.316142642827291</v>
      </c>
      <c r="M167" s="20">
        <f t="shared" si="11"/>
        <v>-0.33421501156524347</v>
      </c>
    </row>
    <row r="168" spans="1:13" x14ac:dyDescent="0.2">
      <c r="A168" s="23">
        <v>35.25</v>
      </c>
      <c r="B168" s="20">
        <v>26.665025459646198</v>
      </c>
      <c r="C168" s="20">
        <v>-6.83934767912317E-2</v>
      </c>
      <c r="D168" s="20">
        <v>359.35885345761301</v>
      </c>
      <c r="E168" s="20">
        <v>-8.6929247551122604E-3</v>
      </c>
      <c r="F168" s="20">
        <v>-0.82940296386229295</v>
      </c>
      <c r="G168" s="20">
        <v>0.82944851763346605</v>
      </c>
      <c r="H168" s="20">
        <v>3.2479989505159901E-2</v>
      </c>
      <c r="I168" s="20">
        <v>128.86459732956999</v>
      </c>
      <c r="J168" s="20">
        <v>26.665166837512928</v>
      </c>
      <c r="K168" s="20">
        <v>0.3386476188364142</v>
      </c>
      <c r="L168" s="20">
        <f t="shared" si="10"/>
        <v>26.665113171168944</v>
      </c>
      <c r="M168" s="20">
        <f t="shared" si="11"/>
        <v>-0.33864693727520018</v>
      </c>
    </row>
    <row r="169" spans="1:13" x14ac:dyDescent="0.2">
      <c r="A169" s="23">
        <v>35.5</v>
      </c>
      <c r="B169" s="20">
        <v>27.016027574672002</v>
      </c>
      <c r="C169" s="20">
        <v>-6.8153944962435695E-2</v>
      </c>
      <c r="D169" s="20">
        <v>359.35079027902799</v>
      </c>
      <c r="E169" s="20">
        <v>-8.78855610669773E-3</v>
      </c>
      <c r="F169" s="20">
        <v>-0.83420868272344495</v>
      </c>
      <c r="G169" s="20">
        <v>0.83425497604127397</v>
      </c>
      <c r="H169" s="20">
        <v>3.2422421046749798E-2</v>
      </c>
      <c r="I169" s="20">
        <v>128.759407262281</v>
      </c>
      <c r="J169" s="20">
        <v>27.016167914055053</v>
      </c>
      <c r="K169" s="20">
        <v>0.34310533250849917</v>
      </c>
      <c r="L169" s="20">
        <f t="shared" si="10"/>
        <v>27.016113541285911</v>
      </c>
      <c r="M169" s="20">
        <f t="shared" si="11"/>
        <v>-0.34310464197570345</v>
      </c>
    </row>
    <row r="170" spans="1:13" x14ac:dyDescent="0.2">
      <c r="A170" s="23">
        <v>35.75</v>
      </c>
      <c r="B170" s="20">
        <v>27.3690559688043</v>
      </c>
      <c r="C170" s="20">
        <v>-6.7882534686206905E-2</v>
      </c>
      <c r="D170" s="20">
        <v>359.34268656870699</v>
      </c>
      <c r="E170" s="20">
        <v>-8.8847759337617408E-3</v>
      </c>
      <c r="F170" s="20">
        <v>-0.83900589417307303</v>
      </c>
      <c r="G170" s="20">
        <v>0.83905293617301102</v>
      </c>
      <c r="H170" s="20">
        <v>3.2365289597574697E-2</v>
      </c>
      <c r="I170" s="20">
        <v>128.65617032952599</v>
      </c>
      <c r="J170" s="20">
        <v>27.369195235313249</v>
      </c>
      <c r="K170" s="20">
        <v>0.34758877948847827</v>
      </c>
      <c r="L170" s="20">
        <f t="shared" si="10"/>
        <v>27.369140152040909</v>
      </c>
      <c r="M170" s="20">
        <f t="shared" si="11"/>
        <v>-0.34758807993230995</v>
      </c>
    </row>
    <row r="171" spans="1:13" x14ac:dyDescent="0.2">
      <c r="A171" s="23">
        <v>36</v>
      </c>
      <c r="B171" s="20">
        <v>27.7241070666513</v>
      </c>
      <c r="C171" s="20">
        <v>-6.7578714043553895E-2</v>
      </c>
      <c r="D171" s="20">
        <v>359.334542428482</v>
      </c>
      <c r="E171" s="20">
        <v>-8.9815854178215502E-3</v>
      </c>
      <c r="F171" s="20">
        <v>-0.84379466204082099</v>
      </c>
      <c r="G171" s="20">
        <v>0.84384246193540202</v>
      </c>
      <c r="H171" s="20">
        <v>3.2308585088398602E-2</v>
      </c>
      <c r="I171" s="20">
        <v>128.554875784084</v>
      </c>
      <c r="J171" s="20">
        <v>27.724245227399305</v>
      </c>
      <c r="K171" s="20">
        <v>0.35209791438797122</v>
      </c>
      <c r="L171" s="20">
        <f t="shared" si="10"/>
        <v>27.724189429552965</v>
      </c>
      <c r="M171" s="20">
        <f t="shared" si="11"/>
        <v>-0.35209720575673104</v>
      </c>
    </row>
    <row r="172" spans="1:13" x14ac:dyDescent="0.2">
      <c r="A172" s="23">
        <v>36.25</v>
      </c>
      <c r="B172" s="20">
        <v>28.081177319379702</v>
      </c>
      <c r="C172" s="20">
        <v>-6.7241949158495795E-2</v>
      </c>
      <c r="D172" s="20">
        <v>359.326357958301</v>
      </c>
      <c r="E172" s="20">
        <v>-9.0789857199640098E-3</v>
      </c>
      <c r="F172" s="20">
        <v>-0.84857504868835099</v>
      </c>
      <c r="G172" s="20">
        <v>0.84862361576740297</v>
      </c>
      <c r="H172" s="20">
        <v>3.2252297751227101E-2</v>
      </c>
      <c r="I172" s="20">
        <v>128.455513021391</v>
      </c>
      <c r="J172" s="20">
        <v>28.081314343051801</v>
      </c>
      <c r="K172" s="20">
        <v>0.35663269215675791</v>
      </c>
      <c r="L172" s="20">
        <f t="shared" si="10"/>
        <v>28.081257826567732</v>
      </c>
      <c r="M172" s="20">
        <f t="shared" si="11"/>
        <v>-0.35663197439883676</v>
      </c>
    </row>
    <row r="173" spans="1:13" x14ac:dyDescent="0.2">
      <c r="A173" s="23">
        <v>36.5</v>
      </c>
      <c r="B173" s="20">
        <v>28.440263204104198</v>
      </c>
      <c r="C173" s="20">
        <v>-6.6871704199171905E-2</v>
      </c>
      <c r="D173" s="20">
        <v>359.31813325624898</v>
      </c>
      <c r="E173" s="20">
        <v>-9.1769779810968594E-3</v>
      </c>
      <c r="F173" s="20">
        <v>-0.85334711505231697</v>
      </c>
      <c r="G173" s="20">
        <v>0.85339645868317104</v>
      </c>
      <c r="H173" s="20">
        <v>3.2196418098924803E-2</v>
      </c>
      <c r="I173" s="20">
        <v>128.358071575287</v>
      </c>
      <c r="J173" s="20">
        <v>28.44039906102611</v>
      </c>
      <c r="K173" s="20">
        <v>0.3611930680750316</v>
      </c>
      <c r="L173" s="20">
        <f t="shared" si="10"/>
        <v>28.440341821847813</v>
      </c>
      <c r="M173" s="20">
        <f t="shared" si="11"/>
        <v>-0.36119234113891202</v>
      </c>
    </row>
    <row r="174" spans="1:13" x14ac:dyDescent="0.2">
      <c r="A174" s="23">
        <v>36.75</v>
      </c>
      <c r="B174" s="20">
        <v>28.801361223292801</v>
      </c>
      <c r="C174" s="20">
        <v>-6.6467441378781203E-2</v>
      </c>
      <c r="D174" s="20">
        <v>359.30986841855298</v>
      </c>
      <c r="E174" s="20">
        <v>-9.2755633222010199E-3</v>
      </c>
      <c r="F174" s="20">
        <v>-0.85811092068446304</v>
      </c>
      <c r="G174" s="20">
        <v>0.85816105031216705</v>
      </c>
      <c r="H174" s="20">
        <v>3.21409369064578E-2</v>
      </c>
      <c r="I174" s="20">
        <v>128.26254111391</v>
      </c>
      <c r="J174" s="20">
        <v>28.801495885501073</v>
      </c>
      <c r="K174" s="20">
        <v>0.36577899774586364</v>
      </c>
      <c r="L174" s="20">
        <f t="shared" si="10"/>
        <v>28.801437919578905</v>
      </c>
      <c r="M174" s="20">
        <f t="shared" si="11"/>
        <v>-0.36577826158011523</v>
      </c>
    </row>
    <row r="175" spans="1:13" x14ac:dyDescent="0.2">
      <c r="A175" s="23">
        <v>37</v>
      </c>
      <c r="B175" s="20">
        <v>29.1644679041902</v>
      </c>
      <c r="C175" s="20">
        <v>-6.6028620956361597E-2</v>
      </c>
      <c r="D175" s="20">
        <v>359.30156353959597</v>
      </c>
      <c r="E175" s="20">
        <v>-9.3747428445845604E-3</v>
      </c>
      <c r="F175" s="20">
        <v>-0.86286652378906104</v>
      </c>
      <c r="G175" s="20">
        <v>0.86291744893658295</v>
      </c>
      <c r="H175" s="20">
        <v>3.2085845193609901E-2</v>
      </c>
      <c r="I175" s="20">
        <v>128.16891143574901</v>
      </c>
      <c r="J175" s="20">
        <v>29.164601345502714</v>
      </c>
      <c r="K175" s="20">
        <v>0.37039043708788449</v>
      </c>
      <c r="L175" s="20">
        <f t="shared" si="10"/>
        <v>29.164542648794029</v>
      </c>
      <c r="M175" s="20">
        <f t="shared" si="11"/>
        <v>-0.37038969164116575</v>
      </c>
    </row>
    <row r="176" spans="1:13" x14ac:dyDescent="0.2">
      <c r="A176" s="23">
        <v>37.25</v>
      </c>
      <c r="B176" s="20">
        <v>29.529579798255298</v>
      </c>
      <c r="C176" s="20">
        <v>-6.5554701237418495E-2</v>
      </c>
      <c r="D176" s="20">
        <v>359.293218711929</v>
      </c>
      <c r="E176" s="20">
        <v>-9.4745176301389896E-3</v>
      </c>
      <c r="F176" s="20">
        <v>-0.86761398125788802</v>
      </c>
      <c r="G176" s="20">
        <v>0.86766571152632699</v>
      </c>
      <c r="H176" s="20">
        <v>3.2031134209032398E-2</v>
      </c>
      <c r="I176" s="20">
        <v>128.07717246579699</v>
      </c>
      <c r="J176" s="20">
        <v>29.529711994342591</v>
      </c>
      <c r="K176" s="20">
        <v>0.37502734232815094</v>
      </c>
      <c r="L176" s="20">
        <f t="shared" si="10"/>
        <v>29.529652562811872</v>
      </c>
      <c r="M176" s="20">
        <f t="shared" si="11"/>
        <v>-0.37502658754921092</v>
      </c>
    </row>
    <row r="177" spans="1:13" x14ac:dyDescent="0.2">
      <c r="A177" s="23">
        <v>37.5</v>
      </c>
      <c r="B177" s="20">
        <v>29.896693480613099</v>
      </c>
      <c r="C177" s="20">
        <v>-6.5045138574413394E-2</v>
      </c>
      <c r="D177" s="20">
        <v>359.28483402628001</v>
      </c>
      <c r="E177" s="20">
        <v>-9.5748887415988606E-3</v>
      </c>
      <c r="F177" s="20">
        <v>-0.872353348702955</v>
      </c>
      <c r="G177" s="20">
        <v>0.87240589377174305</v>
      </c>
      <c r="H177" s="20">
        <v>3.1976795415506902E-2</v>
      </c>
      <c r="I177" s="20">
        <v>127.987314251833</v>
      </c>
      <c r="J177" s="20">
        <v>29.89682440907109</v>
      </c>
      <c r="K177" s="20">
        <v>0.37968966999520287</v>
      </c>
      <c r="L177" s="20">
        <f t="shared" si="10"/>
        <v>29.896764238689542</v>
      </c>
      <c r="M177" s="20">
        <f t="shared" si="11"/>
        <v>-0.37968890583287596</v>
      </c>
    </row>
    <row r="178" spans="1:13" x14ac:dyDescent="0.2">
      <c r="A178" s="23">
        <v>37.75</v>
      </c>
      <c r="B178" s="20">
        <v>30.2658055495206</v>
      </c>
      <c r="C178" s="20">
        <v>-6.4499387367122796E-2</v>
      </c>
      <c r="D178" s="20">
        <v>359.276409571567</v>
      </c>
      <c r="E178" s="20">
        <v>-9.6758572228055895E-3</v>
      </c>
      <c r="F178" s="20">
        <v>-0.87708468048713095</v>
      </c>
      <c r="G178" s="20">
        <v>0.87713805011423795</v>
      </c>
      <c r="H178" s="20">
        <v>3.1922820476307699E-2</v>
      </c>
      <c r="I178" s="20">
        <v>127.899326960773</v>
      </c>
      <c r="J178" s="20">
        <v>30.265935189943661</v>
      </c>
      <c r="K178" s="20">
        <v>0.38437737691228452</v>
      </c>
      <c r="L178" s="20">
        <f t="shared" si="10"/>
        <v>30.265874276689292</v>
      </c>
      <c r="M178" s="20">
        <f t="shared" si="11"/>
        <v>-0.38437660331549151</v>
      </c>
    </row>
    <row r="179" spans="1:13" x14ac:dyDescent="0.2">
      <c r="A179" s="23">
        <v>38</v>
      </c>
      <c r="B179" s="20">
        <v>30.636912625844602</v>
      </c>
      <c r="C179" s="20">
        <v>-6.3916900062876703E-2</v>
      </c>
      <c r="D179" s="20">
        <v>359.26794543490797</v>
      </c>
      <c r="E179" s="20">
        <v>-9.7774240989770399E-3</v>
      </c>
      <c r="F179" s="20">
        <v>-0.88180802975282602</v>
      </c>
      <c r="G179" s="20">
        <v>0.88186223377496498</v>
      </c>
      <c r="H179" s="20">
        <v>3.1869201242563497E-2</v>
      </c>
      <c r="I179" s="20">
        <v>127.813200875101</v>
      </c>
      <c r="J179" s="20">
        <v>30.637040959899458</v>
      </c>
      <c r="K179" s="20">
        <v>0.38909042019072315</v>
      </c>
      <c r="L179" s="20">
        <f t="shared" si="10"/>
        <v>30.636979299757179</v>
      </c>
      <c r="M179" s="20">
        <f t="shared" si="11"/>
        <v>-0.38908963710847255</v>
      </c>
    </row>
    <row r="180" spans="1:13" x14ac:dyDescent="0.2">
      <c r="A180" s="23">
        <v>38.25</v>
      </c>
      <c r="B180" s="20">
        <v>31.010011352551398</v>
      </c>
      <c r="C180" s="20">
        <v>-6.3297127156690294E-2</v>
      </c>
      <c r="D180" s="20">
        <v>359.25944170163302</v>
      </c>
      <c r="E180" s="20">
        <v>-9.8795903769841303E-3</v>
      </c>
      <c r="F180" s="20">
        <v>-0.88652344844888598</v>
      </c>
      <c r="G180" s="20">
        <v>0.88657849678171297</v>
      </c>
      <c r="H180" s="20">
        <v>3.1815929741525702E-2</v>
      </c>
      <c r="I180" s="20">
        <v>127.728926389346</v>
      </c>
      <c r="J180" s="20">
        <v>31.010138364052082</v>
      </c>
      <c r="K180" s="20">
        <v>0.39382875722346145</v>
      </c>
      <c r="L180" s="20">
        <f t="shared" si="10"/>
        <v>31.010075953013608</v>
      </c>
      <c r="M180" s="20">
        <f t="shared" si="11"/>
        <v>-0.39382796460484815</v>
      </c>
    </row>
    <row r="181" spans="1:13" x14ac:dyDescent="0.2">
      <c r="A181" s="23">
        <v>38.5</v>
      </c>
      <c r="B181" s="20">
        <v>31.385098394207301</v>
      </c>
      <c r="C181" s="20">
        <v>-6.2639517191297497E-2</v>
      </c>
      <c r="D181" s="20">
        <v>359.25089845529197</v>
      </c>
      <c r="E181" s="20">
        <v>-9.9823570456364797E-3</v>
      </c>
      <c r="F181" s="20">
        <v>-0.89123098735581197</v>
      </c>
      <c r="G181" s="20">
        <v>0.89128688999412597</v>
      </c>
      <c r="H181" s="20">
        <v>3.1762998165661201E-2</v>
      </c>
      <c r="I181" s="20">
        <v>127.646494006578</v>
      </c>
      <c r="J181" s="20">
        <v>31.385224069191096</v>
      </c>
      <c r="K181" s="20">
        <v>0.39859234567872692</v>
      </c>
      <c r="L181" s="20">
        <f t="shared" si="10"/>
        <v>31.385160903254704</v>
      </c>
      <c r="M181" s="20">
        <f t="shared" si="11"/>
        <v>-0.39859154347292913</v>
      </c>
    </row>
    <row r="182" spans="1:13" x14ac:dyDescent="0.2">
      <c r="A182" s="23">
        <v>38.75</v>
      </c>
      <c r="B182" s="20">
        <v>31.762170436489999</v>
      </c>
      <c r="C182" s="20">
        <v>-6.1943516757100602E-2</v>
      </c>
      <c r="D182" s="20">
        <v>359.24231577766699</v>
      </c>
      <c r="E182" s="20">
        <v>-1.00857250759794E-2</v>
      </c>
      <c r="F182" s="20">
        <v>-0.895930696109414</v>
      </c>
      <c r="G182" s="20">
        <v>0.89598746312736299</v>
      </c>
      <c r="H182" s="20">
        <v>3.1710398862491301E-2</v>
      </c>
      <c r="I182" s="20">
        <v>127.565894334912</v>
      </c>
      <c r="J182" s="20">
        <v>31.762294763293816</v>
      </c>
      <c r="K182" s="20">
        <v>0.40338114349383147</v>
      </c>
      <c r="L182" s="20">
        <f t="shared" si="10"/>
        <v>31.762230838464536</v>
      </c>
      <c r="M182" s="20">
        <f t="shared" si="11"/>
        <v>-0.40338033165011317</v>
      </c>
    </row>
    <row r="183" spans="1:13" x14ac:dyDescent="0.2">
      <c r="A183" s="23">
        <v>39</v>
      </c>
      <c r="B183" s="20">
        <v>32.141224185708701</v>
      </c>
      <c r="C183" s="20">
        <v>-6.1208570492048503E-2</v>
      </c>
      <c r="D183" s="20">
        <v>359.23369374878303</v>
      </c>
      <c r="E183" s="20">
        <v>-1.0189695421605201E-2</v>
      </c>
      <c r="F183" s="20">
        <v>-0.90062262322303399</v>
      </c>
      <c r="G183" s="20">
        <v>0.90068026477431196</v>
      </c>
      <c r="H183" s="20">
        <v>3.1658124325104897E-2</v>
      </c>
      <c r="I183" s="20">
        <v>127.487118083978</v>
      </c>
      <c r="J183" s="20">
        <v>32.141347155046631</v>
      </c>
      <c r="K183" s="20">
        <v>0.40819510886909222</v>
      </c>
      <c r="L183" s="20">
        <f t="shared" si="10"/>
        <v>32.141282467336111</v>
      </c>
      <c r="M183" s="20">
        <f t="shared" si="11"/>
        <v>-0.40819428733680141</v>
      </c>
    </row>
    <row r="184" spans="1:13" x14ac:dyDescent="0.2">
      <c r="A184" s="23">
        <v>39.25</v>
      </c>
      <c r="B184" s="20">
        <v>32.522256368334403</v>
      </c>
      <c r="C184" s="20">
        <v>-6.0434121081457903E-2</v>
      </c>
      <c r="D184" s="20">
        <v>359.22503244691802</v>
      </c>
      <c r="E184" s="20">
        <v>-1.02942690189817E-2</v>
      </c>
      <c r="F184" s="20">
        <v>-0.90530681610839603</v>
      </c>
      <c r="G184" s="20">
        <v>0.90536534242644595</v>
      </c>
      <c r="H184" s="20">
        <v>3.1606167183280701E-2</v>
      </c>
      <c r="I184" s="20">
        <v>127.410156061322</v>
      </c>
      <c r="J184" s="20">
        <v>32.522377973376081</v>
      </c>
      <c r="K184" s="20">
        <v>0.41303420026187626</v>
      </c>
      <c r="L184" s="20">
        <f t="shared" si="10"/>
        <v>32.522312518802515</v>
      </c>
      <c r="M184" s="20">
        <f t="shared" si="11"/>
        <v>-0.41303336899044407</v>
      </c>
    </row>
    <row r="185" spans="1:13" x14ac:dyDescent="0.2">
      <c r="A185" s="23">
        <v>39.5</v>
      </c>
      <c r="B185" s="20">
        <v>32.905263730537499</v>
      </c>
      <c r="C185" s="20">
        <v>-5.9619609257793298E-2</v>
      </c>
      <c r="D185" s="20">
        <v>359.216331948613</v>
      </c>
      <c r="E185" s="20">
        <v>-1.0399446787803201E-2</v>
      </c>
      <c r="F185" s="20">
        <v>-0.90998332109519098</v>
      </c>
      <c r="G185" s="20">
        <v>0.910042742493409</v>
      </c>
      <c r="H185" s="20">
        <v>3.1554520195153202E-2</v>
      </c>
      <c r="I185" s="20">
        <v>127.334999168694</v>
      </c>
      <c r="J185" s="20">
        <v>32.90538396698728</v>
      </c>
      <c r="K185" s="20">
        <v>0.41789837638073851</v>
      </c>
      <c r="L185" s="20">
        <f t="shared" si="10"/>
        <v>32.905317741575367</v>
      </c>
      <c r="M185" s="20">
        <f t="shared" si="11"/>
        <v>-0.41789753531967877</v>
      </c>
    </row>
    <row r="186" spans="1:13" x14ac:dyDescent="0.2">
      <c r="A186" s="23">
        <v>39.75</v>
      </c>
      <c r="B186" s="20">
        <v>33.290243037734903</v>
      </c>
      <c r="C186" s="20">
        <v>-5.8764473800425099E-2</v>
      </c>
      <c r="D186" s="20">
        <v>359.20759232868198</v>
      </c>
      <c r="E186" s="20">
        <v>-1.05052296313687E-2</v>
      </c>
      <c r="F186" s="20">
        <v>-0.91465218344946997</v>
      </c>
      <c r="G186" s="20">
        <v>0.91471251032140699</v>
      </c>
      <c r="H186" s="20">
        <v>3.1503176383942302E-2</v>
      </c>
      <c r="I186" s="20">
        <v>127.26163839817001</v>
      </c>
      <c r="J186" s="20">
        <v>33.290361903911737</v>
      </c>
      <c r="K186" s="20">
        <v>0.42278759617967904</v>
      </c>
      <c r="L186" s="20">
        <f t="shared" si="10"/>
        <v>33.290294903692853</v>
      </c>
      <c r="M186" s="20">
        <f t="shared" si="11"/>
        <v>-0.42278674527859039</v>
      </c>
    </row>
    <row r="187" spans="1:13" x14ac:dyDescent="0.2">
      <c r="A187" s="23">
        <v>40</v>
      </c>
      <c r="B187" s="20">
        <v>33.677191074148901</v>
      </c>
      <c r="C187" s="20">
        <v>-5.7868151535300602E-2</v>
      </c>
      <c r="D187" s="20">
        <v>359.198813660219</v>
      </c>
      <c r="E187" s="20">
        <v>-1.06116184369952E-2</v>
      </c>
      <c r="F187" s="20">
        <v>-0.919313447423037</v>
      </c>
      <c r="G187" s="20">
        <v>0.91937469024260199</v>
      </c>
      <c r="H187" s="20">
        <v>3.1452129565478798E-2</v>
      </c>
      <c r="I187" s="20">
        <v>127.19006482802899</v>
      </c>
      <c r="J187" s="20">
        <v>33.677308571067506</v>
      </c>
      <c r="K187" s="20">
        <v>0.42770181885255731</v>
      </c>
      <c r="L187" s="20">
        <f t="shared" si="10"/>
        <v>33.677240792079395</v>
      </c>
      <c r="M187" s="20">
        <f t="shared" si="11"/>
        <v>-0.42770095806111913</v>
      </c>
    </row>
    <row r="188" spans="1:13" x14ac:dyDescent="0.2">
      <c r="A188" s="23">
        <v>40.25</v>
      </c>
      <c r="B188" s="20">
        <v>34.066104642408902</v>
      </c>
      <c r="C188" s="20">
        <v>-5.6930077334152999E-2</v>
      </c>
      <c r="D188" s="20">
        <v>359.189996014614</v>
      </c>
      <c r="E188" s="20">
        <v>-1.07186140764736E-2</v>
      </c>
      <c r="F188" s="20">
        <v>-0.92396715640994498</v>
      </c>
      <c r="G188" s="20">
        <v>0.92402932573160301</v>
      </c>
      <c r="H188" s="20">
        <v>3.1401373782605602E-2</v>
      </c>
      <c r="I188" s="20">
        <v>127.12026961781601</v>
      </c>
      <c r="J188" s="20">
        <v>34.06622077386163</v>
      </c>
      <c r="K188" s="20">
        <v>0.43264100382804277</v>
      </c>
      <c r="L188" s="20">
        <f t="shared" si="10"/>
        <v>34.066152212148332</v>
      </c>
      <c r="M188" s="20">
        <f t="shared" si="11"/>
        <v>-0.43264013309601435</v>
      </c>
    </row>
    <row r="189" spans="1:13" x14ac:dyDescent="0.2">
      <c r="A189" s="23">
        <v>40.5</v>
      </c>
      <c r="B189" s="20">
        <v>34.456980563189497</v>
      </c>
      <c r="C189" s="20">
        <v>-5.5949684113299397E-2</v>
      </c>
      <c r="D189" s="20">
        <v>359.18113946155898</v>
      </c>
      <c r="E189" s="20">
        <v>-1.082621740658E-2</v>
      </c>
      <c r="F189" s="20">
        <v>-0.928613352938228</v>
      </c>
      <c r="G189" s="20">
        <v>0.92867645939719601</v>
      </c>
      <c r="H189" s="20">
        <v>3.1350903100605003E-2</v>
      </c>
      <c r="I189" s="20">
        <v>127.052244001454</v>
      </c>
      <c r="J189" s="20">
        <v>34.457095335828697</v>
      </c>
      <c r="K189" s="20">
        <v>0.43760511076502451</v>
      </c>
      <c r="L189" s="20">
        <f t="shared" si="10"/>
        <v>34.457025987440808</v>
      </c>
      <c r="M189" s="20">
        <f t="shared" si="11"/>
        <v>-0.43760423004224863</v>
      </c>
    </row>
    <row r="190" spans="1:13" x14ac:dyDescent="0.2">
      <c r="A190" s="23">
        <v>40.75</v>
      </c>
      <c r="B190" s="20">
        <v>34.849815674842503</v>
      </c>
      <c r="C190" s="20">
        <v>-5.4926402832643502E-2</v>
      </c>
      <c r="D190" s="20">
        <v>359.17224406905598</v>
      </c>
      <c r="E190" s="20">
        <v>-1.0934429269655E-2</v>
      </c>
      <c r="F190" s="20">
        <v>-0.93325207865804805</v>
      </c>
      <c r="G190" s="20">
        <v>0.93331613297050697</v>
      </c>
      <c r="H190" s="20">
        <v>3.13007116136962E-2</v>
      </c>
      <c r="I190" s="20">
        <v>126.985979282323</v>
      </c>
      <c r="J190" s="20">
        <v>34.849929098264276</v>
      </c>
      <c r="K190" s="20">
        <v>0.44259409954795631</v>
      </c>
      <c r="L190" s="20">
        <f t="shared" si="10"/>
        <v>34.849858959258732</v>
      </c>
      <c r="M190" s="20">
        <f t="shared" si="11"/>
        <v>-0.44259320878435626</v>
      </c>
    </row>
    <row r="191" spans="1:13" x14ac:dyDescent="0.2">
      <c r="A191" s="23">
        <v>41</v>
      </c>
      <c r="B191" s="20">
        <v>35.244606833026097</v>
      </c>
      <c r="C191" s="20">
        <v>-5.3859662494877197E-2</v>
      </c>
      <c r="D191" s="20">
        <v>359.16330990343101</v>
      </c>
      <c r="E191" s="20">
        <v>-1.10432504942738E-2</v>
      </c>
      <c r="F191" s="20">
        <v>-0.93788337434645497</v>
      </c>
      <c r="G191" s="20">
        <v>0.93794838730975605</v>
      </c>
      <c r="H191" s="20">
        <v>3.1250793442658999E-2</v>
      </c>
      <c r="I191" s="20">
        <v>126.921466827483</v>
      </c>
      <c r="J191" s="20">
        <v>35.244718919854783</v>
      </c>
      <c r="K191" s="20">
        <v>0.44760793028215579</v>
      </c>
      <c r="L191" s="20">
        <f t="shared" si="10"/>
        <v>35.244647986294794</v>
      </c>
      <c r="M191" s="20">
        <f t="shared" si="11"/>
        <v>-0.44760702942773434</v>
      </c>
    </row>
    <row r="192" spans="1:13" x14ac:dyDescent="0.2">
      <c r="A192" s="23">
        <v>41.25</v>
      </c>
      <c r="B192" s="20">
        <v>35.641350910336598</v>
      </c>
      <c r="C192" s="20">
        <v>-5.2748890144870303E-2</v>
      </c>
      <c r="D192" s="20">
        <v>359.15433702933899</v>
      </c>
      <c r="E192" s="20">
        <v>-1.11526818960334E-2</v>
      </c>
      <c r="F192" s="20">
        <v>-0.94250727991112304</v>
      </c>
      <c r="G192" s="20">
        <v>0.94257326240400996</v>
      </c>
      <c r="H192" s="20">
        <v>3.1201142732402602E-2</v>
      </c>
      <c r="I192" s="20">
        <v>126.85869806041499</v>
      </c>
      <c r="J192" s="20">
        <v>35.641461676309923</v>
      </c>
      <c r="K192" s="20">
        <v>0.45264656328913605</v>
      </c>
      <c r="L192" s="20">
        <f t="shared" si="10"/>
        <v>35.641389944265121</v>
      </c>
      <c r="M192" s="20">
        <f t="shared" si="11"/>
        <v>-0.45264565229397763</v>
      </c>
    </row>
    <row r="193" spans="1:13" x14ac:dyDescent="0.2">
      <c r="A193" s="23">
        <v>41.5</v>
      </c>
      <c r="B193" s="20">
        <v>36.040044795940503</v>
      </c>
      <c r="C193" s="20">
        <v>-5.1593510869313998E-2</v>
      </c>
      <c r="D193" s="20">
        <v>359.14532550977702</v>
      </c>
      <c r="E193" s="20">
        <v>-1.1262724278492E-2</v>
      </c>
      <c r="F193" s="20">
        <v>-0.94712383439372205</v>
      </c>
      <c r="G193" s="20">
        <v>0.94719079737655798</v>
      </c>
      <c r="H193" s="20">
        <v>3.1151753649115901E-2</v>
      </c>
      <c r="I193" s="20">
        <v>126.797664452126</v>
      </c>
      <c r="J193" s="20">
        <v>36.040154259996264</v>
      </c>
      <c r="K193" s="20">
        <v>0.45770995910195261</v>
      </c>
      <c r="L193" s="20">
        <f t="shared" si="10"/>
        <v>36.040081725542215</v>
      </c>
      <c r="M193" s="20">
        <f t="shared" si="11"/>
        <v>-0.45770903791621703</v>
      </c>
    </row>
    <row r="194" spans="1:13" x14ac:dyDescent="0.2">
      <c r="A194" s="23">
        <v>41.75</v>
      </c>
      <c r="B194" s="20">
        <v>36.4406853952094</v>
      </c>
      <c r="C194" s="20">
        <v>-5.0392947796701698E-2</v>
      </c>
      <c r="D194" s="20">
        <v>359.13627540609002</v>
      </c>
      <c r="E194" s="20">
        <v>-1.13733784343093E-2</v>
      </c>
      <c r="F194" s="20">
        <v>-0.95173307597282597</v>
      </c>
      <c r="G194" s="20">
        <v>0.95180103048783704</v>
      </c>
      <c r="H194" s="20">
        <v>3.1102620376837298E-2</v>
      </c>
      <c r="I194" s="20">
        <v>126.738357509975</v>
      </c>
      <c r="J194" s="20">
        <v>36.440793579571825</v>
      </c>
      <c r="K194" s="20">
        <v>0.4627980784605622</v>
      </c>
      <c r="L194" s="20">
        <f t="shared" si="10"/>
        <v>36.440720238790774</v>
      </c>
      <c r="M194" s="20">
        <f t="shared" si="11"/>
        <v>-0.46279714703449409</v>
      </c>
    </row>
    <row r="195" spans="1:13" x14ac:dyDescent="0.2">
      <c r="A195" s="23">
        <v>42</v>
      </c>
      <c r="B195" s="20">
        <v>36.843269629354303</v>
      </c>
      <c r="C195" s="20">
        <v>-4.9146622097752703E-2</v>
      </c>
      <c r="D195" s="20">
        <v>359.12718677798398</v>
      </c>
      <c r="E195" s="20">
        <v>-1.14846451466578E-2</v>
      </c>
      <c r="F195" s="20">
        <v>-0.95633504196627395</v>
      </c>
      <c r="G195" s="20">
        <v>0.95640399913780105</v>
      </c>
      <c r="H195" s="20">
        <v>3.1053737113201099E-2</v>
      </c>
      <c r="I195" s="20">
        <v>126.680768763263</v>
      </c>
      <c r="J195" s="20">
        <v>36.843376559622989</v>
      </c>
      <c r="K195" s="20">
        <v>0.46791088230721195</v>
      </c>
      <c r="L195" s="20">
        <f t="shared" si="10"/>
        <v>36.843302408602902</v>
      </c>
      <c r="M195" s="20">
        <f t="shared" si="11"/>
        <v>-0.46790994059112856</v>
      </c>
    </row>
    <row r="196" spans="1:13" x14ac:dyDescent="0.2">
      <c r="A196" s="23">
        <v>42.25</v>
      </c>
      <c r="B196" s="20">
        <v>37.247794435062502</v>
      </c>
      <c r="C196" s="20">
        <v>-4.7853952986424898E-2</v>
      </c>
      <c r="D196" s="20">
        <v>359.11805968353201</v>
      </c>
      <c r="E196" s="20">
        <v>-1.1596525190999201E-2</v>
      </c>
      <c r="F196" s="20">
        <v>-0.960929768832812</v>
      </c>
      <c r="G196" s="20">
        <v>0.96099973986759601</v>
      </c>
      <c r="H196" s="20">
        <v>3.1005098063995901E-2</v>
      </c>
      <c r="I196" s="20">
        <v>126.62488974423501</v>
      </c>
      <c r="J196" s="20">
        <v>37.247900140300537</v>
      </c>
      <c r="K196" s="20">
        <v>0.47304833178181682</v>
      </c>
      <c r="L196" s="20">
        <f t="shared" si="10"/>
        <v>37.247825175135922</v>
      </c>
      <c r="M196" s="20">
        <f t="shared" si="11"/>
        <v>-0.47304737972611838</v>
      </c>
    </row>
    <row r="197" spans="1:13" x14ac:dyDescent="0.2">
      <c r="A197" s="23">
        <v>42.5</v>
      </c>
      <c r="B197" s="20">
        <v>37.6542567641335</v>
      </c>
      <c r="C197" s="20">
        <v>-4.6514357721706999E-2</v>
      </c>
      <c r="D197" s="20">
        <v>359.10889417918497</v>
      </c>
      <c r="E197" s="20">
        <v>-1.1709019337366599E-2</v>
      </c>
      <c r="F197" s="20">
        <v>-0.96551729217284199</v>
      </c>
      <c r="G197" s="20">
        <v>0.96558828836032395</v>
      </c>
      <c r="H197" s="20">
        <v>3.0956697435983699E-2</v>
      </c>
      <c r="I197" s="20">
        <v>126.570711962359</v>
      </c>
      <c r="J197" s="20">
        <v>37.6543612769579</v>
      </c>
      <c r="K197" s="20">
        <v>0.47821038821736539</v>
      </c>
      <c r="L197" s="20">
        <f t="shared" si="10"/>
        <v>37.65428549374915</v>
      </c>
      <c r="M197" s="20">
        <f t="shared" si="11"/>
        <v>-0.47820942577252706</v>
      </c>
    </row>
    <row r="198" spans="1:13" x14ac:dyDescent="0.2">
      <c r="A198" s="23">
        <v>42.75</v>
      </c>
      <c r="B198" s="20">
        <v>38.062653583116003</v>
      </c>
      <c r="C198" s="20">
        <v>-4.5127251610460398E-2</v>
      </c>
      <c r="D198" s="20">
        <v>359.09969031978102</v>
      </c>
      <c r="E198" s="20">
        <v>-1.1822128353354401E-2</v>
      </c>
      <c r="F198" s="20">
        <v>-0.97009764672795196</v>
      </c>
      <c r="G198" s="20">
        <v>0.97016967944061905</v>
      </c>
      <c r="H198" s="20">
        <v>3.0908529427117699E-2</v>
      </c>
      <c r="I198" s="20">
        <v>126.518226868613</v>
      </c>
      <c r="J198" s="20">
        <v>38.062756939788208</v>
      </c>
      <c r="K198" s="20">
        <v>0.48339701313531031</v>
      </c>
      <c r="L198" s="20">
        <f t="shared" si="10"/>
        <v>38.062680334641854</v>
      </c>
      <c r="M198" s="20">
        <f t="shared" si="11"/>
        <v>-0.48339604025188515</v>
      </c>
    </row>
    <row r="199" spans="1:13" x14ac:dyDescent="0.2">
      <c r="A199" s="23">
        <v>43</v>
      </c>
      <c r="B199" s="20">
        <v>38.472981872943997</v>
      </c>
      <c r="C199" s="20">
        <v>-4.3692048011685303E-2</v>
      </c>
      <c r="D199" s="20">
        <v>359.090448158551</v>
      </c>
      <c r="E199" s="20">
        <v>-1.1935853008122201E-2</v>
      </c>
      <c r="F199" s="20">
        <v>-0.97467086637877298</v>
      </c>
      <c r="G199" s="20">
        <v>0.97474394707255296</v>
      </c>
      <c r="H199" s="20">
        <v>3.08605882127845E-2</v>
      </c>
      <c r="I199" s="20">
        <v>126.46742580454099</v>
      </c>
      <c r="J199" s="20">
        <v>38.473084113461582</v>
      </c>
      <c r="K199" s="20">
        <v>0.48860816824096215</v>
      </c>
      <c r="L199" s="20">
        <f t="shared" si="10"/>
        <v>38.473006682490215</v>
      </c>
      <c r="M199" s="20">
        <f t="shared" si="11"/>
        <v>-0.48860718486958016</v>
      </c>
    </row>
    <row r="200" spans="1:13" x14ac:dyDescent="0.2">
      <c r="A200" s="23">
        <v>43.25</v>
      </c>
      <c r="B200" s="20">
        <v>38.885238628571599</v>
      </c>
      <c r="C200" s="20">
        <v>-4.2208158342754702E-2</v>
      </c>
      <c r="D200" s="20">
        <v>359.08116774713602</v>
      </c>
      <c r="E200" s="20">
        <v>-1.2050194077883001E-2</v>
      </c>
      <c r="F200" s="20">
        <v>-0.979236984140468</v>
      </c>
      <c r="G200" s="20">
        <v>0.97931112435519396</v>
      </c>
      <c r="H200" s="20">
        <v>3.0812867925800499E-2</v>
      </c>
      <c r="I200" s="20">
        <v>126.418299927432</v>
      </c>
      <c r="J200" s="20">
        <v>38.885339796760654</v>
      </c>
      <c r="K200" s="20">
        <v>0.49384381541886035</v>
      </c>
      <c r="L200" s="20">
        <f t="shared" si="10"/>
        <v>38.885261536083149</v>
      </c>
      <c r="M200" s="20">
        <f t="shared" si="11"/>
        <v>-0.49384282151023134</v>
      </c>
    </row>
    <row r="201" spans="1:13" x14ac:dyDescent="0.2">
      <c r="A201" s="23">
        <v>43.5</v>
      </c>
      <c r="B201" s="20">
        <v>39.299420858604798</v>
      </c>
      <c r="C201" s="20">
        <v>-4.0674992088421201E-2</v>
      </c>
      <c r="D201" s="20">
        <v>359.07184913558598</v>
      </c>
      <c r="E201" s="20">
        <v>-1.21651523536181E-2</v>
      </c>
      <c r="F201" s="20">
        <v>-0.98379603215473199</v>
      </c>
      <c r="G201" s="20">
        <v>0.98387124351471</v>
      </c>
      <c r="H201" s="20">
        <v>3.0765362626295398E-2</v>
      </c>
      <c r="I201" s="20">
        <v>126.370840096904</v>
      </c>
      <c r="J201" s="20">
        <v>39.299521002214028</v>
      </c>
      <c r="K201" s="20">
        <v>0.49910391672811821</v>
      </c>
      <c r="L201" s="20">
        <f t="shared" si="10"/>
        <v>39.299441907954922</v>
      </c>
      <c r="M201" s="20">
        <f t="shared" si="11"/>
        <v>-0.49910291223302389</v>
      </c>
    </row>
    <row r="202" spans="1:13" x14ac:dyDescent="0.2">
      <c r="A202" s="23">
        <v>43.75</v>
      </c>
      <c r="B202" s="20">
        <v>39.715525584929999</v>
      </c>
      <c r="C202" s="20">
        <v>-3.9091956813815498E-2</v>
      </c>
      <c r="D202" s="20">
        <v>359.06249237237802</v>
      </c>
      <c r="E202" s="20">
        <v>-1.22807286522362E-2</v>
      </c>
      <c r="F202" s="20">
        <v>-0.98834804167648105</v>
      </c>
      <c r="G202" s="20">
        <v>0.98842433589120304</v>
      </c>
      <c r="H202" s="20">
        <v>3.07180662546221E-2</v>
      </c>
      <c r="I202" s="20">
        <v>126.32503669683599</v>
      </c>
      <c r="J202" s="20">
        <v>39.715624755724562</v>
      </c>
      <c r="K202" s="20">
        <v>0.50438843439770198</v>
      </c>
      <c r="L202" s="20">
        <f t="shared" si="10"/>
        <v>39.71554482401465</v>
      </c>
      <c r="M202" s="20">
        <f t="shared" si="11"/>
        <v>-0.5043874192670037</v>
      </c>
    </row>
    <row r="203" spans="1:13" x14ac:dyDescent="0.2">
      <c r="A203" s="23">
        <v>44</v>
      </c>
      <c r="B203" s="20">
        <v>40.133549842334098</v>
      </c>
      <c r="C203" s="20">
        <v>-3.74584581833639E-2</v>
      </c>
      <c r="D203" s="20">
        <v>359.053097504422</v>
      </c>
      <c r="E203" s="20">
        <v>-1.23969238332411E-2</v>
      </c>
      <c r="F203" s="20">
        <v>-0.99289304305215997</v>
      </c>
      <c r="G203" s="20">
        <v>0.99297043191723799</v>
      </c>
      <c r="H203" s="20">
        <v>3.06709725545561E-2</v>
      </c>
      <c r="I203" s="20">
        <v>126.280879344262</v>
      </c>
      <c r="J203" s="20">
        <v>40.133648096191571</v>
      </c>
      <c r="K203" s="20">
        <v>0.50969733082163293</v>
      </c>
      <c r="L203" s="20">
        <f t="shared" si="10"/>
        <v>40.133567323167334</v>
      </c>
      <c r="M203" s="20">
        <f t="shared" si="11"/>
        <v>-0.50969630500626395</v>
      </c>
    </row>
    <row r="204" spans="1:13" x14ac:dyDescent="0.2">
      <c r="A204" s="23">
        <v>44.25</v>
      </c>
      <c r="B204" s="20">
        <v>40.553490678113803</v>
      </c>
      <c r="C204" s="20">
        <v>-3.57738999887664E-2</v>
      </c>
      <c r="D204" s="20">
        <v>359.04366457707101</v>
      </c>
      <c r="E204" s="20">
        <v>-1.25137388245702E-2</v>
      </c>
      <c r="F204" s="20">
        <v>-0.99743106568421902</v>
      </c>
      <c r="G204" s="20">
        <v>0.99750956108266198</v>
      </c>
      <c r="H204" s="20">
        <v>3.0624074941833401E-2</v>
      </c>
      <c r="I204" s="20">
        <v>126.23835639062</v>
      </c>
      <c r="J204" s="20">
        <v>40.55358807511989</v>
      </c>
      <c r="K204" s="20">
        <v>0.51503056855402263</v>
      </c>
      <c r="L204" s="20">
        <f t="shared" si="10"/>
        <v>40.55350645692409</v>
      </c>
      <c r="M204" s="20">
        <f t="shared" si="11"/>
        <v>-0.51502953200499602</v>
      </c>
    </row>
    <row r="205" spans="1:13" x14ac:dyDescent="0.2">
      <c r="A205" s="23">
        <v>44.5</v>
      </c>
      <c r="B205" s="20">
        <v>40.975345151664399</v>
      </c>
      <c r="C205" s="20">
        <v>-3.4037684191411503E-2</v>
      </c>
      <c r="D205" s="20">
        <v>359.03419363413701</v>
      </c>
      <c r="E205" s="20">
        <v>-1.2631174664441301E-2</v>
      </c>
      <c r="F205" s="20">
        <v>-1.0019621379716199</v>
      </c>
      <c r="G205" s="20">
        <v>1.0020417518756699</v>
      </c>
      <c r="H205" s="20">
        <v>3.0577366265881201E-2</v>
      </c>
      <c r="I205" s="20">
        <v>126.197454017862</v>
      </c>
      <c r="J205" s="20">
        <v>40.975441756210948</v>
      </c>
      <c r="K205" s="20">
        <v>0.5203881103038791</v>
      </c>
      <c r="L205" s="20">
        <f t="shared" si="10"/>
        <v>40.975359288991868</v>
      </c>
      <c r="M205" s="20">
        <f t="shared" si="11"/>
        <v>-0.52038706297227832</v>
      </c>
    </row>
    <row r="206" spans="1:13" x14ac:dyDescent="0.2">
      <c r="A206" s="23">
        <v>44.75</v>
      </c>
      <c r="B206" s="20">
        <v>41.399110334036699</v>
      </c>
      <c r="C206" s="20">
        <v>-3.2249210988932402E-2</v>
      </c>
      <c r="D206" s="20">
        <v>359.02468471789501</v>
      </c>
      <c r="E206" s="20">
        <v>-1.27492325728009E-2</v>
      </c>
      <c r="F206" s="20">
        <v>-1.0064862872063101</v>
      </c>
      <c r="G206" s="20">
        <v>1.00656703168023</v>
      </c>
      <c r="H206" s="20">
        <v>3.05308383468074E-2</v>
      </c>
      <c r="I206" s="20">
        <v>126.15815448341201</v>
      </c>
      <c r="J206" s="20">
        <v>41.399206214919225</v>
      </c>
      <c r="K206" s="20">
        <v>0.52576991892947411</v>
      </c>
      <c r="L206" s="20">
        <f t="shared" si="10"/>
        <v>41.3991228948314</v>
      </c>
      <c r="M206" s="20">
        <f t="shared" si="11"/>
        <v>-0.5257688607664619</v>
      </c>
    </row>
    <row r="207" spans="1:13" x14ac:dyDescent="0.2">
      <c r="A207" s="23">
        <v>45</v>
      </c>
      <c r="B207" s="20">
        <v>41.8247833074319</v>
      </c>
      <c r="C207" s="20">
        <v>-3.04078789246299E-2</v>
      </c>
      <c r="D207" s="20">
        <v>359.01513786911102</v>
      </c>
      <c r="E207" s="20">
        <v>-1.2867914081529999E-2</v>
      </c>
      <c r="F207" s="20">
        <v>-1.01100353938286</v>
      </c>
      <c r="G207" s="20">
        <v>1.0110854265874301</v>
      </c>
      <c r="H207" s="20">
        <v>3.04844809930345E-2</v>
      </c>
      <c r="I207" s="20">
        <v>126.120432401779</v>
      </c>
      <c r="J207" s="20">
        <v>41.824878537949374</v>
      </c>
      <c r="K207" s="20">
        <v>0.53117595743195711</v>
      </c>
      <c r="L207" s="20">
        <f t="shared" si="10"/>
        <v>41.824794361152989</v>
      </c>
      <c r="M207" s="20">
        <f t="shared" si="11"/>
        <v>-0.5311748883887677</v>
      </c>
    </row>
    <row r="208" spans="1:13" x14ac:dyDescent="0.2">
      <c r="A208" s="23">
        <v>45.25</v>
      </c>
      <c r="B208" s="20">
        <v>42.252361164582602</v>
      </c>
      <c r="C208" s="20">
        <v>-2.8513085079067101E-2</v>
      </c>
      <c r="D208" s="20">
        <v>359.00555312705501</v>
      </c>
      <c r="E208" s="20">
        <v>-1.29872212922787E-2</v>
      </c>
      <c r="F208" s="20">
        <v>-1.01551391882054</v>
      </c>
      <c r="G208" s="20">
        <v>1.01559696102102</v>
      </c>
      <c r="H208" s="20">
        <v>3.0438279661982301E-2</v>
      </c>
      <c r="I208" s="20">
        <v>126.084245907018</v>
      </c>
      <c r="J208" s="20">
        <v>42.252455822637494</v>
      </c>
      <c r="K208" s="20">
        <v>0.53660618894749612</v>
      </c>
      <c r="L208" s="20">
        <f t="shared" si="10"/>
        <v>42.252370785298531</v>
      </c>
      <c r="M208" s="20">
        <f t="shared" si="11"/>
        <v>-0.53660510897543778</v>
      </c>
    </row>
    <row r="209" spans="1:13" x14ac:dyDescent="0.2">
      <c r="A209" s="23">
        <v>45.5</v>
      </c>
      <c r="B209" s="20">
        <v>42.681841007887698</v>
      </c>
      <c r="C209" s="20">
        <v>-2.6564225435971499E-2</v>
      </c>
      <c r="D209" s="20">
        <v>358.995930529551</v>
      </c>
      <c r="E209" s="20">
        <v>-1.31071574463384E-2</v>
      </c>
      <c r="F209" s="20">
        <v>-1.0200174473296899</v>
      </c>
      <c r="G209" s="20">
        <v>1.0201016569113599</v>
      </c>
      <c r="H209" s="20">
        <v>3.03922141203622E-2</v>
      </c>
      <c r="I209" s="20">
        <v>126.049531412112</v>
      </c>
      <c r="J209" s="20">
        <v>42.681935176087016</v>
      </c>
      <c r="K209" s="20">
        <v>0.54206057673630514</v>
      </c>
      <c r="L209" s="20">
        <f t="shared" si="10"/>
        <v>42.681849274377477</v>
      </c>
      <c r="M209" s="20">
        <f t="shared" si="11"/>
        <v>-0.54205948578676222</v>
      </c>
    </row>
    <row r="210" spans="1:13" x14ac:dyDescent="0.2">
      <c r="A210" s="23">
        <v>45.75</v>
      </c>
      <c r="B210" s="20">
        <v>43.113219948169402</v>
      </c>
      <c r="C210" s="20">
        <v>-2.45606954056924E-2</v>
      </c>
      <c r="D210" s="20">
        <v>358.98627011298299</v>
      </c>
      <c r="E210" s="20">
        <v>-1.32277269830914E-2</v>
      </c>
      <c r="F210" s="20">
        <v>-1.0245141432668301</v>
      </c>
      <c r="G210" s="20">
        <v>1.0245995327516599</v>
      </c>
      <c r="H210" s="20">
        <v>3.0346286834746699E-2</v>
      </c>
      <c r="I210" s="20">
        <v>126.016309788908</v>
      </c>
      <c r="J210" s="20">
        <v>43.113313713927234</v>
      </c>
      <c r="K210" s="20">
        <v>0.54753908416687591</v>
      </c>
      <c r="L210" s="20">
        <f t="shared" si="10"/>
        <v>43.113226944024852</v>
      </c>
      <c r="M210" s="20">
        <f t="shared" si="11"/>
        <v>-0.54753798219130578</v>
      </c>
    </row>
    <row r="211" spans="1:13" x14ac:dyDescent="0.2">
      <c r="A211" s="23">
        <v>46</v>
      </c>
      <c r="B211" s="20">
        <v>43.546495104247199</v>
      </c>
      <c r="C211" s="20">
        <v>-2.2501888435579501E-2</v>
      </c>
      <c r="D211" s="20">
        <v>358.97657191165598</v>
      </c>
      <c r="E211" s="20">
        <v>-1.33489253724259E-2</v>
      </c>
      <c r="F211" s="20">
        <v>-1.0290040272741201</v>
      </c>
      <c r="G211" s="20">
        <v>1.0290906092055101</v>
      </c>
      <c r="H211" s="20">
        <v>3.0300518202397299E-2</v>
      </c>
      <c r="I211" s="20">
        <v>125.984673173424</v>
      </c>
      <c r="J211" s="20">
        <v>43.546588559886985</v>
      </c>
      <c r="K211" s="20">
        <v>0.55304167471056476</v>
      </c>
      <c r="L211" s="20">
        <f t="shared" si="10"/>
        <v>43.546500917975123</v>
      </c>
      <c r="M211" s="20">
        <f t="shared" si="11"/>
        <v>-0.55304056166049631</v>
      </c>
    </row>
    <row r="212" spans="1:13" x14ac:dyDescent="0.2">
      <c r="A212" s="23">
        <v>46.25</v>
      </c>
      <c r="B212" s="20">
        <v>43.981663604358502</v>
      </c>
      <c r="C212" s="20">
        <v>-2.0387190813862598E-2</v>
      </c>
      <c r="D212" s="20">
        <v>358.96683595570897</v>
      </c>
      <c r="E212" s="20">
        <v>-1.3470732594706899E-2</v>
      </c>
      <c r="F212" s="20">
        <v>-1.03348712476662</v>
      </c>
      <c r="G212" s="20">
        <v>1.0335749115061801</v>
      </c>
      <c r="H212" s="20">
        <v>3.0254863234661901E-2</v>
      </c>
      <c r="I212" s="20">
        <v>125.954464504508</v>
      </c>
      <c r="J212" s="20">
        <v>43.981756847213411</v>
      </c>
      <c r="K212" s="20">
        <v>0.55856831195961032</v>
      </c>
      <c r="L212" s="20">
        <f t="shared" si="10"/>
        <v>43.981668329481344</v>
      </c>
      <c r="M212" s="20">
        <f t="shared" si="11"/>
        <v>-0.55856718778664738</v>
      </c>
    </row>
    <row r="213" spans="1:13" x14ac:dyDescent="0.2">
      <c r="A213" s="23">
        <v>46.5</v>
      </c>
      <c r="B213" s="20">
        <v>44.418722585023097</v>
      </c>
      <c r="C213" s="20">
        <v>-1.8215987786069501E-2</v>
      </c>
      <c r="D213" s="20">
        <v>358.95706227207597</v>
      </c>
      <c r="E213" s="20">
        <v>-1.3593181435471301E-2</v>
      </c>
      <c r="F213" s="20">
        <v>-1.03796344822085</v>
      </c>
      <c r="G213" s="20">
        <v>1.03805245263621</v>
      </c>
      <c r="H213" s="20">
        <v>3.0209098836221301E-2</v>
      </c>
      <c r="I213" s="20">
        <v>125.92486426356901</v>
      </c>
      <c r="J213" s="20">
        <v>44.418815717541776</v>
      </c>
      <c r="K213" s="20">
        <v>0.56411895961278058</v>
      </c>
      <c r="L213" s="20">
        <f t="shared" si="10"/>
        <v>44.418726320184504</v>
      </c>
      <c r="M213" s="20">
        <f t="shared" si="11"/>
        <v>-0.56411782426859969</v>
      </c>
    </row>
    <row r="214" spans="1:13" x14ac:dyDescent="0.2">
      <c r="A214" s="23">
        <v>46.75</v>
      </c>
      <c r="B214" s="20">
        <v>44.857669179276499</v>
      </c>
      <c r="C214" s="20">
        <v>-1.5987682130015099E-2</v>
      </c>
      <c r="D214" s="20">
        <v>358.94725088748601</v>
      </c>
      <c r="E214" s="20">
        <v>-1.3716331226534401E-2</v>
      </c>
      <c r="F214" s="20">
        <v>-1.04243296311005</v>
      </c>
      <c r="G214" s="20">
        <v>1.0425231989364701</v>
      </c>
      <c r="H214" s="20">
        <v>3.01626844797853E-2</v>
      </c>
      <c r="I214" s="20">
        <v>125.893896524409</v>
      </c>
      <c r="J214" s="20">
        <v>44.857762309135815</v>
      </c>
      <c r="K214" s="20">
        <v>0.56969358132602488</v>
      </c>
      <c r="L214" s="20">
        <f t="shared" si="10"/>
        <v>44.857672028354223</v>
      </c>
      <c r="M214" s="20">
        <f t="shared" si="11"/>
        <v>-0.56969243476237741</v>
      </c>
    </row>
    <row r="215" spans="1:13" x14ac:dyDescent="0.2">
      <c r="A215" s="23">
        <v>47</v>
      </c>
      <c r="B215" s="20">
        <v>45.2985004858309</v>
      </c>
      <c r="C215" s="20">
        <v>-1.37016896258949E-2</v>
      </c>
      <c r="D215" s="20">
        <v>358.937401828281</v>
      </c>
      <c r="E215" s="20">
        <v>-1.38401812431878E-2</v>
      </c>
      <c r="F215" s="20">
        <v>-1.0468955329173499</v>
      </c>
      <c r="G215" s="20">
        <v>1.0469870139878299</v>
      </c>
      <c r="H215" s="20">
        <v>3.0115630809512101E-2</v>
      </c>
      <c r="I215" s="20">
        <v>125.861574520459</v>
      </c>
      <c r="J215" s="20">
        <v>45.298593726043499</v>
      </c>
      <c r="K215" s="20">
        <v>0.57529214032075249</v>
      </c>
      <c r="L215" s="20">
        <f t="shared" si="10"/>
        <v>45.298502558044021</v>
      </c>
      <c r="M215" s="20">
        <f t="shared" si="11"/>
        <v>-0.57529098248946031</v>
      </c>
    </row>
    <row r="216" spans="1:13" x14ac:dyDescent="0.2">
      <c r="A216" s="23">
        <v>47.25</v>
      </c>
      <c r="B216" s="20">
        <v>45.741213551788903</v>
      </c>
      <c r="C216" s="20">
        <v>-1.1357423170276401E-2</v>
      </c>
      <c r="D216" s="20">
        <v>358.92751512215102</v>
      </c>
      <c r="E216" s="20">
        <v>-1.39647265815758E-2</v>
      </c>
      <c r="F216" s="20">
        <v>-1.0513510636552399</v>
      </c>
      <c r="G216" s="20">
        <v>1.0514438038418901</v>
      </c>
      <c r="H216" s="20">
        <v>3.00679031473465E-2</v>
      </c>
      <c r="I216" s="20">
        <v>125.827824860343</v>
      </c>
      <c r="J216" s="20">
        <v>45.741307020802708</v>
      </c>
      <c r="K216" s="20">
        <v>0.58091459916419441</v>
      </c>
      <c r="L216" s="20">
        <f t="shared" si="10"/>
        <v>45.74121496179805</v>
      </c>
      <c r="M216" s="20">
        <f t="shared" si="11"/>
        <v>-0.580913430017159</v>
      </c>
    </row>
    <row r="217" spans="1:13" x14ac:dyDescent="0.2">
      <c r="A217" s="23">
        <v>47.5</v>
      </c>
      <c r="B217" s="20">
        <v>46.185805382922403</v>
      </c>
      <c r="C217" s="20">
        <v>-8.9542906361392699E-3</v>
      </c>
      <c r="D217" s="20">
        <v>358.91759079912703</v>
      </c>
      <c r="E217" s="20">
        <v>-1.40899546460817E-2</v>
      </c>
      <c r="F217" s="20">
        <v>-1.0557994530572901</v>
      </c>
      <c r="G217" s="20">
        <v>1.05589346616882</v>
      </c>
      <c r="H217" s="20">
        <v>3.0019513662927301E-2</v>
      </c>
      <c r="I217" s="20">
        <v>125.792743708438</v>
      </c>
      <c r="J217" s="20">
        <v>46.185899204722091</v>
      </c>
      <c r="K217" s="20">
        <v>0.5865609198999705</v>
      </c>
      <c r="L217" s="20">
        <f t="shared" si="10"/>
        <v>46.185806250930654</v>
      </c>
      <c r="M217" s="20">
        <f t="shared" si="11"/>
        <v>-0.5865597393891655</v>
      </c>
    </row>
    <row r="218" spans="1:13" x14ac:dyDescent="0.2">
      <c r="A218" s="23">
        <v>47.75</v>
      </c>
      <c r="B218" s="20">
        <v>46.632272942491298</v>
      </c>
      <c r="C218" s="20">
        <v>-6.4916971441752597E-3</v>
      </c>
      <c r="D218" s="20">
        <v>358.90762889034499</v>
      </c>
      <c r="E218" s="20">
        <v>-1.42158736718382E-2</v>
      </c>
      <c r="F218" s="20">
        <v>-1.06024060354871</v>
      </c>
      <c r="G218" s="20">
        <v>1.0603359036067801</v>
      </c>
      <c r="H218" s="20">
        <v>2.99704385566225E-2</v>
      </c>
      <c r="I218" s="20">
        <v>125.7563368794</v>
      </c>
      <c r="J218" s="20">
        <v>46.632367246700596</v>
      </c>
      <c r="K218" s="20">
        <v>0.59223106403309755</v>
      </c>
      <c r="L218" s="20">
        <f t="shared" si="10"/>
        <v>46.632273394347159</v>
      </c>
      <c r="M218" s="20">
        <f t="shared" si="11"/>
        <v>-0.59222987211057787</v>
      </c>
    </row>
    <row r="219" spans="1:13" x14ac:dyDescent="0.2">
      <c r="A219" s="23">
        <v>48</v>
      </c>
      <c r="B219" s="20">
        <v>47.0806131514356</v>
      </c>
      <c r="C219" s="20">
        <v>-3.9690498595859498E-3</v>
      </c>
      <c r="D219" s="20">
        <v>358.89762942655602</v>
      </c>
      <c r="E219" s="20">
        <v>-1.43424886372873E-2</v>
      </c>
      <c r="F219" s="20">
        <v>-1.0646744114472</v>
      </c>
      <c r="G219" s="20">
        <v>1.0647710126458001</v>
      </c>
      <c r="H219" s="20">
        <v>2.99206562828521E-2</v>
      </c>
      <c r="I219" s="20">
        <v>125.718571253959</v>
      </c>
      <c r="J219" s="20">
        <v>47.080708073422265</v>
      </c>
      <c r="K219" s="20">
        <v>0.59792499253246278</v>
      </c>
      <c r="L219" s="20">
        <f t="shared" si="10"/>
        <v>47.080613318737548</v>
      </c>
      <c r="M219" s="20">
        <f t="shared" si="11"/>
        <v>-0.5979237891503586</v>
      </c>
    </row>
    <row r="220" spans="1:13" x14ac:dyDescent="0.2">
      <c r="A220" s="23">
        <v>48.25</v>
      </c>
      <c r="B220" s="20">
        <v>47.530822886244103</v>
      </c>
      <c r="C220" s="20">
        <v>-1.3857566488129701E-3</v>
      </c>
      <c r="D220" s="20">
        <v>358.88759243841298</v>
      </c>
      <c r="E220" s="20">
        <v>-1.44698021507435E-2</v>
      </c>
      <c r="F220" s="20">
        <v>-1.06910077010681</v>
      </c>
      <c r="G220" s="20">
        <v>1.0691986867824199</v>
      </c>
      <c r="H220" s="20">
        <v>2.9870164746467601E-2</v>
      </c>
      <c r="I220" s="20">
        <v>125.679432113603</v>
      </c>
      <c r="J220" s="20">
        <v>47.530918567223722</v>
      </c>
      <c r="K220" s="20">
        <v>0.60364266580374126</v>
      </c>
      <c r="L220" s="20">
        <f t="shared" ref="L220:L283" si="12">SQRT(B220^2+C220^2)</f>
        <v>47.530822906444904</v>
      </c>
      <c r="M220" s="20">
        <f t="shared" ref="M220:M283" si="13">-L220/A$25*100</f>
        <v>-0.60364145091426491</v>
      </c>
    </row>
    <row r="221" spans="1:13" x14ac:dyDescent="0.2">
      <c r="A221" s="23">
        <v>48.5</v>
      </c>
      <c r="B221" s="20">
        <v>47.9828989784695</v>
      </c>
      <c r="C221" s="20">
        <v>1.25877453745878E-3</v>
      </c>
      <c r="D221" s="20">
        <v>358.87751795663598</v>
      </c>
      <c r="E221" s="20">
        <v>-1.45978165108875E-2</v>
      </c>
      <c r="F221" s="20">
        <v>-1.07351957401682</v>
      </c>
      <c r="G221" s="20">
        <v>1.07361882064546</v>
      </c>
      <c r="H221" s="20">
        <v>2.9818964605374702E-2</v>
      </c>
      <c r="I221" s="20">
        <v>125.638915098844</v>
      </c>
      <c r="J221" s="20">
        <v>47.982995565610246</v>
      </c>
      <c r="K221" s="20">
        <v>0.60938404368325017</v>
      </c>
      <c r="L221" s="20">
        <f t="shared" si="12"/>
        <v>47.982898994980729</v>
      </c>
      <c r="M221" s="20">
        <f t="shared" si="13"/>
        <v>-0.60938281723869281</v>
      </c>
    </row>
    <row r="222" spans="1:13" x14ac:dyDescent="0.2">
      <c r="A222" s="23">
        <v>48.75</v>
      </c>
      <c r="B222" s="20">
        <v>48.4368382151169</v>
      </c>
      <c r="C222" s="20">
        <v>3.9651357219239796E-3</v>
      </c>
      <c r="D222" s="20">
        <v>358.867406012027</v>
      </c>
      <c r="E222" s="20">
        <v>-1.47265338124207E-2</v>
      </c>
      <c r="F222" s="20">
        <v>-1.07793071796971</v>
      </c>
      <c r="G222" s="20">
        <v>1.0780313091653799</v>
      </c>
      <c r="H222" s="20">
        <v>2.9767057857523201E-2</v>
      </c>
      <c r="I222" s="20">
        <v>125.597021064468</v>
      </c>
      <c r="J222" s="20">
        <v>48.436935861644066</v>
      </c>
      <c r="K222" s="20">
        <v>0.61514908544287972</v>
      </c>
      <c r="L222" s="20">
        <f t="shared" si="12"/>
        <v>48.436838377413835</v>
      </c>
      <c r="M222" s="20">
        <f t="shared" si="13"/>
        <v>-0.61514784739561634</v>
      </c>
    </row>
    <row r="223" spans="1:13" x14ac:dyDescent="0.2">
      <c r="A223" s="23">
        <v>49</v>
      </c>
      <c r="B223" s="20">
        <v>48.8926373387974</v>
      </c>
      <c r="C223" s="20">
        <v>6.7339189238629403E-3</v>
      </c>
      <c r="D223" s="20">
        <v>358.85725663547498</v>
      </c>
      <c r="E223" s="20">
        <v>-1.48559560081323E-2</v>
      </c>
      <c r="F223" s="20">
        <v>-1.0823340971532101</v>
      </c>
      <c r="G223" s="20">
        <v>1.0824360476671899</v>
      </c>
      <c r="H223" s="20">
        <v>2.97144472706889E-2</v>
      </c>
      <c r="I223" s="20">
        <v>125.553753766466</v>
      </c>
      <c r="J223" s="20">
        <v>48.892736204098853</v>
      </c>
      <c r="K223" s="20">
        <v>0.62093774979205552</v>
      </c>
      <c r="L223" s="20">
        <f t="shared" si="12"/>
        <v>48.89263780252432</v>
      </c>
      <c r="M223" s="20">
        <f t="shared" si="13"/>
        <v>-0.62093650009454271</v>
      </c>
    </row>
    <row r="224" spans="1:13" x14ac:dyDescent="0.2">
      <c r="A224" s="23">
        <v>49.25</v>
      </c>
      <c r="B224" s="20">
        <v>49.350293047911698</v>
      </c>
      <c r="C224" s="20">
        <v>9.5657161636638205E-3</v>
      </c>
      <c r="D224" s="20">
        <v>358.84706985795901</v>
      </c>
      <c r="E224" s="20">
        <v>-1.49860849486991E-2</v>
      </c>
      <c r="F224" s="20">
        <v>-1.0867296072210799</v>
      </c>
      <c r="G224" s="20">
        <v>1.0868329319416901</v>
      </c>
      <c r="H224" s="20">
        <v>2.9661136088608198E-2</v>
      </c>
      <c r="I224" s="20">
        <v>125.509118701872</v>
      </c>
      <c r="J224" s="20">
        <v>49.350393297643215</v>
      </c>
      <c r="K224" s="20">
        <v>0.62674999488006888</v>
      </c>
      <c r="L224" s="20">
        <f t="shared" si="12"/>
        <v>49.350293974987501</v>
      </c>
      <c r="M224" s="20">
        <f t="shared" si="13"/>
        <v>-0.62674873348484827</v>
      </c>
    </row>
    <row r="225" spans="1:13" x14ac:dyDescent="0.2">
      <c r="A225" s="23">
        <v>49.5</v>
      </c>
      <c r="B225" s="20">
        <v>49.809801996857999</v>
      </c>
      <c r="C225" s="20">
        <v>1.24611194548807E-2</v>
      </c>
      <c r="D225" s="20">
        <v>358.83684571054999</v>
      </c>
      <c r="E225" s="20">
        <v>-1.51169224081975E-2</v>
      </c>
      <c r="F225" s="20">
        <v>-1.0911171443410601</v>
      </c>
      <c r="G225" s="20">
        <v>1.0912218582937601</v>
      </c>
      <c r="H225" s="20">
        <v>2.9607127871833099E-2</v>
      </c>
      <c r="I225" s="20">
        <v>125.463122483695</v>
      </c>
      <c r="J225" s="20">
        <v>49.80990380304933</v>
      </c>
      <c r="K225" s="20">
        <v>0.63258577829872653</v>
      </c>
      <c r="L225" s="20">
        <f t="shared" si="12"/>
        <v>49.809803555582278</v>
      </c>
      <c r="M225" s="20">
        <f t="shared" si="13"/>
        <v>-0.63258450515842524</v>
      </c>
    </row>
    <row r="226" spans="1:13" x14ac:dyDescent="0.2">
      <c r="A226" s="23">
        <v>49.75</v>
      </c>
      <c r="B226" s="20">
        <v>50.271160796256503</v>
      </c>
      <c r="C226" s="20">
        <v>1.5420720788057901E-2</v>
      </c>
      <c r="D226" s="20">
        <v>358.82658422441</v>
      </c>
      <c r="E226" s="20">
        <v>-1.5248470100863601E-2</v>
      </c>
      <c r="F226" s="20">
        <v>-1.09549660522958</v>
      </c>
      <c r="G226" s="20">
        <v>1.0956027235772801</v>
      </c>
      <c r="H226" s="20">
        <v>2.9552426406080998E-2</v>
      </c>
      <c r="I226" s="20">
        <v>125.415772483201</v>
      </c>
      <c r="J226" s="20">
        <v>50.271264337417705</v>
      </c>
      <c r="K226" s="20">
        <v>0.63844505708520483</v>
      </c>
      <c r="L226" s="20">
        <f t="shared" si="12"/>
        <v>50.271163161415977</v>
      </c>
      <c r="M226" s="20">
        <f t="shared" si="13"/>
        <v>-0.63844377215253667</v>
      </c>
    </row>
    <row r="227" spans="1:13" x14ac:dyDescent="0.2">
      <c r="A227" s="23">
        <v>50</v>
      </c>
      <c r="B227" s="20">
        <v>50.734366013186403</v>
      </c>
      <c r="C227" s="20">
        <v>1.8445112109029899E-2</v>
      </c>
      <c r="D227" s="20">
        <v>358.81628543079898</v>
      </c>
      <c r="E227" s="20">
        <v>-1.53807296923862E-2</v>
      </c>
      <c r="F227" s="20">
        <v>-1.0998678871779399</v>
      </c>
      <c r="G227" s="20">
        <v>1.09997542522147</v>
      </c>
      <c r="H227" s="20">
        <v>2.94970356467338E-2</v>
      </c>
      <c r="I227" s="20">
        <v>125.36707661468</v>
      </c>
      <c r="J227" s="20">
        <v>50.734471474414633</v>
      </c>
      <c r="K227" s="20">
        <v>0.64432778772506594</v>
      </c>
      <c r="L227" s="20">
        <f t="shared" si="12"/>
        <v>50.734369366161673</v>
      </c>
      <c r="M227" s="20">
        <f t="shared" si="13"/>
        <v>-0.64432649095283057</v>
      </c>
    </row>
    <row r="228" spans="1:13" x14ac:dyDescent="0.2">
      <c r="A228" s="23">
        <v>50.25</v>
      </c>
      <c r="B228" s="20">
        <v>51.199414171433403</v>
      </c>
      <c r="C228" s="20">
        <v>2.1534885293445299E-2</v>
      </c>
      <c r="D228" s="20">
        <v>358.805949361069</v>
      </c>
      <c r="E228" s="20">
        <v>-1.55137028077017E-2</v>
      </c>
      <c r="F228" s="20">
        <v>-1.10423088807314</v>
      </c>
      <c r="G228" s="20">
        <v>1.1043398612517801</v>
      </c>
      <c r="H228" s="20">
        <v>2.9440959683733399E-2</v>
      </c>
      <c r="I228" s="20">
        <v>125.31704320029699</v>
      </c>
      <c r="J228" s="20">
        <v>51.19952174451975</v>
      </c>
      <c r="K228" s="20">
        <v>0.65023392615540088</v>
      </c>
      <c r="L228" s="20">
        <f t="shared" si="12"/>
        <v>51.199418700306161</v>
      </c>
      <c r="M228" s="20">
        <f t="shared" si="13"/>
        <v>-0.6502326174964892</v>
      </c>
    </row>
    <row r="229" spans="1:13" x14ac:dyDescent="0.2">
      <c r="A229" s="23">
        <v>50.5</v>
      </c>
      <c r="B229" s="20">
        <v>51.6663017517442</v>
      </c>
      <c r="C229" s="20">
        <v>2.4690632118658299E-2</v>
      </c>
      <c r="D229" s="20">
        <v>358.79557604666599</v>
      </c>
      <c r="E229" s="20">
        <v>-1.5647391036494599E-2</v>
      </c>
      <c r="F229" s="20">
        <v>-1.1085855064149299</v>
      </c>
      <c r="G229" s="20">
        <v>1.10869593030709</v>
      </c>
      <c r="H229" s="20">
        <v>2.9384202718504501E-2</v>
      </c>
      <c r="I229" s="20">
        <v>125.265680882045</v>
      </c>
      <c r="J229" s="20">
        <v>51.666411635281463</v>
      </c>
      <c r="K229" s="20">
        <v>0.65616342776807457</v>
      </c>
      <c r="L229" s="20">
        <f t="shared" si="12"/>
        <v>51.666307651404708</v>
      </c>
      <c r="M229" s="20">
        <f t="shared" si="13"/>
        <v>-0.65616210717546453</v>
      </c>
    </row>
    <row r="230" spans="1:13" x14ac:dyDescent="0.2">
      <c r="A230" s="23">
        <v>50.75</v>
      </c>
      <c r="B230" s="20">
        <v>52.135025192088499</v>
      </c>
      <c r="C230" s="20">
        <v>2.7912944233758601E-2</v>
      </c>
      <c r="D230" s="20">
        <v>358.78516551913401</v>
      </c>
      <c r="E230" s="20">
        <v>-1.57817959371554E-2</v>
      </c>
      <c r="F230" s="20">
        <v>-1.1129316413305901</v>
      </c>
      <c r="G230" s="20">
        <v>1.11304353165444</v>
      </c>
      <c r="H230" s="20">
        <v>2.9326769048240602E-2</v>
      </c>
      <c r="I230" s="20">
        <v>125.21299856245</v>
      </c>
      <c r="J230" s="20">
        <v>52.135137591578506</v>
      </c>
      <c r="K230" s="20">
        <v>0.66211624741304709</v>
      </c>
      <c r="L230" s="20">
        <f t="shared" si="12"/>
        <v>52.135032664343441</v>
      </c>
      <c r="M230" s="20">
        <f t="shared" si="13"/>
        <v>-0.66211491483981022</v>
      </c>
    </row>
    <row r="231" spans="1:13" x14ac:dyDescent="0.2">
      <c r="A231" s="23">
        <v>51</v>
      </c>
      <c r="B231" s="20">
        <v>52.605580887926301</v>
      </c>
      <c r="C231" s="20">
        <v>3.1202413128263801E-2</v>
      </c>
      <c r="D231" s="20">
        <v>358.774717810109</v>
      </c>
      <c r="E231" s="20">
        <v>-1.5916919039679501E-2</v>
      </c>
      <c r="F231" s="20">
        <v>-1.1172691925877101</v>
      </c>
      <c r="G231" s="20">
        <v>1.11738256520195</v>
      </c>
      <c r="H231" s="20">
        <v>2.9268663054846201E-2</v>
      </c>
      <c r="I231" s="20">
        <v>125.159005363429</v>
      </c>
      <c r="J231" s="20">
        <v>52.605696015888434</v>
      </c>
      <c r="K231" s="20">
        <v>0.66809233940178314</v>
      </c>
      <c r="L231" s="20">
        <f t="shared" si="12"/>
        <v>52.605590141607024</v>
      </c>
      <c r="M231" s="20">
        <f t="shared" si="13"/>
        <v>-0.66809099480108158</v>
      </c>
    </row>
    <row r="232" spans="1:13" x14ac:dyDescent="0.2">
      <c r="A232" s="23">
        <v>51.25</v>
      </c>
      <c r="B232" s="20">
        <v>53.077965192480498</v>
      </c>
      <c r="C232" s="20">
        <v>3.4559630099843398E-2</v>
      </c>
      <c r="D232" s="20">
        <v>358.76423295132298</v>
      </c>
      <c r="E232" s="20">
        <v>-1.6052761847821999E-2</v>
      </c>
      <c r="F232" s="20">
        <v>-1.1215980606059099</v>
      </c>
      <c r="G232" s="20">
        <v>1.1217129315105001</v>
      </c>
      <c r="H232" s="20">
        <v>2.92098891969086E-2</v>
      </c>
      <c r="I232" s="20">
        <v>125.103710596941</v>
      </c>
      <c r="J232" s="20">
        <v>53.078083268560128</v>
      </c>
      <c r="K232" s="20">
        <v>0.67409165751071365</v>
      </c>
      <c r="L232" s="20">
        <f t="shared" si="12"/>
        <v>53.077976443551464</v>
      </c>
      <c r="M232" s="20">
        <f t="shared" si="13"/>
        <v>-0.6740903008357999</v>
      </c>
    </row>
    <row r="233" spans="1:13" x14ac:dyDescent="0.2">
      <c r="A233" s="23">
        <v>51.5</v>
      </c>
      <c r="B233" s="20">
        <v>53.552174417014903</v>
      </c>
      <c r="C233" s="20">
        <v>3.79851862213368E-2</v>
      </c>
      <c r="D233" s="20">
        <v>358.753710974603</v>
      </c>
      <c r="E233" s="20">
        <v>-1.6189325840723301E-2</v>
      </c>
      <c r="F233" s="20">
        <v>-1.1259181464675001</v>
      </c>
      <c r="G233" s="20">
        <v>1.12603453180441</v>
      </c>
      <c r="H233" s="20">
        <v>2.915045200369E-2</v>
      </c>
      <c r="I233" s="20">
        <v>125.047123743497</v>
      </c>
      <c r="J233" s="20">
        <v>53.55229566809151</v>
      </c>
      <c r="K233" s="20">
        <v>0.68011415498476224</v>
      </c>
      <c r="L233" s="20">
        <f t="shared" si="12"/>
        <v>53.552187888682546</v>
      </c>
      <c r="M233" s="20">
        <f t="shared" si="13"/>
        <v>-0.68011278618898885</v>
      </c>
    </row>
    <row r="234" spans="1:13" x14ac:dyDescent="0.2">
      <c r="A234" s="23">
        <v>51.75</v>
      </c>
      <c r="B234" s="20">
        <v>54.028204831114998</v>
      </c>
      <c r="C234" s="20">
        <v>4.1479672307257298E-2</v>
      </c>
      <c r="D234" s="20">
        <v>358.74315191186901</v>
      </c>
      <c r="E234" s="20">
        <v>-1.63266124741469E-2</v>
      </c>
      <c r="F234" s="20">
        <v>-1.1302293519273801</v>
      </c>
      <c r="G234" s="20">
        <v>1.1303472679814299</v>
      </c>
      <c r="H234" s="20">
        <v>2.9090356070496499E-2</v>
      </c>
      <c r="I234" s="20">
        <v>124.989254436018</v>
      </c>
      <c r="J234" s="20">
        <v>54.028329491412016</v>
      </c>
      <c r="K234" s="20">
        <v>0.68615978454093263</v>
      </c>
      <c r="L234" s="20">
        <f t="shared" si="12"/>
        <v>54.02822075393685</v>
      </c>
      <c r="M234" s="20">
        <f t="shared" si="13"/>
        <v>-0.6861584035777426</v>
      </c>
    </row>
    <row r="235" spans="1:13" x14ac:dyDescent="0.2">
      <c r="A235" s="23">
        <v>52</v>
      </c>
      <c r="B235" s="20">
        <v>54.506052662974497</v>
      </c>
      <c r="C235" s="20">
        <v>4.5043678879922999E-2</v>
      </c>
      <c r="D235" s="20">
        <v>358.73255579513602</v>
      </c>
      <c r="E235" s="20">
        <v>-1.64646231814349E-2</v>
      </c>
      <c r="F235" s="20">
        <v>-1.1345315794224899</v>
      </c>
      <c r="G235" s="20">
        <v>1.1346510426220899</v>
      </c>
      <c r="H235" s="20">
        <v>2.9029606055005101E-2</v>
      </c>
      <c r="I235" s="20">
        <v>124.930112447403</v>
      </c>
      <c r="J235" s="20">
        <v>54.506180974168267</v>
      </c>
      <c r="K235" s="20">
        <v>0.69222849837193712</v>
      </c>
      <c r="L235" s="20">
        <f t="shared" si="12"/>
        <v>54.506071274968591</v>
      </c>
      <c r="M235" s="20">
        <f t="shared" si="13"/>
        <v>-0.69222710519487007</v>
      </c>
    </row>
    <row r="236" spans="1:13" x14ac:dyDescent="0.2">
      <c r="A236" s="23">
        <v>52.25</v>
      </c>
      <c r="B236" s="20">
        <v>54.985714099685197</v>
      </c>
      <c r="C236" s="20">
        <v>4.8677796135321499E-2</v>
      </c>
      <c r="D236" s="20">
        <v>358.72192265651302</v>
      </c>
      <c r="E236" s="20">
        <v>-1.66033593742493E-2</v>
      </c>
      <c r="F236" s="20">
        <v>-1.1388247320806399</v>
      </c>
      <c r="G236" s="20">
        <v>1.13894575899867</v>
      </c>
      <c r="H236" s="20">
        <v>2.8968206674267499E-2</v>
      </c>
      <c r="I236" s="20">
        <v>124.86970768074001</v>
      </c>
      <c r="J236" s="20">
        <v>54.985846311014292</v>
      </c>
      <c r="K236" s="20">
        <v>0.69832024814988158</v>
      </c>
      <c r="L236" s="20">
        <f t="shared" si="12"/>
        <v>54.985735646439757</v>
      </c>
      <c r="M236" s="20">
        <f t="shared" si="13"/>
        <v>-0.69831884271257827</v>
      </c>
    </row>
    <row r="237" spans="1:13" x14ac:dyDescent="0.2">
      <c r="A237" s="23">
        <v>52.5</v>
      </c>
      <c r="B237" s="20">
        <v>55.467185287529702</v>
      </c>
      <c r="C237" s="20">
        <v>5.2382613908791398E-2</v>
      </c>
      <c r="D237" s="20">
        <v>358.71125252820298</v>
      </c>
      <c r="E237" s="20">
        <v>-1.6742822443152901E-2</v>
      </c>
      <c r="F237" s="20">
        <v>-1.1431087137290701</v>
      </c>
      <c r="G237" s="20">
        <v>1.14323132108366</v>
      </c>
      <c r="H237" s="20">
        <v>2.89061627022013E-2</v>
      </c>
      <c r="I237" s="20">
        <v>124.80805016139399</v>
      </c>
      <c r="J237" s="20">
        <v>55.467321655905444</v>
      </c>
      <c r="K237" s="20">
        <v>0.70443498502999924</v>
      </c>
      <c r="L237" s="20">
        <f t="shared" si="12"/>
        <v>55.467210022313104</v>
      </c>
      <c r="M237" s="20">
        <f t="shared" si="13"/>
        <v>-0.70443356728619422</v>
      </c>
    </row>
    <row r="238" spans="1:13" x14ac:dyDescent="0.2">
      <c r="A238" s="23">
        <v>52.75</v>
      </c>
      <c r="B238" s="20">
        <v>55.950462332279002</v>
      </c>
      <c r="C238" s="20">
        <v>5.6158721640582797E-2</v>
      </c>
      <c r="D238" s="20">
        <v>358.70054544249899</v>
      </c>
      <c r="E238" s="20">
        <v>-1.68830137580664E-2</v>
      </c>
      <c r="F238" s="20">
        <v>-1.1473834289026199</v>
      </c>
      <c r="G238" s="20">
        <v>1.1475076335579999</v>
      </c>
      <c r="H238" s="20">
        <v>2.8843478967434999E-2</v>
      </c>
      <c r="I238" s="20">
        <v>124.74515003048199</v>
      </c>
      <c r="J238" s="20">
        <v>55.950603122395158</v>
      </c>
      <c r="K238" s="20">
        <v>0.71057265965441851</v>
      </c>
      <c r="L238" s="20">
        <f t="shared" si="12"/>
        <v>55.950490516149969</v>
      </c>
      <c r="M238" s="20">
        <f t="shared" si="13"/>
        <v>-0.71057122955794694</v>
      </c>
    </row>
    <row r="239" spans="1:13" x14ac:dyDescent="0.2">
      <c r="A239" s="23">
        <v>53</v>
      </c>
      <c r="B239" s="20">
        <v>56.435541299492598</v>
      </c>
      <c r="C239" s="20">
        <v>6.0006708341347803E-2</v>
      </c>
      <c r="D239" s="20">
        <v>358.68980143179101</v>
      </c>
      <c r="E239" s="20">
        <v>-1.7023934668630499E-2</v>
      </c>
      <c r="F239" s="20">
        <v>-1.15164878285161</v>
      </c>
      <c r="G239" s="20">
        <v>1.1517746018189401</v>
      </c>
      <c r="H239" s="20">
        <v>2.8780160351415701E-2</v>
      </c>
      <c r="I239" s="20">
        <v>124.68101753935601</v>
      </c>
      <c r="J239" s="20">
        <v>56.435686783935815</v>
      </c>
      <c r="K239" s="20">
        <v>0.71673322215598489</v>
      </c>
      <c r="L239" s="20">
        <f t="shared" si="12"/>
        <v>56.435573201410655</v>
      </c>
      <c r="M239" s="20">
        <f t="shared" si="13"/>
        <v>-0.71673177966078228</v>
      </c>
    </row>
    <row r="240" spans="1:13" x14ac:dyDescent="0.2">
      <c r="A240" s="23">
        <v>53.25</v>
      </c>
      <c r="B240" s="20">
        <v>56.922418214822301</v>
      </c>
      <c r="C240" s="20">
        <v>6.3927162557602502E-2</v>
      </c>
      <c r="D240" s="20">
        <v>358.67902052855902</v>
      </c>
      <c r="E240" s="20">
        <v>-1.71655865044931E-2</v>
      </c>
      <c r="F240" s="20">
        <v>-1.15590468154948</v>
      </c>
      <c r="G240" s="20">
        <v>1.15603213198771</v>
      </c>
      <c r="H240" s="20">
        <v>2.8716211786712201E-2</v>
      </c>
      <c r="I240" s="20">
        <v>124.615663044857</v>
      </c>
      <c r="J240" s="20">
        <v>56.922568674182543</v>
      </c>
      <c r="K240" s="20">
        <v>0.72291662216211838</v>
      </c>
      <c r="L240" s="20">
        <f t="shared" si="12"/>
        <v>56.922454111758448</v>
      </c>
      <c r="M240" s="20">
        <f t="shared" si="13"/>
        <v>-0.72291516722222393</v>
      </c>
    </row>
    <row r="241" spans="1:13" x14ac:dyDescent="0.2">
      <c r="A241" s="23">
        <v>53.5</v>
      </c>
      <c r="B241" s="20">
        <v>57.411089064318702</v>
      </c>
      <c r="C241" s="20">
        <v>6.7920672337190402E-2</v>
      </c>
      <c r="D241" s="20">
        <v>358.66820276537402</v>
      </c>
      <c r="E241" s="20">
        <v>-1.7307970575537301E-2</v>
      </c>
      <c r="F241" s="20">
        <v>-1.16015103170019</v>
      </c>
      <c r="G241" s="20">
        <v>1.16028013091686</v>
      </c>
      <c r="H241" s="20">
        <v>2.86516382554656E-2</v>
      </c>
      <c r="I241" s="20">
        <v>124.549097005137</v>
      </c>
      <c r="J241" s="20">
        <v>57.411244787300504</v>
      </c>
      <c r="K241" s="20">
        <v>0.72912280879871649</v>
      </c>
      <c r="L241" s="20">
        <f t="shared" si="12"/>
        <v>57.411129241366304</v>
      </c>
      <c r="M241" s="20">
        <f t="shared" si="13"/>
        <v>-0.72912134136826856</v>
      </c>
    </row>
    <row r="242" spans="1:13" x14ac:dyDescent="0.2">
      <c r="A242" s="23">
        <v>53.75</v>
      </c>
      <c r="B242" s="20">
        <v>57.901549794741697</v>
      </c>
      <c r="C242" s="20">
        <v>7.1987825194778393E-2</v>
      </c>
      <c r="D242" s="20">
        <v>358.65734817490198</v>
      </c>
      <c r="E242" s="20">
        <v>-1.7451088172063901E-2</v>
      </c>
      <c r="F242" s="20">
        <v>-1.16438774074539</v>
      </c>
      <c r="G242" s="20">
        <v>1.16451850619754</v>
      </c>
      <c r="H242" s="20">
        <v>2.8586444787952001E-2</v>
      </c>
      <c r="I242" s="20">
        <v>124.481329975921</v>
      </c>
      <c r="J242" s="20">
        <v>57.901711078274793</v>
      </c>
      <c r="K242" s="20">
        <v>0.73535173069408988</v>
      </c>
      <c r="L242" s="20">
        <f t="shared" si="12"/>
        <v>57.901594545227589</v>
      </c>
      <c r="M242" s="20">
        <f t="shared" si="13"/>
        <v>-0.73535025072733173</v>
      </c>
    </row>
    <row r="243" spans="1:13" x14ac:dyDescent="0.2">
      <c r="A243" s="23">
        <v>54</v>
      </c>
      <c r="B243" s="20">
        <v>58.393796313872897</v>
      </c>
      <c r="C243" s="20">
        <v>7.6129208077404698E-2</v>
      </c>
      <c r="D243" s="20">
        <v>358.64645678989501</v>
      </c>
      <c r="E243" s="20">
        <v>-1.7594940564935199E-2</v>
      </c>
      <c r="F243" s="20">
        <v>-1.1686147168714001</v>
      </c>
      <c r="G243" s="20">
        <v>1.16874716616636</v>
      </c>
      <c r="H243" s="20">
        <v>2.8520636461232401E-2</v>
      </c>
      <c r="I243" s="20">
        <v>124.41237260710901</v>
      </c>
      <c r="J243" s="20">
        <v>58.393963463223542</v>
      </c>
      <c r="K243" s="20">
        <v>0.74160333598293904</v>
      </c>
      <c r="L243" s="20">
        <f t="shared" si="12"/>
        <v>58.39384593946864</v>
      </c>
      <c r="M243" s="20">
        <f t="shared" si="13"/>
        <v>-0.7416018434342182</v>
      </c>
    </row>
    <row r="244" spans="1:13" x14ac:dyDescent="0.2">
      <c r="A244" s="23">
        <v>54.25</v>
      </c>
      <c r="B244" s="20">
        <v>58.887824490831903</v>
      </c>
      <c r="C244" s="20">
        <v>8.0345407330099303E-2</v>
      </c>
      <c r="D244" s="20">
        <v>358.63552864320002</v>
      </c>
      <c r="E244" s="20">
        <v>-1.7739529005690199E-2</v>
      </c>
      <c r="F244" s="20">
        <v>-1.17283186901597</v>
      </c>
      <c r="G244" s="20">
        <v>1.17296601991227</v>
      </c>
      <c r="H244" s="20">
        <v>2.8454218397869002E-2</v>
      </c>
      <c r="I244" s="20">
        <v>124.342235639637</v>
      </c>
      <c r="J244" s="20">
        <v>58.887997819714322</v>
      </c>
      <c r="K244" s="20">
        <v>0.74787757231037189</v>
      </c>
      <c r="L244" s="20">
        <f t="shared" si="12"/>
        <v>58.887879301665301</v>
      </c>
      <c r="M244" s="20">
        <f t="shared" si="13"/>
        <v>-0.7478760671341409</v>
      </c>
    </row>
    <row r="245" spans="1:13" x14ac:dyDescent="0.2">
      <c r="A245" s="23">
        <v>54.5</v>
      </c>
      <c r="B245" s="20">
        <v>59.383630156394503</v>
      </c>
      <c r="C245" s="20">
        <v>8.4637008661593793E-2</v>
      </c>
      <c r="D245" s="20">
        <v>358.62456376775299</v>
      </c>
      <c r="E245" s="20">
        <v>-1.7884854726634002E-2</v>
      </c>
      <c r="F245" s="20">
        <v>-1.17703910687491</v>
      </c>
      <c r="G245" s="20">
        <v>1.1771749772831099</v>
      </c>
      <c r="H245" s="20">
        <v>2.8387195764694201E-2</v>
      </c>
      <c r="I245" s="20">
        <v>124.270929902549</v>
      </c>
      <c r="J245" s="20">
        <v>59.383809987082302</v>
      </c>
      <c r="K245" s="20">
        <v>0.75417438683594529</v>
      </c>
      <c r="L245" s="20">
        <f t="shared" si="12"/>
        <v>59.383690471161202</v>
      </c>
      <c r="M245" s="20">
        <f t="shared" si="13"/>
        <v>-0.75417286898676394</v>
      </c>
    </row>
    <row r="246" spans="1:13" x14ac:dyDescent="0.2">
      <c r="A246" s="23">
        <v>54.75</v>
      </c>
      <c r="B246" s="20">
        <v>59.881209103314802</v>
      </c>
      <c r="C246" s="20">
        <v>8.9004597110134004E-2</v>
      </c>
      <c r="D246" s="20">
        <v>358.61356219657802</v>
      </c>
      <c r="E246" s="20">
        <v>-1.8030918940909E-2</v>
      </c>
      <c r="F246" s="20">
        <v>-1.1812363409084701</v>
      </c>
      <c r="G246" s="20">
        <v>1.1813739488920101</v>
      </c>
      <c r="H246" s="20">
        <v>2.8319573771620601E-2</v>
      </c>
      <c r="I246" s="20">
        <v>124.19846631022401</v>
      </c>
      <c r="J246" s="20">
        <v>59.881395766752895</v>
      </c>
      <c r="K246" s="20">
        <v>0.76049372623776179</v>
      </c>
      <c r="L246" s="20">
        <f t="shared" si="12"/>
        <v>59.881275249390093</v>
      </c>
      <c r="M246" s="20">
        <f t="shared" si="13"/>
        <v>-0.76049219567029613</v>
      </c>
    </row>
    <row r="247" spans="1:13" x14ac:dyDescent="0.2">
      <c r="A247" s="23">
        <v>55</v>
      </c>
      <c r="B247" s="20">
        <v>60.380557086648601</v>
      </c>
      <c r="C247" s="20">
        <v>9.3448757009409203E-2</v>
      </c>
      <c r="D247" s="20">
        <v>358.60252396278997</v>
      </c>
      <c r="E247" s="20">
        <v>-1.8177722842549201E-2</v>
      </c>
      <c r="F247" s="20">
        <v>-1.18542348234762</v>
      </c>
      <c r="G247" s="20">
        <v>1.18556284612369</v>
      </c>
      <c r="H247" s="20">
        <v>2.8251357670483899E-2</v>
      </c>
      <c r="I247" s="20">
        <v>124.124855859737</v>
      </c>
      <c r="J247" s="20">
        <v>60.380750922564864</v>
      </c>
      <c r="K247" s="20">
        <v>0.76683553671657378</v>
      </c>
      <c r="L247" s="20">
        <f t="shared" si="12"/>
        <v>60.380629400199339</v>
      </c>
      <c r="M247" s="20">
        <f t="shared" si="13"/>
        <v>-0.76683399338559899</v>
      </c>
    </row>
    <row r="248" spans="1:13" x14ac:dyDescent="0.2">
      <c r="A248" s="23">
        <v>55.25</v>
      </c>
      <c r="B248" s="20">
        <v>60.881669824080902</v>
      </c>
      <c r="C248" s="20">
        <v>9.7970071954607704E-2</v>
      </c>
      <c r="D248" s="20">
        <v>358.59144909959298</v>
      </c>
      <c r="E248" s="20">
        <v>-1.8325267606521201E-2</v>
      </c>
      <c r="F248" s="20">
        <v>-1.18960044320008</v>
      </c>
      <c r="G248" s="20">
        <v>1.1897415811404899</v>
      </c>
      <c r="H248" s="20">
        <v>2.81825527539111E-2</v>
      </c>
      <c r="I248" s="20">
        <v>124.05010962832</v>
      </c>
      <c r="J248" s="20">
        <v>60.881871181098219</v>
      </c>
      <c r="K248" s="20">
        <v>0.7731997639999475</v>
      </c>
      <c r="L248" s="20">
        <f t="shared" si="12"/>
        <v>60.881748650177599</v>
      </c>
      <c r="M248" s="20">
        <f t="shared" si="13"/>
        <v>-0.77319820786034832</v>
      </c>
    </row>
    <row r="249" spans="1:13" x14ac:dyDescent="0.2">
      <c r="A249" s="23">
        <v>55.5</v>
      </c>
      <c r="B249" s="20">
        <v>61.384542996254503</v>
      </c>
      <c r="C249" s="20">
        <v>0.10256912476861101</v>
      </c>
      <c r="D249" s="20">
        <v>358.58033764027903</v>
      </c>
      <c r="E249" s="20">
        <v>-1.8473554388755298E-2</v>
      </c>
      <c r="F249" s="20">
        <v>-1.1937671362562701</v>
      </c>
      <c r="G249" s="20">
        <v>1.19391006688832</v>
      </c>
      <c r="H249" s="20">
        <v>2.81131643542109E-2</v>
      </c>
      <c r="I249" s="20">
        <v>123.97423877090699</v>
      </c>
      <c r="J249" s="20">
        <v>61.384752232003144</v>
      </c>
      <c r="K249" s="20">
        <v>0.77958635334644</v>
      </c>
      <c r="L249" s="20">
        <f t="shared" si="12"/>
        <v>61.384628688983476</v>
      </c>
      <c r="M249" s="20">
        <f t="shared" si="13"/>
        <v>-0.77958478435320855</v>
      </c>
    </row>
    <row r="250" spans="1:13" x14ac:dyDescent="0.2">
      <c r="A250" s="23">
        <v>55.75</v>
      </c>
      <c r="B250" s="20">
        <v>61.889172247102401</v>
      </c>
      <c r="C250" s="20">
        <v>0.10724649746833299</v>
      </c>
      <c r="D250" s="20">
        <v>358.56918961822601</v>
      </c>
      <c r="E250" s="20">
        <v>-1.8622584326166602E-2</v>
      </c>
      <c r="F250" s="20">
        <v>-1.19792347509504</v>
      </c>
      <c r="G250" s="20">
        <v>1.19806821710233</v>
      </c>
      <c r="H250" s="20">
        <v>2.8043197842279901E-2</v>
      </c>
      <c r="I250" s="20">
        <v>123.89725451774601</v>
      </c>
      <c r="J250" s="20">
        <v>61.889389728331714</v>
      </c>
      <c r="K250" s="20">
        <v>0.78599524954981281</v>
      </c>
      <c r="L250" s="20">
        <f t="shared" si="12"/>
        <v>61.88926516967809</v>
      </c>
      <c r="M250" s="20">
        <f t="shared" si="13"/>
        <v>-0.78599366765805567</v>
      </c>
    </row>
    <row r="251" spans="1:13" x14ac:dyDescent="0.2">
      <c r="A251" s="23">
        <v>56</v>
      </c>
      <c r="B251" s="20">
        <v>62.395553184181601</v>
      </c>
      <c r="C251" s="20">
        <v>0.11200277123121501</v>
      </c>
      <c r="D251" s="20">
        <v>358.55800506690099</v>
      </c>
      <c r="E251" s="20">
        <v>-1.8772358536669701E-2</v>
      </c>
      <c r="F251" s="20">
        <v>-1.2020693740892401</v>
      </c>
      <c r="G251" s="20">
        <v>1.2022159463126101</v>
      </c>
      <c r="H251" s="20">
        <v>2.7972658626523199E-2</v>
      </c>
      <c r="I251" s="20">
        <v>123.819168172063</v>
      </c>
      <c r="J251" s="20">
        <v>62.39577928687271</v>
      </c>
      <c r="K251" s="20">
        <v>0.79242639694328354</v>
      </c>
      <c r="L251" s="20">
        <f t="shared" si="12"/>
        <v>62.395653709058919</v>
      </c>
      <c r="M251" s="20">
        <f t="shared" si="13"/>
        <v>-0.79242480210821797</v>
      </c>
    </row>
    <row r="252" spans="1:13" x14ac:dyDescent="0.2">
      <c r="A252" s="23">
        <v>56.25</v>
      </c>
      <c r="B252" s="20">
        <v>62.903681379009598</v>
      </c>
      <c r="C252" s="20">
        <v>0.11683852636188299</v>
      </c>
      <c r="D252" s="20">
        <v>358.54678401985899</v>
      </c>
      <c r="E252" s="20">
        <v>-1.8922878119187098E-2</v>
      </c>
      <c r="F252" s="20">
        <v>-1.20620474841116</v>
      </c>
      <c r="G252" s="20">
        <v>1.2063531698495</v>
      </c>
      <c r="H252" s="20">
        <v>2.7901552151786701E-2</v>
      </c>
      <c r="I252" s="20">
        <v>123.739991107774</v>
      </c>
      <c r="J252" s="20">
        <v>62.903916488487766</v>
      </c>
      <c r="K252" s="20">
        <v>0.79887973940379475</v>
      </c>
      <c r="L252" s="20">
        <f t="shared" si="12"/>
        <v>62.903789887996425</v>
      </c>
      <c r="M252" s="20">
        <f t="shared" si="13"/>
        <v>-0.79887813158075016</v>
      </c>
    </row>
    <row r="253" spans="1:13" x14ac:dyDescent="0.2">
      <c r="A253" s="23">
        <v>56.5</v>
      </c>
      <c r="B253" s="20">
        <v>63.413552367403597</v>
      </c>
      <c r="C253" s="20">
        <v>0.121754342258974</v>
      </c>
      <c r="D253" s="20">
        <v>358.53552651073801</v>
      </c>
      <c r="E253" s="20">
        <v>-1.9074144153652699E-2</v>
      </c>
      <c r="F253" s="20">
        <v>-1.2103295140377901</v>
      </c>
      <c r="G253" s="20">
        <v>1.2104798038489299</v>
      </c>
      <c r="H253" s="20">
        <v>2.7829883898298099E-2</v>
      </c>
      <c r="I253" s="20">
        <v>123.659734767234</v>
      </c>
      <c r="J253" s="20">
        <v>63.413796878450412</v>
      </c>
      <c r="K253" s="20">
        <v>0.80535522035632034</v>
      </c>
      <c r="L253" s="20">
        <f t="shared" si="12"/>
        <v>63.413669251773293</v>
      </c>
      <c r="M253" s="20">
        <f t="shared" si="13"/>
        <v>-0.80535359950074226</v>
      </c>
    </row>
    <row r="254" spans="1:13" x14ac:dyDescent="0.2">
      <c r="A254" s="23">
        <v>56.75</v>
      </c>
      <c r="B254" s="20">
        <v>63.925161649820801</v>
      </c>
      <c r="C254" s="20">
        <v>0.12675079738214001</v>
      </c>
      <c r="D254" s="20">
        <v>358.52423257326598</v>
      </c>
      <c r="E254" s="20">
        <v>-1.9226157701011399E-2</v>
      </c>
      <c r="F254" s="20">
        <v>-1.2144435877559501</v>
      </c>
      <c r="G254" s="20">
        <v>1.2145957652575201</v>
      </c>
      <c r="H254" s="20">
        <v>2.7757659380616799E-2</v>
      </c>
      <c r="I254" s="20">
        <v>123.57841065901</v>
      </c>
      <c r="J254" s="20">
        <v>63.925415966787106</v>
      </c>
      <c r="K254" s="20">
        <v>0.81185278277819628</v>
      </c>
      <c r="L254" s="20">
        <f t="shared" si="12"/>
        <v>63.925287310424793</v>
      </c>
      <c r="M254" s="20">
        <f t="shared" si="13"/>
        <v>-0.81185114884564236</v>
      </c>
    </row>
    <row r="255" spans="1:13" x14ac:dyDescent="0.2">
      <c r="A255" s="23">
        <v>57</v>
      </c>
      <c r="B255" s="20">
        <v>64.438504691702306</v>
      </c>
      <c r="C255" s="20">
        <v>0.13182846921923599</v>
      </c>
      <c r="D255" s="20">
        <v>358.51290224125199</v>
      </c>
      <c r="E255" s="20">
        <v>-1.93789198032151E-2</v>
      </c>
      <c r="F255" s="20">
        <v>-1.21854688716722</v>
      </c>
      <c r="G255" s="20">
        <v>1.2187009718374899</v>
      </c>
      <c r="H255" s="20">
        <v>2.7684884146590101E-2</v>
      </c>
      <c r="I255" s="20">
        <v>123.496030355694</v>
      </c>
      <c r="J255" s="20">
        <v>64.438769228620373</v>
      </c>
      <c r="K255" s="20">
        <v>0.81837236920347878</v>
      </c>
      <c r="L255" s="20">
        <f t="shared" si="12"/>
        <v>64.438639539082743</v>
      </c>
      <c r="M255" s="20">
        <f t="shared" si="13"/>
        <v>-0.81837072214962436</v>
      </c>
    </row>
    <row r="256" spans="1:13" x14ac:dyDescent="0.2">
      <c r="A256" s="23">
        <v>57.25</v>
      </c>
      <c r="B256" s="20">
        <v>64.953576923817707</v>
      </c>
      <c r="C256" s="20">
        <v>0.13698793425369199</v>
      </c>
      <c r="D256" s="20">
        <v>358.50153554859202</v>
      </c>
      <c r="E256" s="20">
        <v>-1.9532431483216699E-2</v>
      </c>
      <c r="F256" s="20">
        <v>-1.2226393306927299</v>
      </c>
      <c r="G256" s="20">
        <v>1.2227953421715301</v>
      </c>
      <c r="H256" s="20">
        <v>2.7611563776315799E-2</v>
      </c>
      <c r="I256" s="20">
        <v>123.412605491718</v>
      </c>
      <c r="J256" s="20">
        <v>64.95385210451407</v>
      </c>
      <c r="K256" s="20">
        <v>0.82491392172732869</v>
      </c>
      <c r="L256" s="20">
        <f t="shared" si="12"/>
        <v>64.953721378320083</v>
      </c>
      <c r="M256" s="20">
        <f t="shared" si="13"/>
        <v>-0.82491226150796482</v>
      </c>
    </row>
    <row r="257" spans="1:13" x14ac:dyDescent="0.2">
      <c r="A257" s="23">
        <v>57.5</v>
      </c>
      <c r="B257" s="20">
        <v>65.470373742612693</v>
      </c>
      <c r="C257" s="20">
        <v>0.142229767932085</v>
      </c>
      <c r="D257" s="20">
        <v>358.49013252926699</v>
      </c>
      <c r="E257" s="20">
        <v>-1.96866937449614E-2</v>
      </c>
      <c r="F257" s="20">
        <v>-1.22672083757784</v>
      </c>
      <c r="G257" s="20">
        <v>1.2268787956674001</v>
      </c>
      <c r="H257" s="20">
        <v>2.7537703881109901E-2</v>
      </c>
      <c r="I257" s="20">
        <v>123.328147761208</v>
      </c>
      <c r="J257" s="20">
        <v>65.470660000820715</v>
      </c>
      <c r="K257" s="20">
        <v>0.8314773820104232</v>
      </c>
      <c r="L257" s="20">
        <f t="shared" si="12"/>
        <v>65.470528234498573</v>
      </c>
      <c r="M257" s="20">
        <f t="shared" si="13"/>
        <v>-0.83147570858145781</v>
      </c>
    </row>
    <row r="258" spans="1:13" x14ac:dyDescent="0.2">
      <c r="A258" s="23">
        <v>57.75</v>
      </c>
      <c r="B258" s="20">
        <v>65.988890510557994</v>
      </c>
      <c r="C258" s="20">
        <v>0.14755454463190501</v>
      </c>
      <c r="D258" s="20">
        <v>358.47869321733998</v>
      </c>
      <c r="E258" s="20">
        <v>-1.98417075733766E-2</v>
      </c>
      <c r="F258" s="20">
        <v>-1.23079132789663</v>
      </c>
      <c r="G258" s="20">
        <v>1.23095125256242</v>
      </c>
      <c r="H258" s="20">
        <v>2.74633101024786E-2</v>
      </c>
      <c r="I258" s="20">
        <v>123.242668915842</v>
      </c>
      <c r="J258" s="20">
        <v>65.989188290030398</v>
      </c>
      <c r="K258" s="20">
        <v>0.83806269128338606</v>
      </c>
      <c r="L258" s="20">
        <f t="shared" si="12"/>
        <v>65.989055480117699</v>
      </c>
      <c r="M258" s="20">
        <f t="shared" si="13"/>
        <v>-0.83806100460084698</v>
      </c>
    </row>
    <row r="259" spans="1:13" x14ac:dyDescent="0.2">
      <c r="A259" s="23">
        <v>58</v>
      </c>
      <c r="B259" s="20">
        <v>66.5091225565005</v>
      </c>
      <c r="C259" s="20">
        <v>0.152962837629533</v>
      </c>
      <c r="D259" s="20">
        <v>358.467217646959</v>
      </c>
      <c r="E259" s="20">
        <v>-1.99974739343605E-2</v>
      </c>
      <c r="F259" s="20">
        <v>-1.23485072255622</v>
      </c>
      <c r="G259" s="20">
        <v>1.23501263392784</v>
      </c>
      <c r="H259" s="20">
        <v>2.7388388111095601E-2</v>
      </c>
      <c r="I259" s="20">
        <v>123.156180762723</v>
      </c>
      <c r="J259" s="20">
        <v>66.509432311122239</v>
      </c>
      <c r="K259" s="20">
        <v>0.84466979035125245</v>
      </c>
      <c r="L259" s="20">
        <f t="shared" si="12"/>
        <v>66.509298454165787</v>
      </c>
      <c r="M259" s="20">
        <f t="shared" si="13"/>
        <v>-0.84466809037128421</v>
      </c>
    </row>
    <row r="260" spans="1:13" x14ac:dyDescent="0.2">
      <c r="A260" s="23">
        <v>58.25</v>
      </c>
      <c r="B260" s="20">
        <v>67.031065176016099</v>
      </c>
      <c r="C260" s="20">
        <v>0.158455219068422</v>
      </c>
      <c r="D260" s="20">
        <v>358.45570585235299</v>
      </c>
      <c r="E260" s="20">
        <v>-2.0153993774769799E-2</v>
      </c>
      <c r="F260" s="20">
        <v>-1.2388989433009501</v>
      </c>
      <c r="G260" s="20">
        <v>1.2390628616729999</v>
      </c>
      <c r="H260" s="20">
        <v>2.7312943605782701E-2</v>
      </c>
      <c r="I260" s="20">
        <v>123.068695162271</v>
      </c>
      <c r="J260" s="20">
        <v>67.031387369916558</v>
      </c>
      <c r="K260" s="20">
        <v>0.85129861959794029</v>
      </c>
      <c r="L260" s="20">
        <f t="shared" si="12"/>
        <v>67.031252462472821</v>
      </c>
      <c r="M260" s="20">
        <f t="shared" si="13"/>
        <v>-0.85129690627680998</v>
      </c>
    </row>
    <row r="261" spans="1:13" x14ac:dyDescent="0.2">
      <c r="A261" s="23">
        <v>58.5</v>
      </c>
      <c r="B261" s="20">
        <v>67.554713631764301</v>
      </c>
      <c r="C261" s="20">
        <v>0.16403225992749801</v>
      </c>
      <c r="D261" s="20">
        <v>358.44415786783401</v>
      </c>
      <c r="E261" s="20">
        <v>-2.0311268022406799E-2</v>
      </c>
      <c r="F261" s="20">
        <v>-1.2429359127164601</v>
      </c>
      <c r="G261" s="20">
        <v>1.24310185854941</v>
      </c>
      <c r="H261" s="20">
        <v>2.7236982312494398E-2</v>
      </c>
      <c r="I261" s="20">
        <v>122.980224026117</v>
      </c>
      <c r="J261" s="20">
        <v>67.555048739430191</v>
      </c>
      <c r="K261" s="20">
        <v>0.85794911899076343</v>
      </c>
      <c r="L261" s="20">
        <f t="shared" si="12"/>
        <v>67.554912778065059</v>
      </c>
      <c r="M261" s="20">
        <f t="shared" si="13"/>
        <v>-0.85794739228485817</v>
      </c>
    </row>
    <row r="262" spans="1:13" x14ac:dyDescent="0.2">
      <c r="A262" s="23">
        <v>58.75</v>
      </c>
      <c r="B262" s="20">
        <v>68.080063153844307</v>
      </c>
      <c r="C262" s="20">
        <v>0.16969452998977599</v>
      </c>
      <c r="D262" s="20">
        <v>358.43257372779499</v>
      </c>
      <c r="E262" s="20">
        <v>-2.04692975860057E-2</v>
      </c>
      <c r="F262" s="20">
        <v>-1.2469615542335499</v>
      </c>
      <c r="G262" s="20">
        <v>1.2471295481545599</v>
      </c>
      <c r="H262" s="20">
        <v>2.71605099833063E-2</v>
      </c>
      <c r="I262" s="20">
        <v>122.890779315022</v>
      </c>
      <c r="J262" s="20">
        <v>68.080411660232272</v>
      </c>
      <c r="K262" s="20">
        <v>0.8646212280849499</v>
      </c>
      <c r="L262" s="20">
        <f t="shared" si="12"/>
        <v>68.080274641521086</v>
      </c>
      <c r="M262" s="20">
        <f t="shared" si="13"/>
        <v>-0.86461948795077626</v>
      </c>
    </row>
    <row r="263" spans="1:13" x14ac:dyDescent="0.2">
      <c r="A263" s="23">
        <v>59</v>
      </c>
      <c r="B263" s="20">
        <v>68.607108940153495</v>
      </c>
      <c r="C263" s="20">
        <v>0.175442597811202</v>
      </c>
      <c r="D263" s="20">
        <v>358.42095346671198</v>
      </c>
      <c r="E263" s="20">
        <v>-2.0628083355218998E-2</v>
      </c>
      <c r="F263" s="20">
        <v>-1.25097579213189</v>
      </c>
      <c r="G263" s="20">
        <v>1.2511458549357599</v>
      </c>
      <c r="H263" s="20">
        <v>2.7083532395407499E-2</v>
      </c>
      <c r="I263" s="20">
        <v>122.800373036789</v>
      </c>
      <c r="J263" s="20">
        <v>68.607471340802192</v>
      </c>
      <c r="K263" s="20">
        <v>0.87131488602818796</v>
      </c>
      <c r="L263" s="20">
        <f t="shared" si="12"/>
        <v>68.60733326133014</v>
      </c>
      <c r="M263" s="20">
        <f t="shared" si="13"/>
        <v>-0.87131313242237807</v>
      </c>
    </row>
    <row r="264" spans="1:13" x14ac:dyDescent="0.2">
      <c r="A264" s="23">
        <v>59.25</v>
      </c>
      <c r="B264" s="20">
        <v>69.135846156746098</v>
      </c>
      <c r="C264" s="20">
        <v>0.18127703068972201</v>
      </c>
      <c r="D264" s="20">
        <v>358.40929711913799</v>
      </c>
      <c r="E264" s="20">
        <v>-2.0787626200603999E-2</v>
      </c>
      <c r="F264" s="20">
        <v>-1.25497855154368</v>
      </c>
      <c r="G264" s="20">
        <v>1.2551507041936101</v>
      </c>
      <c r="H264" s="20">
        <v>2.7006055350095998E-2</v>
      </c>
      <c r="I264" s="20">
        <v>122.709017244197</v>
      </c>
      <c r="J264" s="20">
        <v>69.136222957889046</v>
      </c>
      <c r="K264" s="20">
        <v>0.87803003156519088</v>
      </c>
      <c r="L264" s="20">
        <f t="shared" si="12"/>
        <v>69.136083814250867</v>
      </c>
      <c r="M264" s="20">
        <f t="shared" si="13"/>
        <v>-0.87802826444449822</v>
      </c>
    </row>
    <row r="265" spans="1:13" x14ac:dyDescent="0.2">
      <c r="A265" s="23">
        <v>59.5</v>
      </c>
      <c r="B265" s="20">
        <v>69.666269938194802</v>
      </c>
      <c r="C265" s="20">
        <v>0.18719839463458501</v>
      </c>
      <c r="D265" s="20">
        <v>358.39760471970902</v>
      </c>
      <c r="E265" s="20">
        <v>-2.09479269736089E-2</v>
      </c>
      <c r="F265" s="20">
        <v>-1.2589697584570001</v>
      </c>
      <c r="G265" s="20">
        <v>1.2591440220855501</v>
      </c>
      <c r="H265" s="20">
        <v>2.69280846717781E-2</v>
      </c>
      <c r="I265" s="20">
        <v>122.616724032939</v>
      </c>
      <c r="J265" s="20">
        <v>69.666661656872378</v>
      </c>
      <c r="K265" s="20">
        <v>0.88476660304227939</v>
      </c>
      <c r="L265" s="20">
        <f t="shared" si="12"/>
        <v>69.666521445672728</v>
      </c>
      <c r="M265" s="20">
        <f t="shared" si="13"/>
        <v>-0.88476482236358267</v>
      </c>
    </row>
    <row r="266" spans="1:13" x14ac:dyDescent="0.2">
      <c r="A266" s="23">
        <v>59.75</v>
      </c>
      <c r="B266" s="20">
        <v>70.198375387952893</v>
      </c>
      <c r="C266" s="20">
        <v>0.19320725433587699</v>
      </c>
      <c r="D266" s="20">
        <v>358.385876303141</v>
      </c>
      <c r="E266" s="20">
        <v>-2.1108986506559398E-2</v>
      </c>
      <c r="F266" s="20">
        <v>-1.26294933971918</v>
      </c>
      <c r="G266" s="20">
        <v>1.2631257356290599</v>
      </c>
      <c r="H266" s="20">
        <v>2.68496262069715E-2</v>
      </c>
      <c r="I266" s="20">
        <v>122.52350553956801</v>
      </c>
      <c r="J266" s="20">
        <v>70.198782552124882</v>
      </c>
      <c r="K266" s="20">
        <v>0.89152453841198609</v>
      </c>
      <c r="L266" s="20">
        <f t="shared" si="12"/>
        <v>70.19864126997814</v>
      </c>
      <c r="M266" s="20">
        <f t="shared" si="13"/>
        <v>-0.89152274413228838</v>
      </c>
    </row>
    <row r="267" spans="1:13" x14ac:dyDescent="0.2">
      <c r="A267" s="23">
        <v>60</v>
      </c>
      <c r="B267" s="20">
        <v>70.732157578717903</v>
      </c>
      <c r="C267" s="20">
        <v>0.19930417313430099</v>
      </c>
      <c r="D267" s="20">
        <v>358.374111904225</v>
      </c>
      <c r="E267" s="20">
        <v>-2.1270805612645799E-2</v>
      </c>
      <c r="F267" s="20">
        <v>-1.26691722303988</v>
      </c>
      <c r="G267" s="20">
        <v>1.26709577270485</v>
      </c>
      <c r="H267" s="20">
        <v>2.67706858233124E-2</v>
      </c>
      <c r="I267" s="20">
        <v>122.429373939456</v>
      </c>
      <c r="J267" s="20">
        <v>70.732580727375435</v>
      </c>
      <c r="K267" s="20">
        <v>0.89830377523766813</v>
      </c>
      <c r="L267" s="20">
        <f t="shared" si="12"/>
        <v>70.732438370905953</v>
      </c>
      <c r="M267" s="20">
        <f t="shared" si="13"/>
        <v>-0.89830196731409895</v>
      </c>
    </row>
    <row r="268" spans="1:13" x14ac:dyDescent="0.2">
      <c r="A268" s="23">
        <v>60.25</v>
      </c>
      <c r="B268" s="20">
        <v>71.267611552796893</v>
      </c>
      <c r="C268" s="20">
        <v>0.205489712991197</v>
      </c>
      <c r="D268" s="20">
        <v>358.362311557834</v>
      </c>
      <c r="E268" s="20">
        <v>-2.1433385085910198E-2</v>
      </c>
      <c r="F268" s="20">
        <v>-1.2708733369941201</v>
      </c>
      <c r="G268" s="20">
        <v>1.2710540620598401</v>
      </c>
      <c r="H268" s="20">
        <v>2.6691269408565699E-2</v>
      </c>
      <c r="I268" s="20">
        <v>122.334341444757</v>
      </c>
      <c r="J268" s="20">
        <v>71.268051236074768</v>
      </c>
      <c r="K268" s="20">
        <v>0.90510425069814959</v>
      </c>
      <c r="L268" s="20">
        <f t="shared" si="12"/>
        <v>71.267907801916664</v>
      </c>
      <c r="M268" s="20">
        <f t="shared" si="13"/>
        <v>-0.90510242908796201</v>
      </c>
    </row>
    <row r="269" spans="1:13" x14ac:dyDescent="0.2">
      <c r="A269" s="23">
        <v>60.5</v>
      </c>
      <c r="B269" s="20">
        <v>71.804732322472901</v>
      </c>
      <c r="C269" s="20">
        <v>0.21176443445880899</v>
      </c>
      <c r="D269" s="20">
        <v>358.35047529891801</v>
      </c>
      <c r="E269" s="20">
        <v>-2.1596725701234699E-2</v>
      </c>
      <c r="F269" s="20">
        <v>-1.2748176110250999</v>
      </c>
      <c r="G269" s="20">
        <v>1.2750005333099901</v>
      </c>
      <c r="H269" s="20">
        <v>2.66113828696402E-2</v>
      </c>
      <c r="I269" s="20">
        <v>122.23842030238001</v>
      </c>
      <c r="J269" s="20">
        <v>71.805189101761059</v>
      </c>
      <c r="K269" s="20">
        <v>0.91192590159236553</v>
      </c>
      <c r="L269" s="20">
        <f t="shared" si="12"/>
        <v>71.805044586558722</v>
      </c>
      <c r="M269" s="20">
        <f t="shared" si="13"/>
        <v>-0.91192406625294353</v>
      </c>
    </row>
    <row r="270" spans="1:13" x14ac:dyDescent="0.2">
      <c r="A270" s="23">
        <v>60.75</v>
      </c>
      <c r="B270" s="20">
        <v>72.343514870372005</v>
      </c>
      <c r="C270" s="20">
        <v>0.21812889665080401</v>
      </c>
      <c r="D270" s="20">
        <v>358.33860316250298</v>
      </c>
      <c r="E270" s="20">
        <v>-2.1760828214329599E-2</v>
      </c>
      <c r="F270" s="20">
        <v>-1.27874997544691</v>
      </c>
      <c r="G270" s="20">
        <v>1.2789351169430201</v>
      </c>
      <c r="H270" s="20">
        <v>2.6531032131607402E-2</v>
      </c>
      <c r="I270" s="20">
        <v>122.141622791974</v>
      </c>
      <c r="J270" s="20">
        <v>72.343989318427688</v>
      </c>
      <c r="K270" s="20">
        <v>0.9187686643440317</v>
      </c>
      <c r="L270" s="20">
        <f t="shared" si="12"/>
        <v>72.343843718835458</v>
      </c>
      <c r="M270" s="20">
        <f t="shared" si="13"/>
        <v>-0.91876681523288539</v>
      </c>
    </row>
    <row r="271" spans="1:13" x14ac:dyDescent="0.2">
      <c r="A271" s="23">
        <v>61</v>
      </c>
      <c r="B271" s="20">
        <v>72.883954149832206</v>
      </c>
      <c r="C271" s="20">
        <v>0.22458365721304399</v>
      </c>
      <c r="D271" s="20">
        <v>358.326695183693</v>
      </c>
      <c r="E271" s="20">
        <v>-2.1925693361722599E-2</v>
      </c>
      <c r="F271" s="20">
        <v>-1.28267036144712</v>
      </c>
      <c r="G271" s="20">
        <v>1.2828577443209701</v>
      </c>
      <c r="H271" s="20">
        <v>2.6450223136724099E-2</v>
      </c>
      <c r="I271" s="20">
        <v>122.04396122391501</v>
      </c>
      <c r="J271" s="20">
        <v>72.884446850891493</v>
      </c>
      <c r="K271" s="20">
        <v>0.92563247500632195</v>
      </c>
      <c r="L271" s="20">
        <f t="shared" si="12"/>
        <v>72.88430016357384</v>
      </c>
      <c r="M271" s="20">
        <f t="shared" si="13"/>
        <v>-0.92563061208109032</v>
      </c>
    </row>
    <row r="272" spans="1:13" x14ac:dyDescent="0.2">
      <c r="A272" s="23">
        <v>61.25</v>
      </c>
      <c r="B272" s="20">
        <v>73.426045085273302</v>
      </c>
      <c r="C272" s="20">
        <v>0.23112927229461799</v>
      </c>
      <c r="D272" s="20">
        <v>358.31475139766701</v>
      </c>
      <c r="E272" s="20">
        <v>-2.2091321860748799E-2</v>
      </c>
      <c r="F272" s="20">
        <v>-1.2865787010891101</v>
      </c>
      <c r="G272" s="20">
        <v>1.28676834768256</v>
      </c>
      <c r="H272" s="20">
        <v>2.6368961843460399E-2</v>
      </c>
      <c r="I272" s="20">
        <v>121.94544793731301</v>
      </c>
      <c r="J272" s="20">
        <v>73.426556635162555</v>
      </c>
      <c r="K272" s="20">
        <v>0.93251726926656453</v>
      </c>
      <c r="L272" s="20">
        <f t="shared" si="12"/>
        <v>73.426408856794154</v>
      </c>
      <c r="M272" s="20">
        <f t="shared" si="13"/>
        <v>-0.93251539248501591</v>
      </c>
    </row>
    <row r="273" spans="1:13" x14ac:dyDescent="0.2">
      <c r="A273" s="23">
        <v>61.5</v>
      </c>
      <c r="B273" s="20">
        <v>73.969782572567297</v>
      </c>
      <c r="C273" s="20">
        <v>0.237766296519132</v>
      </c>
      <c r="D273" s="20">
        <v>358.30277183968099</v>
      </c>
      <c r="E273" s="20">
        <v>-2.2257714409541801E-2</v>
      </c>
      <c r="F273" s="20">
        <v>-1.29047492731442</v>
      </c>
      <c r="G273" s="20">
        <v>1.29066686014552</v>
      </c>
      <c r="H273" s="20">
        <v>2.6287254225531999E-2</v>
      </c>
      <c r="I273" s="20">
        <v>121.846095298015</v>
      </c>
      <c r="J273" s="20">
        <v>73.970313578814469</v>
      </c>
      <c r="K273" s="20">
        <v>0.93942298245094391</v>
      </c>
      <c r="L273" s="20">
        <f t="shared" si="12"/>
        <v>73.970164706080254</v>
      </c>
      <c r="M273" s="20">
        <f t="shared" si="13"/>
        <v>-0.93942109177097688</v>
      </c>
    </row>
    <row r="274" spans="1:13" x14ac:dyDescent="0.2">
      <c r="A274" s="23">
        <v>61.75</v>
      </c>
      <c r="B274" s="20">
        <v>74.515161479410096</v>
      </c>
      <c r="C274" s="20">
        <v>0.24449528295626299</v>
      </c>
      <c r="D274" s="20">
        <v>358.29075654506499</v>
      </c>
      <c r="E274" s="20">
        <v>-2.24248716870242E-2</v>
      </c>
      <c r="F274" s="20">
        <v>-1.29435897394479</v>
      </c>
      <c r="G274" s="20">
        <v>1.2945532157086499</v>
      </c>
      <c r="H274" s="20">
        <v>2.6205106270936099E-2</v>
      </c>
      <c r="I274" s="20">
        <v>121.745915696629</v>
      </c>
      <c r="J274" s="20">
        <v>74.515712561355855</v>
      </c>
      <c r="K274" s="20">
        <v>0.94634954952921935</v>
      </c>
      <c r="L274" s="20">
        <f t="shared" si="12"/>
        <v>74.515562590951092</v>
      </c>
      <c r="M274" s="20">
        <f t="shared" si="13"/>
        <v>-0.94634764490886436</v>
      </c>
    </row>
    <row r="275" spans="1:13" x14ac:dyDescent="0.2">
      <c r="A275" s="23">
        <v>62</v>
      </c>
      <c r="B275" s="20">
        <v>75.062176645693896</v>
      </c>
      <c r="C275" s="20">
        <v>0.25131678309358202</v>
      </c>
      <c r="D275" s="20">
        <v>358.27870554922299</v>
      </c>
      <c r="E275" s="20">
        <v>-2.2592794352901201E-2</v>
      </c>
      <c r="F275" s="20">
        <v>-1.29823077568423</v>
      </c>
      <c r="G275" s="20">
        <v>1.2984273492538301</v>
      </c>
      <c r="H275" s="20">
        <v>2.6122523980994398E-2</v>
      </c>
      <c r="I275" s="20">
        <v>121.64492154655299</v>
      </c>
      <c r="J275" s="20">
        <v>75.062748434602725</v>
      </c>
      <c r="K275" s="20">
        <v>0.95329690511945475</v>
      </c>
      <c r="L275" s="20">
        <f t="shared" si="12"/>
        <v>75.062597363232896</v>
      </c>
      <c r="M275" s="20">
        <f t="shared" si="13"/>
        <v>-0.95329498651687095</v>
      </c>
    </row>
    <row r="276" spans="1:13" x14ac:dyDescent="0.2">
      <c r="A276" s="23">
        <v>62.25</v>
      </c>
      <c r="B276" s="20">
        <v>75.6108228838809</v>
      </c>
      <c r="C276" s="20">
        <v>0.25823134680864401</v>
      </c>
      <c r="D276" s="20">
        <v>358.26661888763499</v>
      </c>
      <c r="E276" s="20">
        <v>-2.2761483047652801E-2</v>
      </c>
      <c r="F276" s="20">
        <v>-1.30209026812074</v>
      </c>
      <c r="G276" s="20">
        <v>1.30228919654786</v>
      </c>
      <c r="H276" s="20">
        <v>2.6039513369398599E-2</v>
      </c>
      <c r="I276" s="20">
        <v>121.54312528201299</v>
      </c>
      <c r="J276" s="20">
        <v>75.61141602305149</v>
      </c>
      <c r="K276" s="20">
        <v>0.96026498349275402</v>
      </c>
      <c r="L276" s="20">
        <f t="shared" si="12"/>
        <v>75.611263847432696</v>
      </c>
      <c r="M276" s="20">
        <f t="shared" si="13"/>
        <v>-0.96026305086623631</v>
      </c>
    </row>
    <row r="277" spans="1:13" x14ac:dyDescent="0.2">
      <c r="A277" s="23">
        <v>62.5</v>
      </c>
      <c r="B277" s="20">
        <v>76.161094979376998</v>
      </c>
      <c r="C277" s="20">
        <v>0.26523952234135301</v>
      </c>
      <c r="D277" s="20">
        <v>358.254496595852</v>
      </c>
      <c r="E277" s="20">
        <v>-2.2930938392528698E-2</v>
      </c>
      <c r="F277" s="20">
        <v>-1.30593738772812</v>
      </c>
      <c r="G277" s="20">
        <v>1.30613869424411</v>
      </c>
      <c r="H277" s="20">
        <v>2.5956080461263499E-2</v>
      </c>
      <c r="I277" s="20">
        <v>121.440539356111</v>
      </c>
      <c r="J277" s="20">
        <v>76.161710124253105</v>
      </c>
      <c r="K277" s="20">
        <v>0.96725371857801445</v>
      </c>
      <c r="L277" s="20">
        <f t="shared" si="12"/>
        <v>76.161556841111747</v>
      </c>
      <c r="M277" s="20">
        <f t="shared" si="13"/>
        <v>-0.96725177188598821</v>
      </c>
    </row>
    <row r="278" spans="1:13" x14ac:dyDescent="0.2">
      <c r="A278" s="23">
        <v>62.75</v>
      </c>
      <c r="B278" s="20">
        <v>76.712987690906701</v>
      </c>
      <c r="C278" s="20">
        <v>0.27234185626660001</v>
      </c>
      <c r="D278" s="20">
        <v>358.24233870949899</v>
      </c>
      <c r="E278" s="20">
        <v>-2.3101160989542999E-2</v>
      </c>
      <c r="F278" s="20">
        <v>-1.3097720718674399</v>
      </c>
      <c r="G278" s="20">
        <v>1.3099757798841201</v>
      </c>
      <c r="H278" s="20">
        <v>2.5872231292183901E-2</v>
      </c>
      <c r="I278" s="20">
        <v>121.33717623889299</v>
      </c>
      <c r="J278" s="20">
        <v>76.713625509187139</v>
      </c>
      <c r="K278" s="20">
        <v>0.97426304396667673</v>
      </c>
      <c r="L278" s="20">
        <f t="shared" si="12"/>
        <v>76.713471115260305</v>
      </c>
      <c r="M278" s="20">
        <f t="shared" si="13"/>
        <v>-0.97426108316770299</v>
      </c>
    </row>
    <row r="279" spans="1:13" x14ac:dyDescent="0.2">
      <c r="A279" s="23">
        <v>63</v>
      </c>
      <c r="B279" s="20">
        <v>77.266495750888396</v>
      </c>
      <c r="C279" s="20">
        <v>0.27953889346718203</v>
      </c>
      <c r="D279" s="20">
        <v>358.23014526427301</v>
      </c>
      <c r="E279" s="20">
        <v>-2.32721514214707E-2</v>
      </c>
      <c r="F279" s="20">
        <v>-1.3135942587884899</v>
      </c>
      <c r="G279" s="20">
        <v>1.31380039189896</v>
      </c>
      <c r="H279" s="20">
        <v>2.5787971907298E-2</v>
      </c>
      <c r="I279" s="20">
        <v>121.233048415412</v>
      </c>
      <c r="J279" s="20">
        <v>77.267156922637398</v>
      </c>
      <c r="K279" s="20">
        <v>0.98129289291749511</v>
      </c>
      <c r="L279" s="20">
        <f t="shared" si="12"/>
        <v>77.267001414672578</v>
      </c>
      <c r="M279" s="20">
        <f t="shared" si="13"/>
        <v>-0.98129091797026691</v>
      </c>
    </row>
    <row r="280" spans="1:13" x14ac:dyDescent="0.2">
      <c r="A280" s="23">
        <v>63.25</v>
      </c>
      <c r="B280" s="20">
        <v>77.821613865810804</v>
      </c>
      <c r="C280" s="20">
        <v>0.28683117710700201</v>
      </c>
      <c r="D280" s="20">
        <v>358.21791629594202</v>
      </c>
      <c r="E280" s="20">
        <v>-2.3443910251844498E-2</v>
      </c>
      <c r="F280" s="20">
        <v>-1.3174038876310299</v>
      </c>
      <c r="G280" s="20">
        <v>1.31761246961056</v>
      </c>
      <c r="H280" s="20">
        <v>2.5703308360355899E-2</v>
      </c>
      <c r="I280" s="20">
        <v>121.128168383819</v>
      </c>
      <c r="J280" s="20">
        <v>77.822299083567472</v>
      </c>
      <c r="K280" s="20">
        <v>0.98834319836130691</v>
      </c>
      <c r="L280" s="20">
        <f t="shared" si="12"/>
        <v>77.822142458322986</v>
      </c>
      <c r="M280" s="20">
        <f t="shared" si="13"/>
        <v>-0.9883412092246554</v>
      </c>
    </row>
    <row r="281" spans="1:13" x14ac:dyDescent="0.2">
      <c r="A281" s="23">
        <v>63.5</v>
      </c>
      <c r="B281" s="20">
        <v>78.3783367166088</v>
      </c>
      <c r="C281" s="20">
        <v>0.29421924860454501</v>
      </c>
      <c r="D281" s="20">
        <v>358.205651840347</v>
      </c>
      <c r="E281" s="20">
        <v>-2.3616438024952901E-2</v>
      </c>
      <c r="F281" s="20">
        <v>-1.32120089842594</v>
      </c>
      <c r="G281" s="20">
        <v>1.3214119532327899</v>
      </c>
      <c r="H281" s="20">
        <v>2.5618246712795199E-2</v>
      </c>
      <c r="I281" s="20">
        <v>121.022548653454</v>
      </c>
      <c r="J281" s="20">
        <v>78.379046685496732</v>
      </c>
      <c r="K281" s="20">
        <v>0.99541389290580851</v>
      </c>
      <c r="L281" s="20">
        <f t="shared" si="12"/>
        <v>78.378888939741657</v>
      </c>
      <c r="M281" s="20">
        <f t="shared" si="13"/>
        <v>-0.99541188953870074</v>
      </c>
    </row>
    <row r="282" spans="1:13" x14ac:dyDescent="0.2">
      <c r="A282" s="23">
        <v>63.75</v>
      </c>
      <c r="B282" s="20">
        <v>78.936658959040898</v>
      </c>
      <c r="C282" s="20">
        <v>0.30170364760665003</v>
      </c>
      <c r="D282" s="20">
        <v>358.19335193339703</v>
      </c>
      <c r="E282" s="20">
        <v>-2.3789735265839398E-2</v>
      </c>
      <c r="F282" s="20">
        <v>-1.3249852320962301</v>
      </c>
      <c r="G282" s="20">
        <v>1.3251987838724899</v>
      </c>
      <c r="H282" s="20">
        <v>2.55327930328209E-2</v>
      </c>
      <c r="I282" s="20">
        <v>120.916201742954</v>
      </c>
      <c r="J282" s="20">
        <v>78.93739439687856</v>
      </c>
      <c r="K282" s="20">
        <v>1.0025049088403577</v>
      </c>
      <c r="L282" s="20">
        <f t="shared" si="12"/>
        <v>78.937235527391707</v>
      </c>
      <c r="M282" s="20">
        <f t="shared" si="13"/>
        <v>-1.0025028912018847</v>
      </c>
    </row>
    <row r="283" spans="1:13" x14ac:dyDescent="0.2">
      <c r="A283" s="23">
        <v>64</v>
      </c>
      <c r="B283" s="20">
        <v>79.496575224066603</v>
      </c>
      <c r="C283" s="20">
        <v>0.30928491196255897</v>
      </c>
      <c r="D283" s="20">
        <v>358.18101661107301</v>
      </c>
      <c r="E283" s="20">
        <v>-2.3963802480303002E-2</v>
      </c>
      <c r="F283" s="20">
        <v>-1.3287568304578701</v>
      </c>
      <c r="G283" s="20">
        <v>1.3289729035303</v>
      </c>
      <c r="H283" s="20">
        <v>2.5446953394493599E-2</v>
      </c>
      <c r="I283" s="20">
        <v>120.80914017837399</v>
      </c>
      <c r="J283" s="20">
        <v>79.497336861473698</v>
      </c>
      <c r="K283" s="20">
        <v>1.009616178140716</v>
      </c>
      <c r="L283" s="20">
        <f t="shared" si="12"/>
        <v>79.497176865046271</v>
      </c>
      <c r="M283" s="20">
        <f t="shared" si="13"/>
        <v>-1.0096141461901262</v>
      </c>
    </row>
    <row r="284" spans="1:13" x14ac:dyDescent="0.2">
      <c r="A284" s="23">
        <v>64.25</v>
      </c>
      <c r="B284" s="20">
        <v>80.058080118223799</v>
      </c>
      <c r="C284" s="20">
        <v>0.31696357769826999</v>
      </c>
      <c r="D284" s="20">
        <v>358.16864590942401</v>
      </c>
      <c r="E284" s="20">
        <v>-2.41386401548986E-2</v>
      </c>
      <c r="F284" s="20">
        <v>-1.3325156362205199</v>
      </c>
      <c r="G284" s="20">
        <v>1.3327342551014101</v>
      </c>
      <c r="H284" s="20">
        <v>2.53607338768231E-2</v>
      </c>
      <c r="I284" s="20">
        <v>120.701376491318</v>
      </c>
      <c r="J284" s="20">
        <v>80.058868698732155</v>
      </c>
      <c r="K284" s="20">
        <v>1.0167476324738984</v>
      </c>
      <c r="L284" s="20">
        <f t="shared" ref="L284:L347" si="14">SQRT(B284^2+C284^2)</f>
        <v>80.058707572165616</v>
      </c>
      <c r="M284" s="20">
        <f t="shared" ref="M284:M347" si="15">-L284/A$25*100</f>
        <v>-1.0167455861705703</v>
      </c>
    </row>
    <row r="285" spans="1:13" x14ac:dyDescent="0.2">
      <c r="A285" s="23">
        <v>64.5</v>
      </c>
      <c r="B285" s="20">
        <v>80.621168224007107</v>
      </c>
      <c r="C285" s="20">
        <v>0.32474017899116803</v>
      </c>
      <c r="D285" s="20">
        <v>358.15623986457001</v>
      </c>
      <c r="E285" s="20">
        <v>-2.43142487569399E-2</v>
      </c>
      <c r="F285" s="20">
        <v>-1.3362615929881401</v>
      </c>
      <c r="G285" s="20">
        <v>1.3364827823761201</v>
      </c>
      <c r="H285" s="20">
        <v>2.52741405628682E-2</v>
      </c>
      <c r="I285" s="20">
        <v>120.592923217088</v>
      </c>
      <c r="J285" s="20">
        <v>80.621984504169774</v>
      </c>
      <c r="K285" s="20">
        <v>1.0238992032029561</v>
      </c>
      <c r="L285" s="20">
        <f t="shared" si="14"/>
        <v>80.62182224427518</v>
      </c>
      <c r="M285" s="20">
        <f t="shared" si="15"/>
        <v>-1.0238971425063903</v>
      </c>
    </row>
    <row r="286" spans="1:13" x14ac:dyDescent="0.2">
      <c r="A286" s="23">
        <v>64.75</v>
      </c>
      <c r="B286" s="20">
        <v>81.185834100245899</v>
      </c>
      <c r="C286" s="20">
        <v>0.33261524814495802</v>
      </c>
      <c r="D286" s="20">
        <v>358.14379851269598</v>
      </c>
      <c r="E286" s="20">
        <v>-2.4490628734502601E-2</v>
      </c>
      <c r="F286" s="20">
        <v>-1.33999464525943</v>
      </c>
      <c r="G286" s="20">
        <v>1.3402184300403199</v>
      </c>
      <c r="H286" s="20">
        <v>2.51871795388449E-2</v>
      </c>
      <c r="I286" s="20">
        <v>120.48379289284</v>
      </c>
      <c r="J286" s="20">
        <v>81.186678849742052</v>
      </c>
      <c r="K286" s="20">
        <v>1.0310708213917241</v>
      </c>
      <c r="L286" s="20">
        <f t="shared" si="14"/>
        <v>81.18651545334329</v>
      </c>
      <c r="M286" s="20">
        <f t="shared" si="15"/>
        <v>-1.031068746261584</v>
      </c>
    </row>
    <row r="287" spans="1:13" x14ac:dyDescent="0.2">
      <c r="A287" s="23">
        <v>65</v>
      </c>
      <c r="B287" s="20">
        <v>81.752072282482999</v>
      </c>
      <c r="C287" s="20">
        <v>0.34058931556489302</v>
      </c>
      <c r="D287" s="20">
        <v>358.131321890057</v>
      </c>
      <c r="E287" s="20">
        <v>-2.4667780516428501E-2</v>
      </c>
      <c r="F287" s="20">
        <v>-1.34371473842815</v>
      </c>
      <c r="G287" s="20">
        <v>1.34394114367581</v>
      </c>
      <c r="H287" s="20">
        <v>2.50998568932401E-2</v>
      </c>
      <c r="I287" s="20">
        <v>120.373998055757</v>
      </c>
      <c r="J287" s="20">
        <v>81.752946284228585</v>
      </c>
      <c r="K287" s="20">
        <v>1.0382624178097031</v>
      </c>
      <c r="L287" s="20">
        <f t="shared" si="14"/>
        <v>81.752781748159506</v>
      </c>
      <c r="M287" s="20">
        <f t="shared" si="15"/>
        <v>-1.0382603282057787</v>
      </c>
    </row>
    <row r="288" spans="1:13" x14ac:dyDescent="0.2">
      <c r="A288" s="23">
        <v>65.25</v>
      </c>
      <c r="B288" s="20">
        <v>82.319877283352795</v>
      </c>
      <c r="C288" s="20">
        <v>0.348662909733302</v>
      </c>
      <c r="D288" s="20">
        <v>358.11881003297498</v>
      </c>
      <c r="E288" s="20">
        <v>-2.4845704512331101E-2</v>
      </c>
      <c r="F288" s="20">
        <v>-1.34742181878333</v>
      </c>
      <c r="G288" s="20">
        <v>1.3476508697604499</v>
      </c>
      <c r="H288" s="20">
        <v>2.5012178715932899E-2</v>
      </c>
      <c r="I288" s="20">
        <v>120.26355124123999</v>
      </c>
      <c r="J288" s="20">
        <v>82.320781333606845</v>
      </c>
      <c r="K288" s="20">
        <v>1.0454739229368071</v>
      </c>
      <c r="L288" s="20">
        <f t="shared" si="14"/>
        <v>82.320615654712441</v>
      </c>
      <c r="M288" s="20">
        <f t="shared" si="15"/>
        <v>-1.04547181881903</v>
      </c>
    </row>
    <row r="289" spans="1:13" x14ac:dyDescent="0.2">
      <c r="A289" s="23">
        <v>65.5</v>
      </c>
      <c r="B289" s="20">
        <v>82.889243592960298</v>
      </c>
      <c r="C289" s="20">
        <v>0.35683655718541402</v>
      </c>
      <c r="D289" s="20">
        <v>358.10626297783801</v>
      </c>
      <c r="E289" s="20">
        <v>-2.50244011126022E-2</v>
      </c>
      <c r="F289" s="20">
        <v>-1.3511158335093101</v>
      </c>
      <c r="G289" s="20">
        <v>1.3513475556682699</v>
      </c>
      <c r="H289" s="20">
        <v>2.49241510973237E-2</v>
      </c>
      <c r="I289" s="20">
        <v>120.15246498110901</v>
      </c>
      <c r="J289" s="20">
        <v>82.890178501432715</v>
      </c>
      <c r="K289" s="20">
        <v>1.0527052669681956</v>
      </c>
      <c r="L289" s="20">
        <f t="shared" si="14"/>
        <v>82.890011676568449</v>
      </c>
      <c r="M289" s="20">
        <f t="shared" si="15"/>
        <v>-1.0527031482966303</v>
      </c>
    </row>
    <row r="290" spans="1:13" x14ac:dyDescent="0.2">
      <c r="A290" s="23">
        <v>65.75</v>
      </c>
      <c r="B290" s="20">
        <v>83.460165679259504</v>
      </c>
      <c r="C290" s="20">
        <v>0.365110782485491</v>
      </c>
      <c r="D290" s="20">
        <v>358.09368076110098</v>
      </c>
      <c r="E290" s="20">
        <v>-2.52038706884193E-2</v>
      </c>
      <c r="F290" s="20">
        <v>-1.3547967306856701</v>
      </c>
      <c r="G290" s="20">
        <v>1.3550311496693599</v>
      </c>
      <c r="H290" s="20">
        <v>2.48357801274703E-2</v>
      </c>
      <c r="I290" s="20">
        <v>120.04075180181501</v>
      </c>
      <c r="J290" s="20">
        <v>83.461132269215781</v>
      </c>
      <c r="K290" s="20">
        <v>1.0599563798190406</v>
      </c>
      <c r="L290" s="20">
        <f t="shared" si="14"/>
        <v>83.460964295249624</v>
      </c>
      <c r="M290" s="20">
        <f t="shared" si="15"/>
        <v>-1.05995424655391</v>
      </c>
    </row>
    <row r="291" spans="1:13" x14ac:dyDescent="0.2">
      <c r="A291" s="23">
        <v>66</v>
      </c>
      <c r="B291" s="20">
        <v>84.032637988431802</v>
      </c>
      <c r="C291" s="20">
        <v>0.37348610820325101</v>
      </c>
      <c r="D291" s="20">
        <v>358.081063419283</v>
      </c>
      <c r="E291" s="20">
        <v>-2.53841135917541E-2</v>
      </c>
      <c r="F291" s="20">
        <v>-1.3584644592870501</v>
      </c>
      <c r="G291" s="20">
        <v>1.3587016009296899</v>
      </c>
      <c r="H291" s="20">
        <v>2.47470718952317E-2</v>
      </c>
      <c r="I291" s="20">
        <v>119.92842422267999</v>
      </c>
      <c r="J291" s="20">
        <v>84.033637096802252</v>
      </c>
      <c r="K291" s="20">
        <v>1.0672271911293887</v>
      </c>
      <c r="L291" s="20">
        <f t="shared" si="14"/>
        <v>84.033467970611881</v>
      </c>
      <c r="M291" s="20">
        <f t="shared" si="15"/>
        <v>-1.0672250432310399</v>
      </c>
    </row>
    <row r="292" spans="1:13" x14ac:dyDescent="0.2">
      <c r="A292" s="23">
        <v>66.25</v>
      </c>
      <c r="B292" s="20">
        <v>84.606654945265007</v>
      </c>
      <c r="C292" s="20">
        <v>0.38196305489061699</v>
      </c>
      <c r="D292" s="20">
        <v>358.06841098897002</v>
      </c>
      <c r="E292" s="20">
        <v>-2.5565130155382601E-2</v>
      </c>
      <c r="F292" s="20">
        <v>-1.3621189691828199</v>
      </c>
      <c r="G292" s="20">
        <v>1.3623588595107901</v>
      </c>
      <c r="H292" s="20">
        <v>2.46580324874195E-2</v>
      </c>
      <c r="I292" s="20">
        <v>119.815494754136</v>
      </c>
      <c r="J292" s="20">
        <v>84.607687422748029</v>
      </c>
      <c r="K292" s="20">
        <v>1.0745176302689001</v>
      </c>
      <c r="L292" s="20">
        <f t="shared" si="14"/>
        <v>84.607517141223553</v>
      </c>
      <c r="M292" s="20">
        <f t="shared" si="15"/>
        <v>-1.0745154676978372</v>
      </c>
    </row>
    <row r="293" spans="1:13" x14ac:dyDescent="0.2">
      <c r="A293" s="23">
        <v>66.5</v>
      </c>
      <c r="B293" s="20">
        <v>85.182210953530898</v>
      </c>
      <c r="C293" s="20">
        <v>0.39054214105875201</v>
      </c>
      <c r="D293" s="20">
        <v>358.05572350681098</v>
      </c>
      <c r="E293" s="20">
        <v>-2.5746920692895799E-2</v>
      </c>
      <c r="F293" s="20">
        <v>-1.3657602111366201</v>
      </c>
      <c r="G293" s="20">
        <v>1.36600287636927</v>
      </c>
      <c r="H293" s="20">
        <v>2.4568667987957999E-2</v>
      </c>
      <c r="I293" s="20">
        <v>119.70197589599501</v>
      </c>
      <c r="J293" s="20">
        <v>85.183277664700597</v>
      </c>
      <c r="K293" s="20">
        <v>1.0818276263416975</v>
      </c>
      <c r="L293" s="20">
        <f t="shared" si="14"/>
        <v>85.183106224742602</v>
      </c>
      <c r="M293" s="20">
        <f t="shared" si="15"/>
        <v>-1.0818254490585584</v>
      </c>
    </row>
    <row r="294" spans="1:13" x14ac:dyDescent="0.2">
      <c r="A294" s="23">
        <v>66.75</v>
      </c>
      <c r="B294" s="20">
        <v>85.759300396364196</v>
      </c>
      <c r="C294" s="20">
        <v>0.39922388315541402</v>
      </c>
      <c r="D294" s="20">
        <v>358.04300100951798</v>
      </c>
      <c r="E294" s="20">
        <v>-2.5929485498711002E-2</v>
      </c>
      <c r="F294" s="20">
        <v>-1.3693881368057801</v>
      </c>
      <c r="G294" s="20">
        <v>1.36963360335625</v>
      </c>
      <c r="H294" s="20">
        <v>2.4478984477051199E-2</v>
      </c>
      <c r="I294" s="20">
        <v>119.587880135726</v>
      </c>
      <c r="J294" s="20">
        <v>85.760402219774548</v>
      </c>
      <c r="K294" s="20">
        <v>1.0891571081911366</v>
      </c>
      <c r="L294" s="20">
        <f t="shared" si="14"/>
        <v>85.760229618295185</v>
      </c>
      <c r="M294" s="20">
        <f t="shared" si="15"/>
        <v>-1.0891549161567056</v>
      </c>
    </row>
    <row r="295" spans="1:13" x14ac:dyDescent="0.2">
      <c r="A295" s="23">
        <v>67</v>
      </c>
      <c r="B295" s="20">
        <v>86.337917636639602</v>
      </c>
      <c r="C295" s="20">
        <v>0.40800879554261898</v>
      </c>
      <c r="D295" s="20">
        <v>358.03024353386797</v>
      </c>
      <c r="E295" s="20">
        <v>-2.6112824848085699E-2</v>
      </c>
      <c r="F295" s="20">
        <v>-1.3730026987406301</v>
      </c>
      <c r="G295" s="20">
        <v>1.3732509932166801</v>
      </c>
      <c r="H295" s="20">
        <v>2.4388988030359202E-2</v>
      </c>
      <c r="I295" s="20">
        <v>119.47321994674699</v>
      </c>
      <c r="J295" s="20">
        <v>86.339055464929643</v>
      </c>
      <c r="K295" s="20">
        <v>1.0965060044046067</v>
      </c>
      <c r="L295" s="20">
        <f t="shared" si="14"/>
        <v>86.338881698852248</v>
      </c>
      <c r="M295" s="20">
        <f t="shared" si="15"/>
        <v>-1.0965037975798095</v>
      </c>
    </row>
    <row r="296" spans="1:13" x14ac:dyDescent="0.2">
      <c r="A296" s="23">
        <v>67.25</v>
      </c>
      <c r="B296" s="20">
        <v>86.918057017349895</v>
      </c>
      <c r="C296" s="20">
        <v>0.41689739047461299</v>
      </c>
      <c r="D296" s="20">
        <v>358.01745111669999</v>
      </c>
      <c r="E296" s="20">
        <v>-2.6296938997130499E-2</v>
      </c>
      <c r="F296" s="20">
        <v>-1.3766038503836799</v>
      </c>
      <c r="G296" s="20">
        <v>1.37685499958848</v>
      </c>
      <c r="H296" s="20">
        <v>2.4298684718182299E-2</v>
      </c>
      <c r="I296" s="20">
        <v>119.358007786744</v>
      </c>
      <c r="J296" s="20">
        <v>86.919231757348641</v>
      </c>
      <c r="K296" s="20">
        <v>1.1038742433183277</v>
      </c>
      <c r="L296" s="20">
        <f t="shared" si="14"/>
        <v>86.919056823607278</v>
      </c>
      <c r="M296" s="20">
        <f t="shared" si="15"/>
        <v>-1.1038720216642279</v>
      </c>
    </row>
    <row r="297" spans="1:13" x14ac:dyDescent="0.2">
      <c r="A297" s="23">
        <v>67.5</v>
      </c>
      <c r="B297" s="20">
        <v>87.4997128619828</v>
      </c>
      <c r="C297" s="20">
        <v>0.42589017807615498</v>
      </c>
      <c r="D297" s="20">
        <v>358.00462379491501</v>
      </c>
      <c r="E297" s="20">
        <v>-2.6481828182825198E-2</v>
      </c>
      <c r="F297" s="20">
        <v>-1.38019154606867</v>
      </c>
      <c r="G297" s="20">
        <v>1.38044557700162</v>
      </c>
      <c r="H297" s="20">
        <v>2.42080806046534E-2</v>
      </c>
      <c r="I297" s="20">
        <v>119.242256095995</v>
      </c>
      <c r="J297" s="20">
        <v>87.500925434811364</v>
      </c>
      <c r="K297" s="20">
        <v>1.1112617530221045</v>
      </c>
      <c r="L297" s="20">
        <f t="shared" si="14"/>
        <v>87.500749330352704</v>
      </c>
      <c r="M297" s="20">
        <f t="shared" si="15"/>
        <v>-1.1112595164999244</v>
      </c>
    </row>
    <row r="298" spans="1:13" x14ac:dyDescent="0.2">
      <c r="A298" s="23">
        <v>67.75</v>
      </c>
      <c r="B298" s="20">
        <v>88.082879474897894</v>
      </c>
      <c r="C298" s="20">
        <v>0.43498766632111602</v>
      </c>
      <c r="D298" s="20">
        <v>357.991761605477</v>
      </c>
      <c r="E298" s="20">
        <v>-2.66674926230339E-2</v>
      </c>
      <c r="F298" s="20">
        <v>-1.3837657410195101</v>
      </c>
      <c r="G298" s="20">
        <v>1.3840226808770399</v>
      </c>
      <c r="H298" s="20">
        <v>2.4117181746939699E-2</v>
      </c>
      <c r="I298" s="20">
        <v>119.12597729572001</v>
      </c>
      <c r="J298" s="20">
        <v>88.084130816074961</v>
      </c>
      <c r="K298" s="20">
        <v>1.118668461364152</v>
      </c>
      <c r="L298" s="20">
        <f t="shared" si="14"/>
        <v>88.083953537856374</v>
      </c>
      <c r="M298" s="20">
        <f t="shared" si="15"/>
        <v>-1.1186662099352507</v>
      </c>
    </row>
    <row r="299" spans="1:13" x14ac:dyDescent="0.2">
      <c r="A299" s="23">
        <v>68</v>
      </c>
      <c r="B299" s="20">
        <v>88.667551141702802</v>
      </c>
      <c r="C299" s="20">
        <v>0.44419036101139397</v>
      </c>
      <c r="D299" s="20">
        <v>357.97886458540899</v>
      </c>
      <c r="E299" s="20">
        <v>-2.68539325165232E-2</v>
      </c>
      <c r="F299" s="20">
        <v>-1.3873263913490701</v>
      </c>
      <c r="G299" s="20">
        <v>1.38758626752546</v>
      </c>
      <c r="H299" s="20">
        <v>2.4025994194452699E-2</v>
      </c>
      <c r="I299" s="20">
        <v>119.00918378644199</v>
      </c>
      <c r="J299" s="20">
        <v>88.668842201246377</v>
      </c>
      <c r="K299" s="20">
        <v>1.1260942959558289</v>
      </c>
      <c r="L299" s="20">
        <f t="shared" si="14"/>
        <v>88.6686637462373</v>
      </c>
      <c r="M299" s="20">
        <f t="shared" si="15"/>
        <v>-1.1260920295817181</v>
      </c>
    </row>
    <row r="300" spans="1:13" x14ac:dyDescent="0.2">
      <c r="A300" s="23">
        <v>68.25</v>
      </c>
      <c r="B300" s="20">
        <v>89.253722129629296</v>
      </c>
      <c r="C300" s="20">
        <v>0.45349876575613601</v>
      </c>
      <c r="D300" s="20">
        <v>357.96593277179699</v>
      </c>
      <c r="E300" s="20">
        <v>-2.7041148042979399E-2</v>
      </c>
      <c r="F300" s="20">
        <v>-1.3908734540579299</v>
      </c>
      <c r="G300" s="20">
        <v>1.3911362941460901</v>
      </c>
      <c r="H300" s="20">
        <v>2.39345239880672E-2</v>
      </c>
      <c r="I300" s="20">
        <v>118.89188794637001</v>
      </c>
      <c r="J300" s="20">
        <v>89.255053872161028</v>
      </c>
      <c r="K300" s="20">
        <v>1.1335391841764453</v>
      </c>
      <c r="L300" s="20">
        <f t="shared" si="14"/>
        <v>89.254874237341355</v>
      </c>
      <c r="M300" s="20">
        <f t="shared" si="15"/>
        <v>-1.1335369028187694</v>
      </c>
    </row>
    <row r="301" spans="1:13" x14ac:dyDescent="0.2">
      <c r="A301" s="23">
        <v>68.5</v>
      </c>
      <c r="B301" s="20">
        <v>89.841386687907899</v>
      </c>
      <c r="C301" s="20">
        <v>0.46291338195128501</v>
      </c>
      <c r="D301" s="20">
        <v>357.95296620178402</v>
      </c>
      <c r="E301" s="20">
        <v>-2.72291393630286E-2</v>
      </c>
      <c r="F301" s="20">
        <v>-1.3944068870328901</v>
      </c>
      <c r="G301" s="20">
        <v>1.39467271882518</v>
      </c>
      <c r="H301" s="20">
        <v>2.3842777159348998E-2</v>
      </c>
      <c r="I301" s="20">
        <v>118.77410212980099</v>
      </c>
      <c r="J301" s="20">
        <v>89.842760092752997</v>
      </c>
      <c r="K301" s="20">
        <v>1.1410030531779631</v>
      </c>
      <c r="L301" s="20">
        <f t="shared" si="14"/>
        <v>89.842579275115341</v>
      </c>
      <c r="M301" s="20">
        <f t="shared" si="15"/>
        <v>-1.141000756798529</v>
      </c>
    </row>
    <row r="302" spans="1:13" x14ac:dyDescent="0.2">
      <c r="A302" s="23">
        <v>68.75</v>
      </c>
      <c r="B302" s="20">
        <v>90.430539048143103</v>
      </c>
      <c r="C302" s="20">
        <v>0.47243470875944099</v>
      </c>
      <c r="D302" s="20">
        <v>357.939964912574</v>
      </c>
      <c r="E302" s="20">
        <v>-2.74179066182565E-2</v>
      </c>
      <c r="F302" s="20">
        <v>-1.39792664904553</v>
      </c>
      <c r="G302" s="20">
        <v>1.3981955005345199</v>
      </c>
      <c r="H302" s="20">
        <v>2.3750759729792601E-2</v>
      </c>
      <c r="I302" s="20">
        <v>118.65583866553401</v>
      </c>
      <c r="J302" s="20">
        <v>90.431955109433687</v>
      </c>
      <c r="K302" s="20">
        <v>1.148485829889808</v>
      </c>
      <c r="L302" s="20">
        <f t="shared" si="14"/>
        <v>90.431773105981819</v>
      </c>
      <c r="M302" s="20">
        <f t="shared" si="15"/>
        <v>-1.1484835184505631</v>
      </c>
    </row>
    <row r="303" spans="1:13" x14ac:dyDescent="0.2">
      <c r="A303" s="23">
        <v>69</v>
      </c>
      <c r="B303" s="20">
        <v>91.021173424686907</v>
      </c>
      <c r="C303" s="20">
        <v>0.48206324309003701</v>
      </c>
      <c r="D303" s="20">
        <v>357.92692894143198</v>
      </c>
      <c r="E303" s="20">
        <v>-2.7607449931229901E-2</v>
      </c>
      <c r="F303" s="20">
        <v>-1.40143269975047</v>
      </c>
      <c r="G303" s="20">
        <v>1.4017045991297801</v>
      </c>
      <c r="H303" s="20">
        <v>2.3658477710066898E-2</v>
      </c>
      <c r="I303" s="20">
        <v>118.537109855308</v>
      </c>
      <c r="J303" s="20">
        <v>91.022633151463509</v>
      </c>
      <c r="K303" s="20">
        <v>1.1559874410235866</v>
      </c>
      <c r="L303" s="20">
        <f t="shared" si="14"/>
        <v>91.022449959212096</v>
      </c>
      <c r="M303" s="20">
        <f t="shared" si="15"/>
        <v>-1.1559851144866176</v>
      </c>
    </row>
    <row r="304" spans="1:13" x14ac:dyDescent="0.2">
      <c r="A304" s="23">
        <v>69.25</v>
      </c>
      <c r="B304" s="20">
        <v>91.613284015012297</v>
      </c>
      <c r="C304" s="20">
        <v>0.49179947957983999</v>
      </c>
      <c r="D304" s="20">
        <v>357.91385832567801</v>
      </c>
      <c r="E304" s="20">
        <v>-2.7797769405519101E-2</v>
      </c>
      <c r="F304" s="20">
        <v>-1.4049249996836699</v>
      </c>
      <c r="G304" s="20">
        <v>1.4051999753487301</v>
      </c>
      <c r="H304" s="20">
        <v>2.35659370992711E-2</v>
      </c>
      <c r="I304" s="20">
        <v>118.41792797225899</v>
      </c>
      <c r="J304" s="20">
        <v>91.614788431322722</v>
      </c>
      <c r="K304" s="20">
        <v>1.1635078130777985</v>
      </c>
      <c r="L304" s="20">
        <f t="shared" si="14"/>
        <v>91.614604047299267</v>
      </c>
      <c r="M304" s="20">
        <f t="shared" si="15"/>
        <v>-1.1635054714053548</v>
      </c>
    </row>
    <row r="305" spans="1:13" x14ac:dyDescent="0.2">
      <c r="A305" s="23">
        <v>69.5</v>
      </c>
      <c r="B305" s="20">
        <v>92.2068650000856</v>
      </c>
      <c r="C305" s="20">
        <v>0.50164391057376301</v>
      </c>
      <c r="D305" s="20">
        <v>357.900753102691</v>
      </c>
      <c r="E305" s="20">
        <v>-2.7988865125721199E-2</v>
      </c>
      <c r="F305" s="20">
        <v>-1.4084035102605501</v>
      </c>
      <c r="G305" s="20">
        <v>1.4086815908093899</v>
      </c>
      <c r="H305" s="20">
        <v>2.3473143884199799E-2</v>
      </c>
      <c r="I305" s="20">
        <v>118.298305259393</v>
      </c>
      <c r="J305" s="20">
        <v>92.208415145087116</v>
      </c>
      <c r="K305" s="20">
        <v>1.1710468723426064</v>
      </c>
      <c r="L305" s="20">
        <f t="shared" si="14"/>
        <v>92.208229566330075</v>
      </c>
      <c r="M305" s="20">
        <f t="shared" si="15"/>
        <v>-1.1710445154970761</v>
      </c>
    </row>
    <row r="306" spans="1:13" x14ac:dyDescent="0.2">
      <c r="A306" s="23">
        <v>69.75</v>
      </c>
      <c r="B306" s="20">
        <v>92.801910544738107</v>
      </c>
      <c r="C306" s="20">
        <v>0.51159702610600299</v>
      </c>
      <c r="D306" s="20">
        <v>357.887613309909</v>
      </c>
      <c r="E306" s="20">
        <v>-2.8180737157484599E-2</v>
      </c>
      <c r="F306" s="20">
        <v>-1.4118681937739901</v>
      </c>
      <c r="G306" s="20">
        <v>1.4121494080079999</v>
      </c>
      <c r="H306" s="20">
        <v>2.3380104038617601E-2</v>
      </c>
      <c r="I306" s="20">
        <v>118.178253928076</v>
      </c>
      <c r="J306" s="20">
        <v>92.803507472796525</v>
      </c>
      <c r="K306" s="20">
        <v>1.1786045449045159</v>
      </c>
      <c r="L306" s="20">
        <f t="shared" si="14"/>
        <v>92.803320696355982</v>
      </c>
      <c r="M306" s="20">
        <f t="shared" si="15"/>
        <v>-1.1786021728484353</v>
      </c>
    </row>
    <row r="307" spans="1:13" x14ac:dyDescent="0.2">
      <c r="A307" s="23">
        <v>70</v>
      </c>
      <c r="B307" s="20">
        <v>93.398414798036896</v>
      </c>
      <c r="C307" s="20">
        <v>0.521659313881497</v>
      </c>
      <c r="D307" s="20">
        <v>357.87443898482502</v>
      </c>
      <c r="E307" s="20">
        <v>-2.8373385547534401E-2</v>
      </c>
      <c r="F307" s="20">
        <v>-1.41531901339226</v>
      </c>
      <c r="G307" s="20">
        <v>1.41560339031703</v>
      </c>
      <c r="H307" s="20">
        <v>2.3286823522543399E-2</v>
      </c>
      <c r="I307" s="20">
        <v>118.05778615655299</v>
      </c>
      <c r="J307" s="20">
        <v>93.400059578825619</v>
      </c>
      <c r="K307" s="20">
        <v>1.1861807566510854</v>
      </c>
      <c r="L307" s="20">
        <f t="shared" si="14"/>
        <v>93.39987160176355</v>
      </c>
      <c r="M307" s="20">
        <f t="shared" si="15"/>
        <v>-1.1861783693471417</v>
      </c>
    </row>
    <row r="308" spans="1:13" x14ac:dyDescent="0.2">
      <c r="A308" s="23">
        <v>70.25</v>
      </c>
      <c r="B308" s="20">
        <v>93.996371893655194</v>
      </c>
      <c r="C308" s="20">
        <v>0.53183125925769903</v>
      </c>
      <c r="D308" s="20">
        <v>357.86123016498902</v>
      </c>
      <c r="E308" s="20">
        <v>-2.8566810323698798E-2</v>
      </c>
      <c r="F308" s="20">
        <v>-1.41875593315682</v>
      </c>
      <c r="G308" s="20">
        <v>1.41904350198285</v>
      </c>
      <c r="H308" s="20">
        <v>2.31933082815442E-2</v>
      </c>
      <c r="I308" s="20">
        <v>117.936914088474</v>
      </c>
      <c r="J308" s="20">
        <v>93.998065612254209</v>
      </c>
      <c r="K308" s="20">
        <v>1.1937754332756285</v>
      </c>
      <c r="L308" s="20">
        <f t="shared" si="14"/>
        <v>93.997876431644215</v>
      </c>
      <c r="M308" s="20">
        <f t="shared" si="15"/>
        <v>-1.1937730306866565</v>
      </c>
    </row>
    <row r="309" spans="1:13" x14ac:dyDescent="0.2">
      <c r="A309" s="23">
        <v>70.5</v>
      </c>
      <c r="B309" s="20">
        <v>94.595775950240395</v>
      </c>
      <c r="C309" s="20">
        <v>0.54211334522667498</v>
      </c>
      <c r="D309" s="20">
        <v>357.84798688800601</v>
      </c>
      <c r="E309" s="20">
        <v>-2.8761011494936501E-2</v>
      </c>
      <c r="F309" s="20">
        <v>-1.4221789179800199</v>
      </c>
      <c r="G309" s="20">
        <v>1.42246970812352</v>
      </c>
      <c r="H309" s="20">
        <v>2.3099564246039098E-2</v>
      </c>
      <c r="I309" s="20">
        <v>117.81564983144899</v>
      </c>
      <c r="J309" s="20">
        <v>94.597519707234028</v>
      </c>
      <c r="K309" s="20">
        <v>1.2013885002818723</v>
      </c>
      <c r="L309" s="20">
        <f t="shared" si="14"/>
        <v>94.597329320161847</v>
      </c>
      <c r="M309" s="20">
        <f t="shared" si="15"/>
        <v>-1.2013860823708611</v>
      </c>
    </row>
    <row r="310" spans="1:13" x14ac:dyDescent="0.2">
      <c r="A310" s="23">
        <v>70.75</v>
      </c>
      <c r="B310" s="20">
        <v>95.196621071783198</v>
      </c>
      <c r="C310" s="20">
        <v>0.55250605239752604</v>
      </c>
      <c r="D310" s="20">
        <v>357.83470919153802</v>
      </c>
      <c r="E310" s="20">
        <v>-2.8955989051365202E-2</v>
      </c>
      <c r="F310" s="20">
        <v>-1.4255879336427</v>
      </c>
      <c r="G310" s="20">
        <v>1.42588197472638</v>
      </c>
      <c r="H310" s="20">
        <v>2.3005597330613099E-2</v>
      </c>
      <c r="I310" s="20">
        <v>117.69400545561901</v>
      </c>
      <c r="J310" s="20">
        <v>95.198415983357393</v>
      </c>
      <c r="K310" s="20">
        <v>1.2090198829886389</v>
      </c>
      <c r="L310" s="20">
        <f t="shared" si="14"/>
        <v>95.198224386921282</v>
      </c>
      <c r="M310" s="20">
        <f t="shared" si="15"/>
        <v>-1.2090174497187365</v>
      </c>
    </row>
    <row r="311" spans="1:13" x14ac:dyDescent="0.2">
      <c r="A311" s="23">
        <v>71</v>
      </c>
      <c r="B311" s="20">
        <v>95.798901347983701</v>
      </c>
      <c r="C311" s="20">
        <v>0.56300985897912503</v>
      </c>
      <c r="D311" s="20">
        <v>357.82139711329899</v>
      </c>
      <c r="E311" s="20">
        <v>-2.9151742964290801E-2</v>
      </c>
      <c r="F311" s="20">
        <v>-1.4289829467916699</v>
      </c>
      <c r="G311" s="20">
        <v>1.42928026864547</v>
      </c>
      <c r="H311" s="20">
        <v>2.2911413433340199E-2</v>
      </c>
      <c r="I311" s="20">
        <v>117.571992992246</v>
      </c>
      <c r="J311" s="20">
        <v>95.800748546025702</v>
      </c>
      <c r="K311" s="20">
        <v>1.2166695065345265</v>
      </c>
      <c r="L311" s="20">
        <f t="shared" si="14"/>
        <v>95.800555737333909</v>
      </c>
      <c r="M311" s="20">
        <f t="shared" si="15"/>
        <v>-1.2166670578690075</v>
      </c>
    </row>
    <row r="312" spans="1:13" x14ac:dyDescent="0.2">
      <c r="A312" s="23">
        <v>71.25</v>
      </c>
      <c r="B312" s="20">
        <v>96.402610854617706</v>
      </c>
      <c r="C312" s="20">
        <v>0.573625240763182</v>
      </c>
      <c r="D312" s="20">
        <v>357.808050691061</v>
      </c>
      <c r="E312" s="20">
        <v>-2.9348273186237998E-2</v>
      </c>
      <c r="F312" s="20">
        <v>-1.4323639249371201</v>
      </c>
      <c r="G312" s="20">
        <v>1.43266455759898</v>
      </c>
      <c r="H312" s="20">
        <v>2.2817018435117999E-2</v>
      </c>
      <c r="I312" s="20">
        <v>117.449624432329</v>
      </c>
      <c r="J312" s="20">
        <v>96.404511486808644</v>
      </c>
      <c r="K312" s="20">
        <v>1.2243372958824699</v>
      </c>
      <c r="L312" s="20">
        <f t="shared" si="14"/>
        <v>96.404317462983457</v>
      </c>
      <c r="M312" s="20">
        <f t="shared" si="15"/>
        <v>-1.2243348317847873</v>
      </c>
    </row>
    <row r="313" spans="1:13" x14ac:dyDescent="0.2">
      <c r="A313" s="23">
        <v>71.5</v>
      </c>
      <c r="B313" s="20">
        <v>97.0077436539015</v>
      </c>
      <c r="C313" s="20">
        <v>0.58435267110762301</v>
      </c>
      <c r="D313" s="20">
        <v>357.79466996264603</v>
      </c>
      <c r="E313" s="20">
        <v>-2.95455796509815E-2</v>
      </c>
      <c r="F313" s="20">
        <v>-1.4357308364499</v>
      </c>
      <c r="G313" s="20">
        <v>1.4360348101665299</v>
      </c>
      <c r="H313" s="20">
        <v>2.2722418199010799E-2</v>
      </c>
      <c r="I313" s="20">
        <v>117.326911725231</v>
      </c>
      <c r="J313" s="20">
        <v>97.00969888381654</v>
      </c>
      <c r="K313" s="20">
        <v>1.23202317582447</v>
      </c>
      <c r="L313" s="20">
        <f t="shared" si="14"/>
        <v>97.009503641990136</v>
      </c>
      <c r="M313" s="20">
        <f t="shared" si="15"/>
        <v>-1.2320206962582028</v>
      </c>
    </row>
    <row r="314" spans="1:13" x14ac:dyDescent="0.2">
      <c r="A314" s="23">
        <v>71.75</v>
      </c>
      <c r="B314" s="20">
        <v>97.614293794855399</v>
      </c>
      <c r="C314" s="20">
        <v>0.59519262092029901</v>
      </c>
      <c r="D314" s="20">
        <v>357.78125496593202</v>
      </c>
      <c r="E314" s="20">
        <v>-2.9743662273578102E-2</v>
      </c>
      <c r="F314" s="20">
        <v>-1.4390836505587099</v>
      </c>
      <c r="G314" s="20">
        <v>1.43939099578635</v>
      </c>
      <c r="H314" s="20">
        <v>2.2627618569604099E-2</v>
      </c>
      <c r="I314" s="20">
        <v>117.203866777336</v>
      </c>
      <c r="J314" s="20">
        <v>97.616304802055751</v>
      </c>
      <c r="K314" s="20">
        <v>1.2397270709861081</v>
      </c>
      <c r="L314" s="20">
        <f t="shared" si="14"/>
        <v>97.616108339373696</v>
      </c>
      <c r="M314" s="20">
        <f t="shared" si="15"/>
        <v>-1.2397245759150048</v>
      </c>
    </row>
    <row r="315" spans="1:13" x14ac:dyDescent="0.2">
      <c r="A315" s="23">
        <v>72</v>
      </c>
      <c r="B315" s="20">
        <v>98.222255313665897</v>
      </c>
      <c r="C315" s="20">
        <v>0.606145558643014</v>
      </c>
      <c r="D315" s="20">
        <v>357.76780573884798</v>
      </c>
      <c r="E315" s="20">
        <v>-2.9942520950400502E-2</v>
      </c>
      <c r="F315" s="20">
        <v>-1.44242233734721</v>
      </c>
      <c r="G315" s="20">
        <v>1.4427330847523601</v>
      </c>
      <c r="H315" s="20">
        <v>2.2532625372368699E-2</v>
      </c>
      <c r="I315" s="20">
        <v>117.080501450721</v>
      </c>
      <c r="J315" s="20">
        <v>98.224323293795479</v>
      </c>
      <c r="K315" s="20">
        <v>1.2474489058312028</v>
      </c>
      <c r="L315" s="20">
        <f t="shared" si="14"/>
        <v>98.224125607414962</v>
      </c>
      <c r="M315" s="20">
        <f t="shared" si="15"/>
        <v>-1.2474463952191599</v>
      </c>
    </row>
    <row r="316" spans="1:13" x14ac:dyDescent="0.2">
      <c r="A316" s="23">
        <v>72.25</v>
      </c>
      <c r="B316" s="20">
        <v>98.8316222340476</v>
      </c>
      <c r="C316" s="20">
        <v>0.61721195023586695</v>
      </c>
      <c r="D316" s="20">
        <v>357.75432231937498</v>
      </c>
      <c r="E316" s="20">
        <v>-3.01421555591707E-2</v>
      </c>
      <c r="F316" s="20">
        <v>-1.4457468677510299</v>
      </c>
      <c r="G316" s="20">
        <v>1.4460610482112</v>
      </c>
      <c r="H316" s="20">
        <v>2.24374444130357E-2</v>
      </c>
      <c r="I316" s="20">
        <v>116.95682756185001</v>
      </c>
      <c r="J316" s="20">
        <v>98.833748398927852</v>
      </c>
      <c r="K316" s="20">
        <v>1.2551886046663838</v>
      </c>
      <c r="L316" s="20">
        <f t="shared" si="14"/>
        <v>98.833549486017176</v>
      </c>
      <c r="M316" s="20">
        <f t="shared" si="15"/>
        <v>-1.2551860784774389</v>
      </c>
    </row>
    <row r="317" spans="1:13" x14ac:dyDescent="0.2">
      <c r="A317" s="23">
        <v>72.5</v>
      </c>
      <c r="B317" s="20">
        <v>99.442388567602407</v>
      </c>
      <c r="C317" s="20">
        <v>0.62839225916192898</v>
      </c>
      <c r="D317" s="20">
        <v>357.74080474554802</v>
      </c>
      <c r="E317" s="20">
        <v>-3.0342565958995701E-2</v>
      </c>
      <c r="F317" s="20">
        <v>-1.44905721355464</v>
      </c>
      <c r="G317" s="20">
        <v>1.4493748581590999</v>
      </c>
      <c r="H317" s="20">
        <v>2.2342081476981E-2</v>
      </c>
      <c r="I317" s="20">
        <v>116.832856880287</v>
      </c>
      <c r="J317" s="20">
        <v>99.444574145323855</v>
      </c>
      <c r="K317" s="20">
        <v>1.262946091645613</v>
      </c>
      <c r="L317" s="20">
        <f t="shared" si="14"/>
        <v>99.444374003064638</v>
      </c>
      <c r="M317" s="20">
        <f t="shared" si="15"/>
        <v>-1.2629435498439727</v>
      </c>
    </row>
    <row r="318" spans="1:13" x14ac:dyDescent="0.2">
      <c r="A318" s="23">
        <v>72.75</v>
      </c>
      <c r="B318" s="20">
        <v>100.05454831417801</v>
      </c>
      <c r="C318" s="20">
        <v>0.63968694637223</v>
      </c>
      <c r="D318" s="20">
        <v>357.72725305545202</v>
      </c>
      <c r="E318" s="20">
        <v>-3.0543751990403399E-2</v>
      </c>
      <c r="F318" s="20">
        <v>-1.45235334738822</v>
      </c>
      <c r="G318" s="20">
        <v>1.4526744874387401</v>
      </c>
      <c r="H318" s="20">
        <v>2.2246542328621301E-2</v>
      </c>
      <c r="I318" s="20">
        <v>116.70860112743701</v>
      </c>
      <c r="J318" s="20">
        <v>100.05679454919566</v>
      </c>
      <c r="K318" s="20">
        <v>1.2707212907747849</v>
      </c>
      <c r="L318" s="20">
        <f t="shared" si="14"/>
        <v>100.05659317478055</v>
      </c>
      <c r="M318" s="20">
        <f t="shared" si="15"/>
        <v>-1.2707187333247958</v>
      </c>
    </row>
    <row r="319" spans="1:13" x14ac:dyDescent="0.2">
      <c r="A319" s="23">
        <v>73</v>
      </c>
      <c r="B319" s="20">
        <v>100.668095462227</v>
      </c>
      <c r="C319" s="20">
        <v>0.65109647029107098</v>
      </c>
      <c r="D319" s="20">
        <v>357.71366728722103</v>
      </c>
      <c r="E319" s="20">
        <v>-3.0745713475379299E-2</v>
      </c>
      <c r="F319" s="20">
        <v>-1.45563524272433</v>
      </c>
      <c r="G319" s="20">
        <v>1.4559599097359199</v>
      </c>
      <c r="H319" s="20">
        <v>2.2150832710819999E-2</v>
      </c>
      <c r="I319" s="20">
        <v>116.584071975298</v>
      </c>
      <c r="J319" s="20">
        <v>100.67040361545028</v>
      </c>
      <c r="K319" s="20">
        <v>1.2785141259162187</v>
      </c>
      <c r="L319" s="20">
        <f t="shared" si="14"/>
        <v>100.67020100608558</v>
      </c>
      <c r="M319" s="20">
        <f t="shared" si="15"/>
        <v>-1.2785115527824009</v>
      </c>
    </row>
    <row r="320" spans="1:13" x14ac:dyDescent="0.2">
      <c r="A320" s="23">
        <v>73.25</v>
      </c>
      <c r="B320" s="20">
        <v>101.28302398915901</v>
      </c>
      <c r="C320" s="20">
        <v>0.662621286801655</v>
      </c>
      <c r="D320" s="20">
        <v>357.70004747904198</v>
      </c>
      <c r="E320" s="20">
        <v>-3.09484502174046E-2</v>
      </c>
      <c r="F320" s="20">
        <v>-1.4589028738745899</v>
      </c>
      <c r="G320" s="20">
        <v>1.4592310995762099</v>
      </c>
      <c r="H320" s="20">
        <v>2.2054958344303099E-2</v>
      </c>
      <c r="I320" s="20">
        <v>116.459281045243</v>
      </c>
      <c r="J320" s="20">
        <v>101.28539533804718</v>
      </c>
      <c r="K320" s="20">
        <v>1.2863245207931993</v>
      </c>
      <c r="L320" s="20">
        <f t="shared" si="14"/>
        <v>101.28519149094936</v>
      </c>
      <c r="M320" s="20">
        <f t="shared" si="15"/>
        <v>-1.2863219319402022</v>
      </c>
    </row>
    <row r="321" spans="1:13" x14ac:dyDescent="0.2">
      <c r="A321" s="23">
        <v>73.5</v>
      </c>
      <c r="B321" s="20">
        <v>101.89932786169901</v>
      </c>
      <c r="C321" s="20">
        <v>0.67426184923204202</v>
      </c>
      <c r="D321" s="20">
        <v>357.68639366914999</v>
      </c>
      <c r="E321" s="20">
        <v>-3.1151962001494799E-2</v>
      </c>
      <c r="F321" s="20">
        <v>-1.46215621598622</v>
      </c>
      <c r="G321" s="20">
        <v>1.4624880323215199</v>
      </c>
      <c r="H321" s="20">
        <v>2.19589249270872E-2</v>
      </c>
      <c r="I321" s="20">
        <v>116.334239906817</v>
      </c>
      <c r="J321" s="20">
        <v>101.9017637003496</v>
      </c>
      <c r="K321" s="20">
        <v>1.2941523989944401</v>
      </c>
      <c r="L321" s="20">
        <f t="shared" si="14"/>
        <v>101.9015586127482</v>
      </c>
      <c r="M321" s="20">
        <f t="shared" si="15"/>
        <v>-1.2941497943870788</v>
      </c>
    </row>
    <row r="322" spans="1:13" x14ac:dyDescent="0.2">
      <c r="A322" s="23">
        <v>73.75</v>
      </c>
      <c r="B322" s="20">
        <v>102.517001036238</v>
      </c>
      <c r="C322" s="20">
        <v>0.68601860834141704</v>
      </c>
      <c r="D322" s="20">
        <v>357.67270589583097</v>
      </c>
      <c r="E322" s="20">
        <v>-3.1356248594239501E-2</v>
      </c>
      <c r="F322" s="20">
        <v>-1.46539524503848</v>
      </c>
      <c r="G322" s="20">
        <v>1.4657306841665301</v>
      </c>
      <c r="H322" s="20">
        <v>2.18627381339166E-2</v>
      </c>
      <c r="I322" s="20">
        <v>116.20896007656</v>
      </c>
      <c r="J322" s="20">
        <v>102.51950267547898</v>
      </c>
      <c r="K322" s="20">
        <v>1.301997683978583</v>
      </c>
      <c r="L322" s="20">
        <f t="shared" si="14"/>
        <v>102.51929634461511</v>
      </c>
      <c r="M322" s="20">
        <f t="shared" si="15"/>
        <v>-1.3019950635818198</v>
      </c>
    </row>
    <row r="323" spans="1:13" x14ac:dyDescent="0.2">
      <c r="A323" s="23">
        <v>74</v>
      </c>
      <c r="B323" s="20">
        <v>103.136037459186</v>
      </c>
      <c r="C323" s="20">
        <v>0.69789201230668196</v>
      </c>
      <c r="D323" s="20">
        <v>357.658984197417</v>
      </c>
      <c r="E323" s="20">
        <v>-3.1561309743842698E-2</v>
      </c>
      <c r="F323" s="20">
        <v>-1.4686199378390701</v>
      </c>
      <c r="G323" s="20">
        <v>1.4689590321350701</v>
      </c>
      <c r="H323" s="20">
        <v>2.1766403615711898E-2</v>
      </c>
      <c r="I323" s="20">
        <v>116.083453016848</v>
      </c>
      <c r="J323" s="20">
        <v>103.13860622666398</v>
      </c>
      <c r="K323" s="20">
        <v>1.3098602990786328</v>
      </c>
      <c r="L323" s="20">
        <f t="shared" si="14"/>
        <v>103.13839864979221</v>
      </c>
      <c r="M323" s="20">
        <f t="shared" si="15"/>
        <v>-1.3098576628576004</v>
      </c>
    </row>
    <row r="324" spans="1:13" x14ac:dyDescent="0.2">
      <c r="A324" s="23">
        <v>74.25</v>
      </c>
      <c r="B324" s="20">
        <v>103.756431067318</v>
      </c>
      <c r="C324" s="20">
        <v>0.70988250670936304</v>
      </c>
      <c r="D324" s="20">
        <v>357.64522861229199</v>
      </c>
      <c r="E324" s="20">
        <v>-3.1767145180164297E-2</v>
      </c>
      <c r="F324" s="20">
        <v>-1.4718302720204399</v>
      </c>
      <c r="G324" s="20">
        <v>1.4721730540764</v>
      </c>
      <c r="H324" s="20">
        <v>2.16699269990288E-2</v>
      </c>
      <c r="I324" s="20">
        <v>115.957730134757</v>
      </c>
      <c r="J324" s="20">
        <v>103.75906830759028</v>
      </c>
      <c r="K324" s="20">
        <v>1.3177401675063967</v>
      </c>
      <c r="L324" s="20">
        <f t="shared" si="14"/>
        <v>103.75885948197602</v>
      </c>
      <c r="M324" s="20">
        <f t="shared" si="15"/>
        <v>-1.3177375154263664</v>
      </c>
    </row>
    <row r="325" spans="1:13" x14ac:dyDescent="0.2">
      <c r="A325" s="23">
        <v>74.5</v>
      </c>
      <c r="B325" s="20">
        <v>104.378175788128</v>
      </c>
      <c r="C325" s="20">
        <v>0.72199053452284001</v>
      </c>
      <c r="D325" s="20">
        <v>357.63143917888499</v>
      </c>
      <c r="E325" s="20">
        <v>-3.19737546147622E-2</v>
      </c>
      <c r="F325" s="20">
        <v>-1.4750262260359399</v>
      </c>
      <c r="G325" s="20">
        <v>1.47537272866147</v>
      </c>
      <c r="H325" s="20">
        <v>2.15733138855282E-2</v>
      </c>
      <c r="I325" s="20">
        <v>115.831802780949</v>
      </c>
      <c r="J325" s="20">
        <v>104.38088286275025</v>
      </c>
      <c r="K325" s="20">
        <v>1.3256372123569284</v>
      </c>
      <c r="L325" s="20">
        <f t="shared" si="14"/>
        <v>104.38067278567088</v>
      </c>
      <c r="M325" s="20">
        <f t="shared" si="15"/>
        <v>-1.3256345443833228</v>
      </c>
    </row>
    <row r="326" spans="1:13" x14ac:dyDescent="0.2">
      <c r="A326" s="23">
        <v>74.75</v>
      </c>
      <c r="B326" s="20">
        <v>105.00126554017299</v>
      </c>
      <c r="C326" s="20">
        <v>0.73421653609988402</v>
      </c>
      <c r="D326" s="20">
        <v>357.61761593567297</v>
      </c>
      <c r="E326" s="20">
        <v>-3.2181137740935603E-2</v>
      </c>
      <c r="F326" s="20">
        <v>-1.47820777915604</v>
      </c>
      <c r="G326" s="20">
        <v>1.47855803537897</v>
      </c>
      <c r="H326" s="20">
        <v>2.14765698514565E-2</v>
      </c>
      <c r="I326" s="20">
        <v>115.705682248578</v>
      </c>
      <c r="J326" s="20">
        <v>105.00404382778575</v>
      </c>
      <c r="K326" s="20">
        <v>1.3335513566128792</v>
      </c>
      <c r="L326" s="20">
        <f t="shared" si="14"/>
        <v>105.00383249653225</v>
      </c>
      <c r="M326" s="20">
        <f t="shared" si="15"/>
        <v>-1.3335486727112937</v>
      </c>
    </row>
    <row r="327" spans="1:13" x14ac:dyDescent="0.2">
      <c r="A327" s="23">
        <v>75</v>
      </c>
      <c r="B327" s="20">
        <v>105.62569423341699</v>
      </c>
      <c r="C327" s="20">
        <v>0.74656094916052196</v>
      </c>
      <c r="D327" s="20">
        <v>357.60375892118202</v>
      </c>
      <c r="E327" s="20">
        <v>-3.2389294233768899E-2</v>
      </c>
      <c r="F327" s="20">
        <v>-1.48137491146431</v>
      </c>
      <c r="G327" s="20">
        <v>1.48172895453145</v>
      </c>
      <c r="H327" s="20">
        <v>2.1379700447136701E-2</v>
      </c>
      <c r="I327" s="20">
        <v>115.57937977221999</v>
      </c>
      <c r="J327" s="20">
        <v>105.62854512983552</v>
      </c>
      <c r="K327" s="20">
        <v>1.3414825231489111</v>
      </c>
      <c r="L327" s="20">
        <f t="shared" si="14"/>
        <v>105.62833254171018</v>
      </c>
      <c r="M327" s="20">
        <f t="shared" si="15"/>
        <v>-1.3414798232850851</v>
      </c>
    </row>
    <row r="328" spans="1:13" x14ac:dyDescent="0.2">
      <c r="A328" s="23">
        <v>75.25</v>
      </c>
      <c r="B328" s="20">
        <v>106.251455769575</v>
      </c>
      <c r="C328" s="20">
        <v>0.75902420878020904</v>
      </c>
      <c r="D328" s="20">
        <v>357.58986817398102</v>
      </c>
      <c r="E328" s="20">
        <v>-3.2598223750176201E-2</v>
      </c>
      <c r="F328" s="20">
        <v>-1.48452760385347</v>
      </c>
      <c r="G328" s="20">
        <v>1.4848854672312499</v>
      </c>
      <c r="H328" s="20">
        <v>2.1282711196470901E-2</v>
      </c>
      <c r="I328" s="20">
        <v>115.45290652682201</v>
      </c>
      <c r="J328" s="20">
        <v>106.25438068787551</v>
      </c>
      <c r="K328" s="20">
        <v>1.349430634736019</v>
      </c>
      <c r="L328" s="20">
        <f t="shared" si="14"/>
        <v>106.25416684019253</v>
      </c>
      <c r="M328" s="20">
        <f t="shared" si="15"/>
        <v>-1.3494279188758429</v>
      </c>
    </row>
    <row r="329" spans="1:13" x14ac:dyDescent="0.2">
      <c r="A329" s="23">
        <v>75.5</v>
      </c>
      <c r="B329" s="20">
        <v>106.87854404245699</v>
      </c>
      <c r="C329" s="20">
        <v>0.77160674737831603</v>
      </c>
      <c r="D329" s="20">
        <v>357.57594373269001</v>
      </c>
      <c r="E329" s="20">
        <v>-3.2807925928946997E-2</v>
      </c>
      <c r="F329" s="20">
        <v>-1.48766583802121</v>
      </c>
      <c r="G329" s="20">
        <v>1.4880275553964399</v>
      </c>
      <c r="H329" s="20">
        <v>2.1185607596452698E-2</v>
      </c>
      <c r="I329" s="20">
        <v>115.32627362667399</v>
      </c>
      <c r="J329" s="20">
        <v>106.88154441306173</v>
      </c>
      <c r="K329" s="20">
        <v>1.357395614045884</v>
      </c>
      <c r="L329" s="20">
        <f t="shared" si="14"/>
        <v>106.88132930314826</v>
      </c>
      <c r="M329" s="20">
        <f t="shared" si="15"/>
        <v>-1.3573928821554127</v>
      </c>
    </row>
    <row r="330" spans="1:13" x14ac:dyDescent="0.2">
      <c r="A330" s="23">
        <v>75.75</v>
      </c>
      <c r="B330" s="20">
        <v>107.506952938304</v>
      </c>
      <c r="C330" s="20">
        <v>0.78430899470693405</v>
      </c>
      <c r="D330" s="20">
        <v>357.56198563596797</v>
      </c>
      <c r="E330" s="20">
        <v>-3.3018400390792797E-2</v>
      </c>
      <c r="F330" s="20">
        <v>-1.49078959646609</v>
      </c>
      <c r="G330" s="20">
        <v>1.4911552017465799</v>
      </c>
      <c r="H330" s="20">
        <v>2.1088395116691101E-2</v>
      </c>
      <c r="I330" s="20">
        <v>115.199492124402</v>
      </c>
      <c r="J330" s="20">
        <v>107.51003020906737</v>
      </c>
      <c r="K330" s="20">
        <v>1.3653773836551557</v>
      </c>
      <c r="L330" s="20">
        <f t="shared" si="14"/>
        <v>107.509813834263</v>
      </c>
      <c r="M330" s="20">
        <f t="shared" si="15"/>
        <v>-1.3653746357006016</v>
      </c>
    </row>
    <row r="331" spans="1:13" x14ac:dyDescent="0.2">
      <c r="A331" s="23">
        <v>76</v>
      </c>
      <c r="B331" s="20">
        <v>108.136676336129</v>
      </c>
      <c r="C331" s="20">
        <v>0.797131377839989</v>
      </c>
      <c r="D331" s="20">
        <v>357.54799392252602</v>
      </c>
      <c r="E331" s="20">
        <v>-3.3229646738394E-2</v>
      </c>
      <c r="F331" s="20">
        <v>-1.4938988624832701</v>
      </c>
      <c r="G331" s="20">
        <v>1.49426838979855</v>
      </c>
      <c r="H331" s="20">
        <v>2.0991079198944902E-2</v>
      </c>
      <c r="I331" s="20">
        <v>115.072573009986</v>
      </c>
      <c r="J331" s="20">
        <v>108.13983197242401</v>
      </c>
      <c r="K331" s="20">
        <v>1.373375866049785</v>
      </c>
      <c r="L331" s="20">
        <f t="shared" si="14"/>
        <v>108.13961433007914</v>
      </c>
      <c r="M331" s="20">
        <f t="shared" si="15"/>
        <v>-1.3733731019974986</v>
      </c>
    </row>
    <row r="332" spans="1:13" x14ac:dyDescent="0.2">
      <c r="A332" s="23">
        <v>76.25</v>
      </c>
      <c r="B332" s="20">
        <v>108.76770810805399</v>
      </c>
      <c r="C332" s="20">
        <v>0.81007432116266698</v>
      </c>
      <c r="D332" s="20">
        <v>357.53396863111601</v>
      </c>
      <c r="E332" s="20">
        <v>-3.3441664556448002E-2</v>
      </c>
      <c r="F332" s="20">
        <v>-1.4969936201601901</v>
      </c>
      <c r="G332" s="20">
        <v>1.4973671038621801</v>
      </c>
      <c r="H332" s="20">
        <v>2.08936652566678E-2</v>
      </c>
      <c r="I332" s="20">
        <v>114.945527209793</v>
      </c>
      <c r="J332" s="20">
        <v>108.77094359285255</v>
      </c>
      <c r="K332" s="20">
        <v>1.3813909836292275</v>
      </c>
      <c r="L332" s="20">
        <f t="shared" si="14"/>
        <v>108.77072468033226</v>
      </c>
      <c r="M332" s="20">
        <f t="shared" si="15"/>
        <v>-1.3813882034457454</v>
      </c>
    </row>
    <row r="333" spans="1:13" x14ac:dyDescent="0.2">
      <c r="A333" s="23">
        <v>76.5</v>
      </c>
      <c r="B333" s="20">
        <v>109.40004211964001</v>
      </c>
      <c r="C333" s="20">
        <v>0.82313824636114996</v>
      </c>
      <c r="D333" s="20">
        <v>357.51990980053398</v>
      </c>
      <c r="E333" s="20">
        <v>-3.3654453411717897E-2</v>
      </c>
      <c r="F333" s="20">
        <v>-1.5000738543722101</v>
      </c>
      <c r="G333" s="20">
        <v>1.5004513290358801</v>
      </c>
      <c r="H333" s="20">
        <v>2.0796158674565E-2</v>
      </c>
      <c r="I333" s="20">
        <v>114.81836558564</v>
      </c>
      <c r="J333" s="20">
        <v>109.4033589536006</v>
      </c>
      <c r="K333" s="20">
        <v>1.3894226587107277</v>
      </c>
      <c r="L333" s="20">
        <f t="shared" si="14"/>
        <v>109.40313876828044</v>
      </c>
      <c r="M333" s="20">
        <f t="shared" si="15"/>
        <v>-1.3894198623627194</v>
      </c>
    </row>
    <row r="334" spans="1:13" x14ac:dyDescent="0.2">
      <c r="A334" s="23">
        <v>76.75</v>
      </c>
      <c r="B334" s="20">
        <v>110.033672230226</v>
      </c>
      <c r="C334" s="20">
        <v>0.83632357241266397</v>
      </c>
      <c r="D334" s="20">
        <v>357.50581746962098</v>
      </c>
      <c r="E334" s="20">
        <v>-3.3868012853082302E-2</v>
      </c>
      <c r="F334" s="20">
        <v>-1.50313955077812</v>
      </c>
      <c r="G334" s="20">
        <v>1.5035210512021699</v>
      </c>
      <c r="H334" s="20">
        <v>2.06985648081595E-2</v>
      </c>
      <c r="I334" s="20">
        <v>114.691098933871</v>
      </c>
      <c r="J334" s="20">
        <v>110.03707193177409</v>
      </c>
      <c r="K334" s="20">
        <v>1.3974708135335312</v>
      </c>
      <c r="L334" s="20">
        <f t="shared" si="14"/>
        <v>110.03685047104257</v>
      </c>
      <c r="M334" s="20">
        <f t="shared" si="15"/>
        <v>-1.3974680009878306</v>
      </c>
    </row>
    <row r="335" spans="1:13" x14ac:dyDescent="0.2">
      <c r="A335" s="23">
        <v>77</v>
      </c>
      <c r="B335" s="20">
        <v>110.668592293255</v>
      </c>
      <c r="C335" s="20">
        <v>0.84963071557583203</v>
      </c>
      <c r="D335" s="20">
        <v>357.49169167726302</v>
      </c>
      <c r="E335" s="20">
        <v>-3.4082342411585101E-2</v>
      </c>
      <c r="F335" s="20">
        <v>-1.5061906958156901</v>
      </c>
      <c r="G335" s="20">
        <v>1.50657625702319</v>
      </c>
      <c r="H335" s="20">
        <v>2.0600888983370501E-2</v>
      </c>
      <c r="I335" s="20">
        <v>114.563737984458</v>
      </c>
      <c r="J335" s="20">
        <v>110.67207639866515</v>
      </c>
      <c r="K335" s="20">
        <v>1.4055353702630475</v>
      </c>
      <c r="L335" s="20">
        <f t="shared" si="14"/>
        <v>110.67185365992363</v>
      </c>
      <c r="M335" s="20">
        <f t="shared" si="15"/>
        <v>-1.4055325414866522</v>
      </c>
    </row>
    <row r="336" spans="1:13" x14ac:dyDescent="0.2">
      <c r="A336" s="23">
        <v>77.25</v>
      </c>
      <c r="B336" s="20">
        <v>111.304796156604</v>
      </c>
      <c r="C336" s="20">
        <v>0.86306008938133105</v>
      </c>
      <c r="D336" s="20">
        <v>357.47753246238602</v>
      </c>
      <c r="E336" s="20">
        <v>-3.4297441600486998E-2</v>
      </c>
      <c r="F336" s="20">
        <v>-1.5092272766970101</v>
      </c>
      <c r="G336" s="20">
        <v>1.5096169339360901</v>
      </c>
      <c r="H336" s="20">
        <v>2.0503136496101401E-2</v>
      </c>
      <c r="I336" s="20">
        <v>114.43629340013101</v>
      </c>
      <c r="J336" s="20">
        <v>111.30836622008401</v>
      </c>
      <c r="K336" s="20">
        <v>1.4136162509950672</v>
      </c>
      <c r="L336" s="20">
        <f t="shared" si="14"/>
        <v>111.30814220074402</v>
      </c>
      <c r="M336" s="20">
        <f t="shared" si="15"/>
        <v>-1.4136134059551033</v>
      </c>
    </row>
    <row r="337" spans="1:13" x14ac:dyDescent="0.2">
      <c r="A337" s="23">
        <v>77.5</v>
      </c>
      <c r="B337" s="20">
        <v>111.942277662913</v>
      </c>
      <c r="C337" s="20">
        <v>0.87661210462286199</v>
      </c>
      <c r="D337" s="20">
        <v>357.46333986396002</v>
      </c>
      <c r="E337" s="20">
        <v>-3.4513309915317002E-2</v>
      </c>
      <c r="F337" s="20">
        <v>-1.5122492814039099</v>
      </c>
      <c r="G337" s="20">
        <v>1.5126430701483899</v>
      </c>
      <c r="H337" s="20">
        <v>2.0405312611839699E-2</v>
      </c>
      <c r="I337" s="20">
        <v>114.308775775515</v>
      </c>
      <c r="J337" s="20">
        <v>111.94593525667962</v>
      </c>
      <c r="K337" s="20">
        <v>1.4217133777598312</v>
      </c>
      <c r="L337" s="20">
        <f t="shared" si="14"/>
        <v>111.94570995416788</v>
      </c>
      <c r="M337" s="20">
        <f t="shared" si="15"/>
        <v>-1.421710516423619</v>
      </c>
    </row>
    <row r="338" spans="1:13" x14ac:dyDescent="0.2">
      <c r="A338" s="23">
        <v>77.75</v>
      </c>
      <c r="B338" s="20">
        <v>112.58103064990701</v>
      </c>
      <c r="C338" s="20">
        <v>0.89028716934841801</v>
      </c>
      <c r="D338" s="20">
        <v>357.449113920998</v>
      </c>
      <c r="E338" s="20">
        <v>-3.4729946833925003E-2</v>
      </c>
      <c r="F338" s="20">
        <v>-1.5152566986832301</v>
      </c>
      <c r="G338" s="20">
        <v>1.5156546546332601</v>
      </c>
      <c r="H338" s="20">
        <v>2.0307422565266599E-2</v>
      </c>
      <c r="I338" s="20">
        <v>114.181195636304</v>
      </c>
      <c r="J338" s="20">
        <v>112.58477736427081</v>
      </c>
      <c r="K338" s="20">
        <v>1.4298266725262394</v>
      </c>
      <c r="L338" s="20">
        <f t="shared" si="14"/>
        <v>112.58455077602436</v>
      </c>
      <c r="M338" s="20">
        <f t="shared" si="15"/>
        <v>-1.4298237948612287</v>
      </c>
    </row>
    <row r="339" spans="1:13" x14ac:dyDescent="0.2">
      <c r="A339" s="23">
        <v>78</v>
      </c>
      <c r="B339" s="20">
        <v>113.22104895072199</v>
      </c>
      <c r="C339" s="20">
        <v>0.90408568885185503</v>
      </c>
      <c r="D339" s="20">
        <v>357.43485467255499</v>
      </c>
      <c r="E339" s="20">
        <v>-3.4947351816535098E-2</v>
      </c>
      <c r="F339" s="20">
        <v>-1.5182495180420501</v>
      </c>
      <c r="G339" s="20">
        <v>1.51865167712477</v>
      </c>
      <c r="H339" s="20">
        <v>2.0209471559878699E-2</v>
      </c>
      <c r="I339" s="20">
        <v>114.05356343844301</v>
      </c>
      <c r="J339" s="20">
        <v>113.22488639416306</v>
      </c>
      <c r="K339" s="20">
        <v>1.4379560572058712</v>
      </c>
      <c r="L339" s="20">
        <f t="shared" si="14"/>
        <v>113.22465851763288</v>
      </c>
      <c r="M339" s="20">
        <f t="shared" si="15"/>
        <v>-1.4379531631796894</v>
      </c>
    </row>
    <row r="340" spans="1:13" x14ac:dyDescent="0.2">
      <c r="A340" s="23">
        <v>78.25</v>
      </c>
      <c r="B340" s="20">
        <v>113.862326394221</v>
      </c>
      <c r="C340" s="20">
        <v>0.91800806566477</v>
      </c>
      <c r="D340" s="20">
        <v>357.42056215772499</v>
      </c>
      <c r="E340" s="20">
        <v>-3.5165524305799702E-2</v>
      </c>
      <c r="F340" s="20">
        <v>-1.52122772974288</v>
      </c>
      <c r="G340" s="20">
        <v>1.5216341281130501</v>
      </c>
      <c r="H340" s="20">
        <v>2.0111464767618902E-2</v>
      </c>
      <c r="I340" s="20">
        <v>113.925889567345</v>
      </c>
      <c r="J340" s="20">
        <v>113.86625619347097</v>
      </c>
      <c r="K340" s="20">
        <v>1.4461014536570815</v>
      </c>
      <c r="L340" s="20">
        <f t="shared" si="14"/>
        <v>113.86602702611847</v>
      </c>
      <c r="M340" s="20">
        <f t="shared" si="15"/>
        <v>-1.4460985432374891</v>
      </c>
    </row>
    <row r="341" spans="1:13" x14ac:dyDescent="0.2">
      <c r="A341" s="23">
        <v>78.5</v>
      </c>
      <c r="B341" s="20">
        <v>114.504856805321</v>
      </c>
      <c r="C341" s="20">
        <v>0.93205469954866704</v>
      </c>
      <c r="D341" s="20">
        <v>357.40623641564503</v>
      </c>
      <c r="E341" s="20">
        <v>-3.5384463726853603E-2</v>
      </c>
      <c r="F341" s="20">
        <v>-1.5241913247987799</v>
      </c>
      <c r="G341" s="20">
        <v>1.5246019988394</v>
      </c>
      <c r="H341" s="20">
        <v>2.0013407328519601E-2</v>
      </c>
      <c r="I341" s="20">
        <v>113.798184337115</v>
      </c>
      <c r="J341" s="20">
        <v>114.50888060543666</v>
      </c>
      <c r="K341" s="20">
        <v>1.4542627836890456</v>
      </c>
      <c r="L341" s="20">
        <f t="shared" si="14"/>
        <v>114.50865014473806</v>
      </c>
      <c r="M341" s="20">
        <f t="shared" si="15"/>
        <v>-1.4542598568439904</v>
      </c>
    </row>
    <row r="342" spans="1:13" x14ac:dyDescent="0.2">
      <c r="A342" s="23">
        <v>78.75</v>
      </c>
      <c r="B342" s="20">
        <v>115.1486340053</v>
      </c>
      <c r="C342" s="20">
        <v>0.94622598748743603</v>
      </c>
      <c r="D342" s="20">
        <v>357.39187748549301</v>
      </c>
      <c r="E342" s="20">
        <v>-3.5604169487369997E-2</v>
      </c>
      <c r="F342" s="20">
        <v>-1.5271402949684201</v>
      </c>
      <c r="G342" s="20">
        <v>1.52755528129136</v>
      </c>
      <c r="H342" s="20">
        <v>1.9915304350355201E-2</v>
      </c>
      <c r="I342" s="20">
        <v>113.670457989808</v>
      </c>
      <c r="J342" s="20">
        <v>115.15275346974437</v>
      </c>
      <c r="K342" s="20">
        <v>1.4624399690657537</v>
      </c>
      <c r="L342" s="20">
        <f t="shared" si="14"/>
        <v>115.15252171318667</v>
      </c>
      <c r="M342" s="20">
        <f t="shared" si="15"/>
        <v>-1.4624370257633206</v>
      </c>
    </row>
    <row r="343" spans="1:13" x14ac:dyDescent="0.2">
      <c r="A343" s="23">
        <v>79</v>
      </c>
      <c r="B343" s="20">
        <v>115.79365181212</v>
      </c>
      <c r="C343" s="20">
        <v>0.96052232368011603</v>
      </c>
      <c r="D343" s="20">
        <v>357.37748540648602</v>
      </c>
      <c r="E343" s="20">
        <v>-3.5824640977616E-2</v>
      </c>
      <c r="F343" s="20">
        <v>-1.5300746327510899</v>
      </c>
      <c r="G343" s="20">
        <v>1.5304939681977101</v>
      </c>
      <c r="H343" s="20">
        <v>1.98171609083066E-2</v>
      </c>
      <c r="I343" s="20">
        <v>113.542720694698</v>
      </c>
      <c r="J343" s="20">
        <v>115.79786862283734</v>
      </c>
      <c r="K343" s="20">
        <v>1.4706329315100344</v>
      </c>
      <c r="L343" s="20">
        <f t="shared" si="14"/>
        <v>115.79763556791983</v>
      </c>
      <c r="M343" s="20">
        <f t="shared" si="15"/>
        <v>-1.4706299717184643</v>
      </c>
    </row>
    <row r="344" spans="1:13" x14ac:dyDescent="0.2">
      <c r="A344" s="23">
        <v>79.25</v>
      </c>
      <c r="B344" s="20">
        <v>116.439904040736</v>
      </c>
      <c r="C344" s="20">
        <v>0.97494409953396199</v>
      </c>
      <c r="D344" s="20">
        <v>357.36306021788198</v>
      </c>
      <c r="E344" s="20">
        <v>-3.6045877570509803E-2</v>
      </c>
      <c r="F344" s="20">
        <v>-1.5329943313816801</v>
      </c>
      <c r="G344" s="20">
        <v>1.53341805302344</v>
      </c>
      <c r="H344" s="20">
        <v>1.9718982044635201E-2</v>
      </c>
      <c r="I344" s="20">
        <v>113.414982547579</v>
      </c>
      <c r="J344" s="20">
        <v>116.44421989822609</v>
      </c>
      <c r="K344" s="20">
        <v>1.4788415927074714</v>
      </c>
      <c r="L344" s="20">
        <f t="shared" si="14"/>
        <v>116.44398554246168</v>
      </c>
      <c r="M344" s="20">
        <f t="shared" si="15"/>
        <v>-1.4788386163951788</v>
      </c>
    </row>
    <row r="345" spans="1:13" x14ac:dyDescent="0.2">
      <c r="A345" s="23">
        <v>79.5</v>
      </c>
      <c r="B345" s="20">
        <v>117.087384503405</v>
      </c>
      <c r="C345" s="20">
        <v>0.98949170365779804</v>
      </c>
      <c r="D345" s="20">
        <v>357.34860195897801</v>
      </c>
      <c r="E345" s="20">
        <v>-3.6267878621677199E-2</v>
      </c>
      <c r="F345" s="20">
        <v>-1.53589938482555</v>
      </c>
      <c r="G345" s="20">
        <v>1.53632752996463</v>
      </c>
      <c r="H345" s="20">
        <v>1.9620772768367201E-2</v>
      </c>
      <c r="I345" s="20">
        <v>113.287253570076</v>
      </c>
      <c r="J345" s="20">
        <v>117.09180112680066</v>
      </c>
      <c r="K345" s="20">
        <v>1.4870658743103684</v>
      </c>
      <c r="L345" s="20">
        <f t="shared" si="14"/>
        <v>117.09156546771341</v>
      </c>
      <c r="M345" s="20">
        <f t="shared" si="15"/>
        <v>-1.4870628814459086</v>
      </c>
    </row>
    <row r="346" spans="1:13" x14ac:dyDescent="0.2">
      <c r="A346" s="23">
        <v>79.75</v>
      </c>
      <c r="B346" s="20">
        <v>117.736087009999</v>
      </c>
      <c r="C346" s="20">
        <v>1.00416552185567</v>
      </c>
      <c r="D346" s="20">
        <v>357.33411066910998</v>
      </c>
      <c r="E346" s="20">
        <v>-3.6490643469506798E-2</v>
      </c>
      <c r="F346" s="20">
        <v>-1.53878978777342</v>
      </c>
      <c r="G346" s="20">
        <v>1.5392223939433101</v>
      </c>
      <c r="H346" s="20">
        <v>1.9522538054990199E-2</v>
      </c>
      <c r="I346" s="20">
        <v>113.159543708985</v>
      </c>
      <c r="J346" s="20">
        <v>117.74060613713812</v>
      </c>
      <c r="K346" s="20">
        <v>1.4953056979416541</v>
      </c>
      <c r="L346" s="20">
        <f t="shared" si="14"/>
        <v>117.74036917226537</v>
      </c>
      <c r="M346" s="20">
        <f t="shared" si="15"/>
        <v>-1.4953026884937515</v>
      </c>
    </row>
    <row r="347" spans="1:13" x14ac:dyDescent="0.2">
      <c r="A347" s="23">
        <v>80</v>
      </c>
      <c r="B347" s="20">
        <v>118.386005368306</v>
      </c>
      <c r="C347" s="20">
        <v>1.01896593712078</v>
      </c>
      <c r="D347" s="20">
        <v>357.31958638765201</v>
      </c>
      <c r="E347" s="20">
        <v>-3.67141714352089E-2</v>
      </c>
      <c r="F347" s="20">
        <v>-1.5416655356361799</v>
      </c>
      <c r="G347" s="20">
        <v>1.5421026406023</v>
      </c>
      <c r="H347" s="20">
        <v>1.9424282846159598E-2</v>
      </c>
      <c r="I347" s="20">
        <v>113.031862835629</v>
      </c>
      <c r="J347" s="20">
        <v>118.39062875580608</v>
      </c>
      <c r="K347" s="20">
        <v>1.5035609851987373</v>
      </c>
      <c r="L347" s="20">
        <f t="shared" si="14"/>
        <v>118.3903904826975</v>
      </c>
      <c r="M347" s="20">
        <f t="shared" si="15"/>
        <v>-1.5035579591362724</v>
      </c>
    </row>
    <row r="348" spans="1:13" x14ac:dyDescent="0.2">
      <c r="A348" s="23">
        <v>80.25</v>
      </c>
      <c r="B348" s="20">
        <v>119.037133384337</v>
      </c>
      <c r="C348" s="20">
        <v>1.0338933296297199</v>
      </c>
      <c r="D348" s="20">
        <v>357.305029154019</v>
      </c>
      <c r="E348" s="20">
        <v>-3.6938461822874601E-2</v>
      </c>
      <c r="F348" s="20">
        <v>-1.5445266245396601</v>
      </c>
      <c r="G348" s="20">
        <v>1.5449682662999</v>
      </c>
      <c r="H348" s="20">
        <v>1.9326012049415701E-2</v>
      </c>
      <c r="I348" s="20">
        <v>112.90422074524101</v>
      </c>
      <c r="J348" s="20">
        <v>119.04186280766882</v>
      </c>
      <c r="K348" s="20">
        <v>1.511831657657394</v>
      </c>
      <c r="L348" s="20">
        <f t="shared" ref="L348:L411" si="16">SQRT(B348^2+C348^2)</f>
        <v>119.0416232238854</v>
      </c>
      <c r="M348" s="20">
        <f t="shared" ref="M348:M411" si="17">-L348/A$25*100</f>
        <v>-1.5118286149493918</v>
      </c>
    </row>
    <row r="349" spans="1:13" x14ac:dyDescent="0.2">
      <c r="A349" s="23">
        <v>80.5</v>
      </c>
      <c r="B349" s="20">
        <v>119.68946486262701</v>
      </c>
      <c r="C349" s="20">
        <v>1.0489480767369801</v>
      </c>
      <c r="D349" s="20">
        <v>357.29043900766101</v>
      </c>
      <c r="E349" s="20">
        <v>-3.7163513919535797E-2</v>
      </c>
      <c r="F349" s="20">
        <v>-1.54737305131932</v>
      </c>
      <c r="G349" s="20">
        <v>1.5478192681046801</v>
      </c>
      <c r="H349" s="20">
        <v>1.9227730537910999E-2</v>
      </c>
      <c r="I349" s="20">
        <v>112.776627156359</v>
      </c>
      <c r="J349" s="20">
        <v>119.69430211618445</v>
      </c>
      <c r="K349" s="20">
        <v>1.5201176368755425</v>
      </c>
      <c r="L349" s="20">
        <f t="shared" si="16"/>
        <v>119.69406121930075</v>
      </c>
      <c r="M349" s="20">
        <f t="shared" si="17"/>
        <v>-1.5201145774911999</v>
      </c>
    </row>
    <row r="350" spans="1:13" x14ac:dyDescent="0.2">
      <c r="A350" s="23">
        <v>80.75</v>
      </c>
      <c r="B350" s="20">
        <v>120.342993606536</v>
      </c>
      <c r="C350" s="20">
        <v>1.06413055296976</v>
      </c>
      <c r="D350" s="20">
        <v>357.27581598806802</v>
      </c>
      <c r="E350" s="20">
        <v>-3.7389326995225201E-2</v>
      </c>
      <c r="F350" s="20">
        <v>-1.55020481351497</v>
      </c>
      <c r="G350" s="20">
        <v>1.55065564379011</v>
      </c>
      <c r="H350" s="20">
        <v>1.9129443150147699E-2</v>
      </c>
      <c r="I350" s="20">
        <v>112.649091710248</v>
      </c>
      <c r="J350" s="20">
        <v>120.34794050370776</v>
      </c>
      <c r="K350" s="20">
        <v>1.5284188443970887</v>
      </c>
      <c r="L350" s="20">
        <f t="shared" si="16"/>
        <v>120.34769829131145</v>
      </c>
      <c r="M350" s="20">
        <f t="shared" si="17"/>
        <v>-1.5284157683057691</v>
      </c>
    </row>
    <row r="351" spans="1:13" x14ac:dyDescent="0.2">
      <c r="A351" s="23">
        <v>81</v>
      </c>
      <c r="B351" s="20">
        <v>120.99771341854201</v>
      </c>
      <c r="C351" s="20">
        <v>1.07944113002303</v>
      </c>
      <c r="D351" s="20">
        <v>357.26116013476599</v>
      </c>
      <c r="E351" s="20">
        <v>-3.7615900303037797E-2</v>
      </c>
      <c r="F351" s="20">
        <v>-1.5530219093653701</v>
      </c>
      <c r="G351" s="20">
        <v>1.5534773918292</v>
      </c>
      <c r="H351" s="20">
        <v>1.90311546897266E-2</v>
      </c>
      <c r="I351" s="20">
        <v>112.521623970343</v>
      </c>
      <c r="J351" s="20">
        <v>121.00277179178454</v>
      </c>
      <c r="K351" s="20">
        <v>1.5367352017556637</v>
      </c>
      <c r="L351" s="20">
        <f t="shared" si="16"/>
        <v>121.00252826147397</v>
      </c>
      <c r="M351" s="20">
        <f t="shared" si="17"/>
        <v>-1.5367321089268664</v>
      </c>
    </row>
    <row r="352" spans="1:13" x14ac:dyDescent="0.2">
      <c r="A352" s="23">
        <v>81.25</v>
      </c>
      <c r="B352" s="20">
        <v>121.653618100541</v>
      </c>
      <c r="C352" s="20">
        <v>1.0948801767549099</v>
      </c>
      <c r="D352" s="20">
        <v>357.24647148731799</v>
      </c>
      <c r="E352" s="20">
        <v>-3.7843233079191997E-2</v>
      </c>
      <c r="F352" s="20">
        <v>-1.55582433780286</v>
      </c>
      <c r="G352" s="20">
        <v>1.5562845113891</v>
      </c>
      <c r="H352" s="20">
        <v>1.89328699251049E-2</v>
      </c>
      <c r="I352" s="20">
        <v>112.394233421709</v>
      </c>
      <c r="J352" s="20">
        <v>121.65878980144571</v>
      </c>
      <c r="K352" s="20">
        <v>1.5450666304783607</v>
      </c>
      <c r="L352" s="20">
        <f t="shared" si="16"/>
        <v>121.65854495083248</v>
      </c>
      <c r="M352" s="20">
        <f t="shared" si="17"/>
        <v>-1.5450635208817529</v>
      </c>
    </row>
    <row r="353" spans="1:13" x14ac:dyDescent="0.2">
      <c r="A353" s="23">
        <v>81.5</v>
      </c>
      <c r="B353" s="20">
        <v>122.31070145413599</v>
      </c>
      <c r="C353" s="20">
        <v>1.11044805918231</v>
      </c>
      <c r="D353" s="20">
        <v>357.23175008532502</v>
      </c>
      <c r="E353" s="20">
        <v>-3.8071324543092297E-2</v>
      </c>
      <c r="F353" s="20">
        <v>-1.5586120984478999</v>
      </c>
      <c r="G353" s="20">
        <v>1.55907700232562</v>
      </c>
      <c r="H353" s="20">
        <v>1.8834593589365799E-2</v>
      </c>
      <c r="I353" s="20">
        <v>112.26692947052</v>
      </c>
      <c r="J353" s="20">
        <v>122.31598835349992</v>
      </c>
      <c r="K353" s="20">
        <v>1.5534130520894491</v>
      </c>
      <c r="L353" s="20">
        <f t="shared" si="16"/>
        <v>122.31574218020724</v>
      </c>
      <c r="M353" s="20">
        <f t="shared" si="17"/>
        <v>-1.5534099256948457</v>
      </c>
    </row>
    <row r="354" spans="1:13" x14ac:dyDescent="0.2">
      <c r="A354" s="23">
        <v>81.75</v>
      </c>
      <c r="B354" s="20">
        <v>122.96895728093099</v>
      </c>
      <c r="C354" s="20">
        <v>1.1261451404768199</v>
      </c>
      <c r="D354" s="20">
        <v>357.21699596842302</v>
      </c>
      <c r="E354" s="20">
        <v>-3.8300173897391203E-2</v>
      </c>
      <c r="F354" s="20">
        <v>-1.5613851916035699</v>
      </c>
      <c r="G354" s="20">
        <v>1.5618548651777799</v>
      </c>
      <c r="H354" s="20">
        <v>1.87363303799973E-2</v>
      </c>
      <c r="I354" s="20">
        <v>112.139721443566</v>
      </c>
      <c r="J354" s="20">
        <v>122.97436126882234</v>
      </c>
      <c r="K354" s="20">
        <v>1.5617743881140438</v>
      </c>
      <c r="L354" s="20">
        <f t="shared" si="16"/>
        <v>122.97411377048769</v>
      </c>
      <c r="M354" s="20">
        <f t="shared" si="17"/>
        <v>-1.5617712448914407</v>
      </c>
    </row>
    <row r="355" spans="1:13" x14ac:dyDescent="0.2">
      <c r="A355" s="23">
        <v>82</v>
      </c>
      <c r="B355" s="20">
        <v>123.628379382814</v>
      </c>
      <c r="C355" s="20">
        <v>1.14197178096096</v>
      </c>
      <c r="D355" s="20">
        <v>357.20220917628598</v>
      </c>
      <c r="E355" s="20">
        <v>-3.8529780328053397E-2</v>
      </c>
      <c r="F355" s="20">
        <v>-1.5641436182501101</v>
      </c>
      <c r="G355" s="20">
        <v>1.56461810116228</v>
      </c>
      <c r="H355" s="20">
        <v>1.8638084958681599E-2</v>
      </c>
      <c r="I355" s="20">
        <v>112.012618587768</v>
      </c>
      <c r="J355" s="20">
        <v>123.63390236864262</v>
      </c>
      <c r="K355" s="20">
        <v>1.5701505600817616</v>
      </c>
      <c r="L355" s="20">
        <f t="shared" si="16"/>
        <v>123.63365354291486</v>
      </c>
      <c r="M355" s="20">
        <f t="shared" si="17"/>
        <v>-1.5701474000012994</v>
      </c>
    </row>
    <row r="356" spans="1:13" x14ac:dyDescent="0.2">
      <c r="A356" s="23">
        <v>82.25</v>
      </c>
      <c r="B356" s="20">
        <v>124.28896156224801</v>
      </c>
      <c r="C356" s="20">
        <v>1.1579283381045999</v>
      </c>
      <c r="D356" s="20">
        <v>357.18738974861998</v>
      </c>
      <c r="E356" s="20">
        <v>-3.8760143004418997E-2</v>
      </c>
      <c r="F356" s="20">
        <v>-1.56688738003929</v>
      </c>
      <c r="G356" s="20">
        <v>1.56736671216794</v>
      </c>
      <c r="H356" s="20">
        <v>1.8539861951094899E-2</v>
      </c>
      <c r="I356" s="20">
        <v>111.885630069727</v>
      </c>
      <c r="J356" s="20">
        <v>124.29460547483046</v>
      </c>
      <c r="K356" s="20">
        <v>1.5785414895303469</v>
      </c>
      <c r="L356" s="20">
        <f t="shared" si="16"/>
        <v>124.29435531937139</v>
      </c>
      <c r="M356" s="20">
        <f t="shared" si="17"/>
        <v>-1.5785383125623307</v>
      </c>
    </row>
    <row r="357" spans="1:13" x14ac:dyDescent="0.2">
      <c r="A357" s="23">
        <v>82.5</v>
      </c>
      <c r="B357" s="20">
        <v>124.95069762255</v>
      </c>
      <c r="C357" s="20">
        <v>1.17401516652169</v>
      </c>
      <c r="D357" s="20">
        <v>357.17253772517</v>
      </c>
      <c r="E357" s="20">
        <v>-3.8991261079267897E-2</v>
      </c>
      <c r="F357" s="20">
        <v>-1.56961647928891</v>
      </c>
      <c r="G357" s="20">
        <v>1.57010070075008</v>
      </c>
      <c r="H357" s="20">
        <v>1.8441665946716899E-2</v>
      </c>
      <c r="I357" s="20">
        <v>111.75876497528</v>
      </c>
      <c r="J357" s="20">
        <v>124.95646441017735</v>
      </c>
      <c r="K357" s="20">
        <v>1.5869470980092524</v>
      </c>
      <c r="L357" s="20">
        <f t="shared" si="16"/>
        <v>124.95621292266</v>
      </c>
      <c r="M357" s="20">
        <f t="shared" si="17"/>
        <v>-1.5869439041241298</v>
      </c>
    </row>
    <row r="358" spans="1:13" x14ac:dyDescent="0.2">
      <c r="A358" s="23">
        <v>82.75</v>
      </c>
      <c r="B358" s="20">
        <v>125.613581368176</v>
      </c>
      <c r="C358" s="20">
        <v>1.1902326179673099</v>
      </c>
      <c r="D358" s="20">
        <v>357.15765314571502</v>
      </c>
      <c r="E358" s="20">
        <v>-3.9223133688885199E-2</v>
      </c>
      <c r="F358" s="20">
        <v>-1.57233091897713</v>
      </c>
      <c r="G358" s="20">
        <v>1.57282007012495</v>
      </c>
      <c r="H358" s="20">
        <v>1.8343501498650699E-2</v>
      </c>
      <c r="I358" s="20">
        <v>111.632032309083</v>
      </c>
      <c r="J358" s="20">
        <v>125.61947299867656</v>
      </c>
      <c r="K358" s="20">
        <v>1.5953673070831926</v>
      </c>
      <c r="L358" s="20">
        <f t="shared" si="16"/>
        <v>125.61922017678762</v>
      </c>
      <c r="M358" s="20">
        <f t="shared" si="17"/>
        <v>-1.5953640962515843</v>
      </c>
    </row>
    <row r="359" spans="1:13" x14ac:dyDescent="0.2">
      <c r="A359" s="23">
        <v>83</v>
      </c>
      <c r="B359" s="20">
        <v>126.277606604995</v>
      </c>
      <c r="C359" s="20">
        <v>1.2065810413349101</v>
      </c>
      <c r="D359" s="20">
        <v>357.142736050069</v>
      </c>
      <c r="E359" s="20">
        <v>-3.9455759953126099E-2</v>
      </c>
      <c r="F359" s="20">
        <v>-1.57503070273683</v>
      </c>
      <c r="G359" s="20">
        <v>1.57552482416405</v>
      </c>
      <c r="H359" s="20">
        <v>1.8245373123452101E-2</v>
      </c>
      <c r="I359" s="20">
        <v>111.50544099421199</v>
      </c>
      <c r="J359" s="20">
        <v>126.28362506580112</v>
      </c>
      <c r="K359" s="20">
        <v>1.6038020383356741</v>
      </c>
      <c r="L359" s="20">
        <f t="shared" si="16"/>
        <v>126.28337090723856</v>
      </c>
      <c r="M359" s="20">
        <f t="shared" si="17"/>
        <v>-1.6037988105283447</v>
      </c>
    </row>
    <row r="360" spans="1:13" x14ac:dyDescent="0.2">
      <c r="A360" s="23">
        <v>83.25</v>
      </c>
      <c r="B360" s="20">
        <v>126.942767140572</v>
      </c>
      <c r="C360" s="20">
        <v>1.22306078265384</v>
      </c>
      <c r="D360" s="20">
        <v>357.12778647807801</v>
      </c>
      <c r="E360" s="20">
        <v>-3.9689138975482097E-2</v>
      </c>
      <c r="F360" s="20">
        <v>-1.57771583484996</v>
      </c>
      <c r="G360" s="20">
        <v>1.57821496738845</v>
      </c>
      <c r="H360" s="20">
        <v>1.8147285300970002E-2</v>
      </c>
      <c r="I360" s="20">
        <v>111.37899987177801</v>
      </c>
      <c r="J360" s="20">
        <v>126.94891443878063</v>
      </c>
      <c r="K360" s="20">
        <v>1.612251213372514</v>
      </c>
      <c r="L360" s="20">
        <f t="shared" si="16"/>
        <v>126.94865894125685</v>
      </c>
      <c r="M360" s="20">
        <f t="shared" si="17"/>
        <v>-1.612247968560411</v>
      </c>
    </row>
    <row r="361" spans="1:13" x14ac:dyDescent="0.2">
      <c r="A361" s="23">
        <v>83.5</v>
      </c>
      <c r="B361" s="20">
        <v>127.60905678443299</v>
      </c>
      <c r="C361" s="20">
        <v>1.2396721850871799</v>
      </c>
      <c r="D361" s="20">
        <v>357.11280446962701</v>
      </c>
      <c r="E361" s="20">
        <v>-3.9923269843147299E-2</v>
      </c>
      <c r="F361" s="20">
        <v>-1.58038632024182</v>
      </c>
      <c r="G361" s="20">
        <v>1.5808905049630799</v>
      </c>
      <c r="H361" s="20">
        <v>1.8049242474195398E-2</v>
      </c>
      <c r="I361" s="20">
        <v>111.252717700576</v>
      </c>
      <c r="J361" s="20">
        <v>127.61533494687292</v>
      </c>
      <c r="K361" s="20">
        <v>1.620714753825286</v>
      </c>
      <c r="L361" s="20">
        <f t="shared" si="16"/>
        <v>127.61507810811042</v>
      </c>
      <c r="M361" s="20">
        <f t="shared" si="17"/>
        <v>-1.6207114919794854</v>
      </c>
    </row>
    <row r="362" spans="1:13" x14ac:dyDescent="0.2">
      <c r="A362" s="23">
        <v>83.75</v>
      </c>
      <c r="B362" s="20">
        <v>128.27646934834399</v>
      </c>
      <c r="C362" s="20">
        <v>1.2564155889297599</v>
      </c>
      <c r="D362" s="20">
        <v>357.09779006462998</v>
      </c>
      <c r="E362" s="20">
        <v>-4.0158151627085498E-2</v>
      </c>
      <c r="F362" s="20">
        <v>-1.5830421644753101</v>
      </c>
      <c r="G362" s="20">
        <v>1.58355144269101</v>
      </c>
      <c r="H362" s="20">
        <v>1.7951249049121199E-2</v>
      </c>
      <c r="I362" s="20">
        <v>111.12660315673099</v>
      </c>
      <c r="J362" s="20">
        <v>128.28288042163547</v>
      </c>
      <c r="K362" s="20">
        <v>1.6291925813547707</v>
      </c>
      <c r="L362" s="20">
        <f t="shared" si="16"/>
        <v>128.28262223936935</v>
      </c>
      <c r="M362" s="20">
        <f t="shared" si="17"/>
        <v>-1.6291893024465074</v>
      </c>
    </row>
    <row r="363" spans="1:13" x14ac:dyDescent="0.2">
      <c r="A363" s="23">
        <v>84</v>
      </c>
      <c r="B363" s="20">
        <v>128.94499864657701</v>
      </c>
      <c r="C363" s="20">
        <v>1.27329133160651</v>
      </c>
      <c r="D363" s="20">
        <v>357.082743303038</v>
      </c>
      <c r="E363" s="20">
        <v>-4.0393783382097502E-2</v>
      </c>
      <c r="F363" s="20">
        <v>-1.58568337374524</v>
      </c>
      <c r="G363" s="20">
        <v>1.58619778700767</v>
      </c>
      <c r="H363" s="20">
        <v>1.7853309394611001E-2</v>
      </c>
      <c r="I363" s="20">
        <v>111.000664833383</v>
      </c>
      <c r="J363" s="20">
        <v>128.95154469719145</v>
      </c>
      <c r="K363" s="20">
        <v>1.6376846176543316</v>
      </c>
      <c r="L363" s="20">
        <f t="shared" si="16"/>
        <v>128.95128516917111</v>
      </c>
      <c r="M363" s="20">
        <f t="shared" si="17"/>
        <v>-1.6376813216550241</v>
      </c>
    </row>
    <row r="364" spans="1:13" x14ac:dyDescent="0.2">
      <c r="A364" s="23">
        <v>84.25</v>
      </c>
      <c r="B364" s="20">
        <v>129.61463849617601</v>
      </c>
      <c r="C364" s="20">
        <v>1.2902997476710101</v>
      </c>
      <c r="D364" s="20">
        <v>357.067664224834</v>
      </c>
      <c r="E364" s="20">
        <v>-4.0630164146889199E-2</v>
      </c>
      <c r="F364" s="20">
        <v>-1.5883099548724899</v>
      </c>
      <c r="G364" s="20">
        <v>1.58882954497506</v>
      </c>
      <c r="H364" s="20">
        <v>1.7755427842278401E-2</v>
      </c>
      <c r="I364" s="20">
        <v>110.87491124037901</v>
      </c>
      <c r="J364" s="20">
        <v>129.62132161049982</v>
      </c>
      <c r="K364" s="20">
        <v>1.6461907844533479</v>
      </c>
      <c r="L364" s="20">
        <f t="shared" si="16"/>
        <v>129.62106073448572</v>
      </c>
      <c r="M364" s="20">
        <f t="shared" si="17"/>
        <v>-1.6461874713345532</v>
      </c>
    </row>
    <row r="365" spans="1:13" x14ac:dyDescent="0.2">
      <c r="A365" s="23">
        <v>84.5</v>
      </c>
      <c r="B365" s="20">
        <v>130.28538271722201</v>
      </c>
      <c r="C365" s="20">
        <v>1.3074411688043399</v>
      </c>
      <c r="D365" s="20">
        <v>357.05255287003303</v>
      </c>
      <c r="E365" s="20">
        <v>-4.0867292944139301E-2</v>
      </c>
      <c r="F365" s="20">
        <v>-1.5909219152982299</v>
      </c>
      <c r="G365" s="20">
        <v>1.59144672427599</v>
      </c>
      <c r="H365" s="20">
        <v>1.7657608686375201E-2</v>
      </c>
      <c r="I365" s="20">
        <v>110.749350803986</v>
      </c>
      <c r="J365" s="20">
        <v>130.29220500161406</v>
      </c>
      <c r="K365" s="20">
        <v>1.6547110035204988</v>
      </c>
      <c r="L365" s="20">
        <f t="shared" si="16"/>
        <v>130.29194277537999</v>
      </c>
      <c r="M365" s="20">
        <f t="shared" si="17"/>
        <v>-1.6547076732539447</v>
      </c>
    </row>
    <row r="366" spans="1:13" x14ac:dyDescent="0.2">
      <c r="A366" s="23">
        <v>84.75</v>
      </c>
      <c r="B366" s="20">
        <v>130.957225133094</v>
      </c>
      <c r="C366" s="20">
        <v>1.32471592381411</v>
      </c>
      <c r="D366" s="20">
        <v>357.03740927868603</v>
      </c>
      <c r="E366" s="20">
        <v>-4.11051687805691E-2</v>
      </c>
      <c r="F366" s="20">
        <v>-1.5935192630781201</v>
      </c>
      <c r="G366" s="20">
        <v>1.5940493332082</v>
      </c>
      <c r="H366" s="20">
        <v>1.75598561836895E-2</v>
      </c>
      <c r="I366" s="20">
        <v>110.623991866625</v>
      </c>
      <c r="J366" s="20">
        <v>130.96418871394772</v>
      </c>
      <c r="K366" s="20">
        <v>1.663245196667136</v>
      </c>
      <c r="L366" s="20">
        <f t="shared" si="16"/>
        <v>130.96392513527789</v>
      </c>
      <c r="M366" s="20">
        <f t="shared" si="17"/>
        <v>-1.6632418492246823</v>
      </c>
    </row>
    <row r="367" spans="1:13" x14ac:dyDescent="0.2">
      <c r="A367" s="23">
        <v>85</v>
      </c>
      <c r="B367" s="20">
        <v>131.63015957073</v>
      </c>
      <c r="C367" s="20">
        <v>1.34212433863384</v>
      </c>
      <c r="D367" s="20">
        <v>357.02223349087399</v>
      </c>
      <c r="E367" s="20">
        <v>-4.1343790647010999E-2</v>
      </c>
      <c r="F367" s="20">
        <v>-1.59610200687644</v>
      </c>
      <c r="G367" s="20">
        <v>1.5966373806785501</v>
      </c>
      <c r="H367" s="20">
        <v>1.7462174553453599E-2</v>
      </c>
      <c r="I367" s="20">
        <v>110.498842686622</v>
      </c>
      <c r="J367" s="20">
        <v>131.63726659452772</v>
      </c>
      <c r="K367" s="20">
        <v>1.671793285750502</v>
      </c>
      <c r="L367" s="20">
        <f t="shared" si="16"/>
        <v>131.63700166122061</v>
      </c>
      <c r="M367" s="20">
        <f t="shared" si="17"/>
        <v>-1.6717899211041891</v>
      </c>
    </row>
    <row r="368" spans="1:13" x14ac:dyDescent="0.2">
      <c r="A368" s="23">
        <v>85.25</v>
      </c>
      <c r="B368" s="20">
        <v>132.30417986088199</v>
      </c>
      <c r="C368" s="20">
        <v>1.3596667363224999</v>
      </c>
      <c r="D368" s="20">
        <v>357.00702554671102</v>
      </c>
      <c r="E368" s="20">
        <v>-4.1583157518478499E-2</v>
      </c>
      <c r="F368" s="20">
        <v>-1.5986701559602501</v>
      </c>
      <c r="G368" s="20">
        <v>1.59921087619713</v>
      </c>
      <c r="H368" s="20">
        <v>1.7364567977260801E-2</v>
      </c>
      <c r="I368" s="20">
        <v>110.373911437972</v>
      </c>
      <c r="J368" s="20">
        <v>132.31143249425503</v>
      </c>
      <c r="K368" s="20">
        <v>1.680355192677039</v>
      </c>
      <c r="L368" s="20">
        <f t="shared" si="16"/>
        <v>132.31116620412078</v>
      </c>
      <c r="M368" s="20">
        <f t="shared" si="17"/>
        <v>-1.6803518107990554</v>
      </c>
    </row>
    <row r="369" spans="1:13" x14ac:dyDescent="0.2">
      <c r="A369" s="23">
        <v>85.5</v>
      </c>
      <c r="B369" s="20">
        <v>132.97927983836999</v>
      </c>
      <c r="C369" s="20">
        <v>1.3773434370643101</v>
      </c>
      <c r="D369" s="20">
        <v>356.99178548634302</v>
      </c>
      <c r="E369" s="20">
        <v>-4.1823268354236103E-2</v>
      </c>
      <c r="F369" s="20">
        <v>-1.60122372019352</v>
      </c>
      <c r="G369" s="20">
        <v>1.60176982987139</v>
      </c>
      <c r="H369" s="20">
        <v>1.72670405989921E-2</v>
      </c>
      <c r="I369" s="20">
        <v>110.24920621012799</v>
      </c>
      <c r="J369" s="20">
        <v>132.9866802681542</v>
      </c>
      <c r="K369" s="20">
        <v>1.6889308394055584</v>
      </c>
      <c r="L369" s="20">
        <f t="shared" si="16"/>
        <v>132.98641261901585</v>
      </c>
      <c r="M369" s="20">
        <f t="shared" si="17"/>
        <v>-1.688927440268257</v>
      </c>
    </row>
    <row r="370" spans="1:13" x14ac:dyDescent="0.2">
      <c r="A370" s="23">
        <v>85.75</v>
      </c>
      <c r="B370" s="20">
        <v>133.65545334233499</v>
      </c>
      <c r="C370" s="20">
        <v>1.3951547581688399</v>
      </c>
      <c r="D370" s="20">
        <v>356.97651334994703</v>
      </c>
      <c r="E370" s="20">
        <v>-4.2064122097870103E-2</v>
      </c>
      <c r="F370" s="20">
        <v>-1.60376271003122</v>
      </c>
      <c r="G370" s="20">
        <v>1.6043142524002401</v>
      </c>
      <c r="H370" s="20">
        <v>1.7169596524751599E-2</v>
      </c>
      <c r="I370" s="20">
        <v>110.124735007806</v>
      </c>
      <c r="J370" s="20">
        <v>133.66300377562783</v>
      </c>
      <c r="K370" s="20">
        <v>1.6975201479504736</v>
      </c>
      <c r="L370" s="20">
        <f t="shared" si="16"/>
        <v>133.66273476532015</v>
      </c>
      <c r="M370" s="20">
        <f t="shared" si="17"/>
        <v>-1.6975167315263562</v>
      </c>
    </row>
    <row r="371" spans="1:13" x14ac:dyDescent="0.2">
      <c r="A371" s="23">
        <v>86</v>
      </c>
      <c r="B371" s="20">
        <v>134.33269421648799</v>
      </c>
      <c r="C371" s="20">
        <v>1.4131010140712701</v>
      </c>
      <c r="D371" s="20">
        <v>356.96120917773197</v>
      </c>
      <c r="E371" s="20">
        <v>-4.2305717677359599E-2</v>
      </c>
      <c r="F371" s="20">
        <v>-1.6062871365134199</v>
      </c>
      <c r="G371" s="20">
        <v>1.60684415506815</v>
      </c>
      <c r="H371" s="20">
        <v>1.7072239822811801E-2</v>
      </c>
      <c r="I371" s="20">
        <v>110.000505750801</v>
      </c>
      <c r="J371" s="20">
        <v>134.34039688070359</v>
      </c>
      <c r="K371" s="20">
        <v>1.7061230403849357</v>
      </c>
      <c r="L371" s="20">
        <f t="shared" si="16"/>
        <v>134.34012650707322</v>
      </c>
      <c r="M371" s="20">
        <f t="shared" si="17"/>
        <v>-1.7061196066466544</v>
      </c>
    </row>
    <row r="372" spans="1:13" x14ac:dyDescent="0.2">
      <c r="A372" s="23">
        <v>86.25</v>
      </c>
      <c r="B372" s="20">
        <v>135.01099630935599</v>
      </c>
      <c r="C372" s="20">
        <v>1.4311825163329399</v>
      </c>
      <c r="D372" s="20">
        <v>356.94587300994101</v>
      </c>
      <c r="E372" s="20">
        <v>-4.2548054005147197E-2</v>
      </c>
      <c r="F372" s="20">
        <v>-1.6087970112593799</v>
      </c>
      <c r="G372" s="20">
        <v>1.6093595497391899</v>
      </c>
      <c r="H372" s="20">
        <v>1.69749745235677E-2</v>
      </c>
      <c r="I372" s="20">
        <v>109.876526273829</v>
      </c>
      <c r="J372" s="20">
        <v>135.01885345227768</v>
      </c>
      <c r="K372" s="20">
        <v>1.7147394388439268</v>
      </c>
      <c r="L372" s="20">
        <f t="shared" si="16"/>
        <v>135.01858171318491</v>
      </c>
      <c r="M372" s="20">
        <f t="shared" si="17"/>
        <v>-1.7147359877643074</v>
      </c>
    </row>
    <row r="373" spans="1:13" x14ac:dyDescent="0.2">
      <c r="A373" s="23">
        <v>86.5</v>
      </c>
      <c r="B373" s="20">
        <v>135.690353474528</v>
      </c>
      <c r="C373" s="20">
        <v>1.4493995736421099</v>
      </c>
      <c r="D373" s="20">
        <v>356.93050488684401</v>
      </c>
      <c r="E373" s="20">
        <v>-4.2791129978211703E-2</v>
      </c>
      <c r="F373" s="20">
        <v>-1.61129234646161</v>
      </c>
      <c r="G373" s="20">
        <v>1.6118604488511401</v>
      </c>
      <c r="H373" s="20">
        <v>1.68778046195001E-2</v>
      </c>
      <c r="I373" s="20">
        <v>109.752804326383</v>
      </c>
      <c r="J373" s="20">
        <v>135.69836736436378</v>
      </c>
      <c r="K373" s="20">
        <v>1.7233692655274202</v>
      </c>
      <c r="L373" s="20">
        <f t="shared" si="16"/>
        <v>135.69809425768079</v>
      </c>
      <c r="M373" s="20">
        <f t="shared" si="17"/>
        <v>-1.7233657970794396</v>
      </c>
    </row>
    <row r="374" spans="1:13" x14ac:dyDescent="0.2">
      <c r="A374" s="23">
        <v>86.75</v>
      </c>
      <c r="B374" s="20">
        <v>136.37075957089399</v>
      </c>
      <c r="C374" s="20">
        <v>1.46775249181495</v>
      </c>
      <c r="D374" s="20">
        <v>356.91510484874402</v>
      </c>
      <c r="E374" s="20">
        <v>-4.3034944478139499E-2</v>
      </c>
      <c r="F374" s="20">
        <v>-1.6137731548799501</v>
      </c>
      <c r="G374" s="20">
        <v>1.6143468654094899</v>
      </c>
      <c r="H374" s="20">
        <v>1.67807340651479E-2</v>
      </c>
      <c r="I374" s="20">
        <v>109.62934757259799</v>
      </c>
      <c r="J374" s="20">
        <v>136.3789324963291</v>
      </c>
      <c r="K374" s="20">
        <v>1.7320124427033796</v>
      </c>
      <c r="L374" s="20">
        <f t="shared" si="16"/>
        <v>136.37865801994022</v>
      </c>
      <c r="M374" s="20">
        <f t="shared" si="17"/>
        <v>-1.7320089568601686</v>
      </c>
    </row>
    <row r="375" spans="1:13" x14ac:dyDescent="0.2">
      <c r="A375" s="23">
        <v>87</v>
      </c>
      <c r="B375" s="20">
        <v>137.05220846288699</v>
      </c>
      <c r="C375" s="20">
        <v>1.48624157379679</v>
      </c>
      <c r="D375" s="20">
        <v>356.89967293597402</v>
      </c>
      <c r="E375" s="20">
        <v>-4.3279496371197101E-2</v>
      </c>
      <c r="F375" s="20">
        <v>-1.6162394498355801</v>
      </c>
      <c r="G375" s="20">
        <v>1.61681881298152</v>
      </c>
      <c r="H375" s="20">
        <v>1.66837667770896E-2</v>
      </c>
      <c r="I375" s="20">
        <v>109.506163591149</v>
      </c>
      <c r="J375" s="20">
        <v>137.06054273313646</v>
      </c>
      <c r="K375" s="20">
        <v>1.7406688927108331</v>
      </c>
      <c r="L375" s="20">
        <f t="shared" si="16"/>
        <v>137.06026688493759</v>
      </c>
      <c r="M375" s="20">
        <f t="shared" si="17"/>
        <v>-1.7406653894456701</v>
      </c>
    </row>
    <row r="376" spans="1:13" x14ac:dyDescent="0.2">
      <c r="A376" s="23">
        <v>87.25</v>
      </c>
      <c r="B376" s="20">
        <v>137.73469402071899</v>
      </c>
      <c r="C376" s="20">
        <v>1.5048671196635599</v>
      </c>
      <c r="D376" s="20">
        <v>356.88420918889801</v>
      </c>
      <c r="E376" s="20">
        <v>-4.3524784508404302E-2</v>
      </c>
      <c r="F376" s="20">
        <v>-1.6186912452050799</v>
      </c>
      <c r="G376" s="20">
        <v>1.6192763056903201</v>
      </c>
      <c r="H376" s="20">
        <v>1.65869066339332E-2</v>
      </c>
      <c r="I376" s="20">
        <v>109.383259875148</v>
      </c>
      <c r="J376" s="20">
        <v>137.74319196557633</v>
      </c>
      <c r="K376" s="20">
        <v>1.7493385379628195</v>
      </c>
      <c r="L376" s="20">
        <f t="shared" si="16"/>
        <v>137.74291474347757</v>
      </c>
      <c r="M376" s="20">
        <f t="shared" si="17"/>
        <v>-1.7493350172491626</v>
      </c>
    </row>
    <row r="377" spans="1:13" x14ac:dyDescent="0.2">
      <c r="A377" s="23">
        <v>87.5</v>
      </c>
      <c r="B377" s="20">
        <v>138.418210120613</v>
      </c>
      <c r="C377" s="20">
        <v>1.52362942662347</v>
      </c>
      <c r="D377" s="20">
        <v>356.86871364791102</v>
      </c>
      <c r="E377" s="20">
        <v>-4.3770807725607402E-2</v>
      </c>
      <c r="F377" s="20">
        <v>-1.6211285554144701</v>
      </c>
      <c r="G377" s="20">
        <v>1.6217193582088001</v>
      </c>
      <c r="H377" s="20">
        <v>1.6490157476315801E-2</v>
      </c>
      <c r="I377" s="20">
        <v>109.260643832071</v>
      </c>
      <c r="J377" s="20">
        <v>138.42687409050433</v>
      </c>
      <c r="K377" s="20">
        <v>1.7580213009494052</v>
      </c>
      <c r="L377" s="20">
        <f t="shared" si="16"/>
        <v>138.4265954924264</v>
      </c>
      <c r="M377" s="20">
        <f t="shared" si="17"/>
        <v>-1.7580177627608475</v>
      </c>
    </row>
    <row r="378" spans="1:13" x14ac:dyDescent="0.2">
      <c r="A378" s="23">
        <v>87.75</v>
      </c>
      <c r="B378" s="20">
        <v>139.10275064503799</v>
      </c>
      <c r="C378" s="20">
        <v>1.5425287890189101</v>
      </c>
      <c r="D378" s="20">
        <v>356.853186353436</v>
      </c>
      <c r="E378" s="20">
        <v>-4.40175648435523E-2</v>
      </c>
      <c r="F378" s="20">
        <v>-1.6235513954332099</v>
      </c>
      <c r="G378" s="20">
        <v>1.62414798575373</v>
      </c>
      <c r="H378" s="20">
        <v>1.63935231069108E-2</v>
      </c>
      <c r="I378" s="20">
        <v>109.138322783691</v>
      </c>
      <c r="J378" s="20">
        <v>139.11158301107014</v>
      </c>
      <c r="K378" s="20">
        <v>1.7667171042405907</v>
      </c>
      <c r="L378" s="20">
        <f t="shared" si="16"/>
        <v>139.11130303494596</v>
      </c>
      <c r="M378" s="20">
        <f t="shared" si="17"/>
        <v>-1.7667135485508807</v>
      </c>
    </row>
    <row r="379" spans="1:13" x14ac:dyDescent="0.2">
      <c r="A379" s="23">
        <v>88</v>
      </c>
      <c r="B379" s="20">
        <v>139.788309482937</v>
      </c>
      <c r="C379" s="20">
        <v>1.5615654983285701</v>
      </c>
      <c r="D379" s="20">
        <v>356.83762734592602</v>
      </c>
      <c r="E379" s="20">
        <v>-4.4265054667958902E-2</v>
      </c>
      <c r="F379" s="20">
        <v>-1.62595978076827</v>
      </c>
      <c r="G379" s="20">
        <v>1.6265622040797401</v>
      </c>
      <c r="H379" s="20">
        <v>1.62970072904449E-2</v>
      </c>
      <c r="I379" s="20">
        <v>109.016303966031</v>
      </c>
      <c r="J379" s="20">
        <v>139.79731263694615</v>
      </c>
      <c r="K379" s="20">
        <v>1.7754258704892161</v>
      </c>
      <c r="L379" s="20">
        <f t="shared" si="16"/>
        <v>139.7970312807212</v>
      </c>
      <c r="M379" s="20">
        <f t="shared" si="17"/>
        <v>-1.7754222972722611</v>
      </c>
    </row>
    <row r="380" spans="1:13" x14ac:dyDescent="0.2">
      <c r="A380" s="23">
        <v>88.25</v>
      </c>
      <c r="B380" s="20">
        <v>140.474880529952</v>
      </c>
      <c r="C380" s="20">
        <v>1.5807398431698001</v>
      </c>
      <c r="D380" s="20">
        <v>356.82203666586599</v>
      </c>
      <c r="E380" s="20">
        <v>-4.4513275989594703E-2</v>
      </c>
      <c r="F380" s="20">
        <v>-1.6283537274580799</v>
      </c>
      <c r="G380" s="20">
        <v>1.62896202947335</v>
      </c>
      <c r="H380" s="20">
        <v>1.62006137537231E-2</v>
      </c>
      <c r="I380" s="20">
        <v>108.894594529337</v>
      </c>
      <c r="J380" s="20">
        <v>140.48405688455122</v>
      </c>
      <c r="K380" s="20">
        <v>1.7841475224338006</v>
      </c>
      <c r="L380" s="20">
        <f t="shared" si="16"/>
        <v>140.48377414618415</v>
      </c>
      <c r="M380" s="20">
        <f t="shared" si="17"/>
        <v>-1.7841439316636751</v>
      </c>
    </row>
    <row r="381" spans="1:13" x14ac:dyDescent="0.2">
      <c r="A381" s="23">
        <v>88.5</v>
      </c>
      <c r="B381" s="20">
        <v>141.16245768865201</v>
      </c>
      <c r="C381" s="20">
        <v>1.60005210930111</v>
      </c>
      <c r="D381" s="20">
        <v>356.80641435376901</v>
      </c>
      <c r="E381" s="20">
        <v>-4.4762227584350001E-2</v>
      </c>
      <c r="F381" s="20">
        <v>-1.6307332520666</v>
      </c>
      <c r="G381" s="20">
        <v>1.63134747874695</v>
      </c>
      <c r="H381" s="20">
        <v>1.6104346185662501E-2</v>
      </c>
      <c r="I381" s="20">
        <v>108.773201538056</v>
      </c>
      <c r="J381" s="20">
        <v>141.17180967728001</v>
      </c>
      <c r="K381" s="20">
        <v>1.7928819829014564</v>
      </c>
      <c r="L381" s="20">
        <f t="shared" si="16"/>
        <v>141.17152555474121</v>
      </c>
      <c r="M381" s="20">
        <f t="shared" si="17"/>
        <v>-1.7928783745523849</v>
      </c>
    </row>
    <row r="382" spans="1:13" x14ac:dyDescent="0.2">
      <c r="A382" s="23">
        <v>88.75</v>
      </c>
      <c r="B382" s="20">
        <v>141.851034868748</v>
      </c>
      <c r="C382" s="20">
        <v>1.619502579625</v>
      </c>
      <c r="D382" s="20">
        <v>356.790760450177</v>
      </c>
      <c r="E382" s="20">
        <v>-4.5011908213312503E-2</v>
      </c>
      <c r="F382" s="20">
        <v>-1.6330983716773</v>
      </c>
      <c r="G382" s="20">
        <v>1.63371856923279</v>
      </c>
      <c r="H382" s="20">
        <v>1.60082082373347E-2</v>
      </c>
      <c r="I382" s="20">
        <v>108.652131970841</v>
      </c>
      <c r="J382" s="20">
        <v>141.86056494571648</v>
      </c>
      <c r="K382" s="20">
        <v>1.8016291748105995</v>
      </c>
      <c r="L382" s="20">
        <f t="shared" si="16"/>
        <v>141.86027943698747</v>
      </c>
      <c r="M382" s="20">
        <f t="shared" si="17"/>
        <v>-1.8016255488569475</v>
      </c>
    </row>
    <row r="383" spans="1:13" x14ac:dyDescent="0.2">
      <c r="A383" s="23">
        <v>89</v>
      </c>
      <c r="B383" s="20">
        <v>142.54060598731999</v>
      </c>
      <c r="C383" s="20">
        <v>1.6390915341908701</v>
      </c>
      <c r="D383" s="20">
        <v>356.77507499566099</v>
      </c>
      <c r="E383" s="20">
        <v>-4.5262316622841997E-2</v>
      </c>
      <c r="F383" s="20">
        <v>-1.6354491038871799</v>
      </c>
      <c r="G383" s="20">
        <v>1.63607531877705</v>
      </c>
      <c r="H383" s="20">
        <v>1.5912203522015899E-2</v>
      </c>
      <c r="I383" s="20">
        <v>108.53139272056001</v>
      </c>
      <c r="J383" s="20">
        <v>142.55031662785689</v>
      </c>
      <c r="K383" s="20">
        <v>1.8103890211737825</v>
      </c>
      <c r="L383" s="20">
        <f t="shared" si="16"/>
        <v>142.55002973093292</v>
      </c>
      <c r="M383" s="20">
        <f t="shared" si="17"/>
        <v>-1.8103853775900896</v>
      </c>
    </row>
    <row r="384" spans="1:13" x14ac:dyDescent="0.2">
      <c r="A384" s="23">
        <v>89.25</v>
      </c>
      <c r="B384" s="20">
        <v>143.23116496902799</v>
      </c>
      <c r="C384" s="20">
        <v>1.6588192501982599</v>
      </c>
      <c r="D384" s="20">
        <v>356.75935803082098</v>
      </c>
      <c r="E384" s="20">
        <v>-4.5513451544646498E-2</v>
      </c>
      <c r="F384" s="20">
        <v>-1.6377854668007901</v>
      </c>
      <c r="G384" s="20">
        <v>1.6384177457337901</v>
      </c>
      <c r="H384" s="20">
        <v>1.5816335615246601E-2</v>
      </c>
      <c r="I384" s="20">
        <v>108.410990594327</v>
      </c>
      <c r="J384" s="20">
        <v>143.24105866932433</v>
      </c>
      <c r="K384" s="20">
        <v>1.819161445100419</v>
      </c>
      <c r="L384" s="20">
        <f t="shared" si="16"/>
        <v>143.24077038221253</v>
      </c>
      <c r="M384" s="20">
        <f t="shared" si="17"/>
        <v>-1.8191577838613759</v>
      </c>
    </row>
    <row r="385" spans="1:13" x14ac:dyDescent="0.2">
      <c r="A385" s="23">
        <v>89.5</v>
      </c>
      <c r="B385" s="20">
        <v>143.92270574632701</v>
      </c>
      <c r="C385" s="20">
        <v>1.6786860020001699</v>
      </c>
      <c r="D385" s="20">
        <v>356.743609596287</v>
      </c>
      <c r="E385" s="20">
        <v>-4.5765311695857597E-2</v>
      </c>
      <c r="F385" s="20">
        <v>-1.64010747902423</v>
      </c>
      <c r="G385" s="20">
        <v>1.64074586895894</v>
      </c>
      <c r="H385" s="20">
        <v>1.5720608054898801E-2</v>
      </c>
      <c r="I385" s="20">
        <v>108.29093231354599</v>
      </c>
      <c r="J385" s="20">
        <v>143.93278502358217</v>
      </c>
      <c r="K385" s="20">
        <v>1.8279463697994935</v>
      </c>
      <c r="L385" s="20">
        <f t="shared" si="16"/>
        <v>143.93249534430069</v>
      </c>
      <c r="M385" s="20">
        <f t="shared" si="17"/>
        <v>-1.8279426908799306</v>
      </c>
    </row>
    <row r="386" spans="1:13" x14ac:dyDescent="0.2">
      <c r="A386" s="23">
        <v>89.75</v>
      </c>
      <c r="B386" s="20">
        <v>144.61522225968099</v>
      </c>
      <c r="C386" s="20">
        <v>1.69869206110669</v>
      </c>
      <c r="D386" s="20">
        <v>356.72782973271597</v>
      </c>
      <c r="E386" s="20">
        <v>-4.6017895779106303E-2</v>
      </c>
      <c r="F386" s="20">
        <v>-1.6424151596591801</v>
      </c>
      <c r="G386" s="20">
        <v>1.64305970780438</v>
      </c>
      <c r="H386" s="20">
        <v>1.5625024341251102E-2</v>
      </c>
      <c r="I386" s="20">
        <v>108.17122451396899</v>
      </c>
      <c r="J386" s="20">
        <v>144.62548965214322</v>
      </c>
      <c r="K386" s="20">
        <v>1.8367437185822189</v>
      </c>
      <c r="L386" s="20">
        <f t="shared" si="16"/>
        <v>144.62519857872417</v>
      </c>
      <c r="M386" s="20">
        <f t="shared" si="17"/>
        <v>-1.8367400219571439</v>
      </c>
    </row>
    <row r="387" spans="1:13" x14ac:dyDescent="0.2">
      <c r="A387" s="23">
        <v>90</v>
      </c>
      <c r="B387" s="20">
        <v>145.30870845776701</v>
      </c>
      <c r="C387" s="20">
        <v>1.7188376961887899</v>
      </c>
      <c r="D387" s="20">
        <v>356.712018480795</v>
      </c>
      <c r="E387" s="20">
        <v>-4.6271202482599701E-2</v>
      </c>
      <c r="F387" s="20">
        <v>-1.6447085282968901</v>
      </c>
      <c r="G387" s="20">
        <v>1.6453592821118701</v>
      </c>
      <c r="H387" s="20">
        <v>1.5529587937073101E-2</v>
      </c>
      <c r="I387" s="20">
        <v>108.051873745766</v>
      </c>
      <c r="J387" s="20">
        <v>145.31916652477989</v>
      </c>
      <c r="K387" s="20">
        <v>1.8455534148647046</v>
      </c>
      <c r="L387" s="20">
        <f t="shared" si="16"/>
        <v>145.3188740552657</v>
      </c>
      <c r="M387" s="20">
        <f t="shared" si="17"/>
        <v>-1.8455497005092567</v>
      </c>
    </row>
    <row r="388" spans="1:13" x14ac:dyDescent="0.2">
      <c r="A388" s="23">
        <v>90.25</v>
      </c>
      <c r="B388" s="20">
        <v>146.003158297688</v>
      </c>
      <c r="C388" s="20">
        <v>1.7391231730822401</v>
      </c>
      <c r="D388" s="20">
        <v>356.69617588123702</v>
      </c>
      <c r="E388" s="20">
        <v>-4.6525230480197098E-2</v>
      </c>
      <c r="F388" s="20">
        <v>-1.6469876050122301</v>
      </c>
      <c r="G388" s="20">
        <v>1.64764461220713</v>
      </c>
      <c r="H388" s="20">
        <v>1.5434302267716899E-2</v>
      </c>
      <c r="I388" s="20">
        <v>107.932886473612</v>
      </c>
      <c r="J388" s="20">
        <v>146.01380961972944</v>
      </c>
      <c r="K388" s="20">
        <v>1.854375382170564</v>
      </c>
      <c r="L388" s="20">
        <f t="shared" si="16"/>
        <v>146.01351575217581</v>
      </c>
      <c r="M388" s="20">
        <f t="shared" si="17"/>
        <v>-1.8543716500600504</v>
      </c>
    </row>
    <row r="389" spans="1:13" x14ac:dyDescent="0.2">
      <c r="A389" s="23">
        <v>90.5</v>
      </c>
      <c r="B389" s="20">
        <v>146.69856574517101</v>
      </c>
      <c r="C389" s="20">
        <v>1.75954875479187</v>
      </c>
      <c r="D389" s="20">
        <v>356.680301974786</v>
      </c>
      <c r="E389" s="20">
        <v>-4.67799784314872E-2</v>
      </c>
      <c r="F389" s="20">
        <v>-1.64925241035772</v>
      </c>
      <c r="G389" s="20">
        <v>1.6499157188937901</v>
      </c>
      <c r="H389" s="20">
        <v>1.5339170721216801E-2</v>
      </c>
      <c r="I389" s="20">
        <v>107.814269076786</v>
      </c>
      <c r="J389" s="20">
        <v>146.70941292389583</v>
      </c>
      <c r="K389" s="20">
        <v>1.8632095441334773</v>
      </c>
      <c r="L389" s="20">
        <f t="shared" si="16"/>
        <v>146.70911765637047</v>
      </c>
      <c r="M389" s="20">
        <f t="shared" si="17"/>
        <v>-1.863205794243358</v>
      </c>
    </row>
    <row r="390" spans="1:13" x14ac:dyDescent="0.2">
      <c r="A390" s="23">
        <v>90.75</v>
      </c>
      <c r="B390" s="20">
        <v>147.39492477477</v>
      </c>
      <c r="C390" s="20">
        <v>1.78011470149587</v>
      </c>
      <c r="D390" s="20">
        <v>356.66439680221202</v>
      </c>
      <c r="E390" s="20">
        <v>-4.7035444981864599E-2</v>
      </c>
      <c r="F390" s="20">
        <v>-1.6515029653575499</v>
      </c>
      <c r="G390" s="20">
        <v>1.65217262344751</v>
      </c>
      <c r="H390" s="20">
        <v>1.5244196648397599E-2</v>
      </c>
      <c r="I390" s="20">
        <v>107.696027849285</v>
      </c>
      <c r="J390" s="20">
        <v>147.40597043305067</v>
      </c>
      <c r="K390" s="20">
        <v>1.8720558244997436</v>
      </c>
      <c r="L390" s="20">
        <f t="shared" si="16"/>
        <v>147.40567376363296</v>
      </c>
      <c r="M390" s="20">
        <f t="shared" si="17"/>
        <v>-1.8720520568056269</v>
      </c>
    </row>
    <row r="391" spans="1:13" x14ac:dyDescent="0.2">
      <c r="A391" s="23">
        <v>91</v>
      </c>
      <c r="B391" s="20">
        <v>148.092229370068</v>
      </c>
      <c r="C391" s="20">
        <v>1.8008212705503699</v>
      </c>
      <c r="D391" s="20">
        <v>356.64846040431399</v>
      </c>
      <c r="E391" s="20">
        <v>-4.7291628762607701E-2</v>
      </c>
      <c r="F391" s="20">
        <v>-1.6537392915016</v>
      </c>
      <c r="G391" s="20">
        <v>1.6544153476099199</v>
      </c>
      <c r="H391" s="20">
        <v>1.51493833629901E-2</v>
      </c>
      <c r="I391" s="20">
        <v>107.57816899994999</v>
      </c>
      <c r="J391" s="20">
        <v>148.10347615203372</v>
      </c>
      <c r="K391" s="20">
        <v>1.8809141471308282</v>
      </c>
      <c r="L391" s="20">
        <f t="shared" si="16"/>
        <v>148.10317807881538</v>
      </c>
      <c r="M391" s="20">
        <f t="shared" si="17"/>
        <v>-1.8809103616084788</v>
      </c>
    </row>
    <row r="392" spans="1:13" x14ac:dyDescent="0.2">
      <c r="A392" s="23">
        <v>91.25</v>
      </c>
      <c r="B392" s="20">
        <v>148.790473523869</v>
      </c>
      <c r="C392" s="20">
        <v>1.8216687164941501</v>
      </c>
      <c r="D392" s="20">
        <v>356.63249282191703</v>
      </c>
      <c r="E392" s="20">
        <v>-4.75485283909554E-2</v>
      </c>
      <c r="F392" s="20">
        <v>-1.6559614107395599</v>
      </c>
      <c r="G392" s="20">
        <v>1.65664391358273</v>
      </c>
      <c r="H392" s="20">
        <v>1.5054734141755099E-2</v>
      </c>
      <c r="I392" s="20">
        <v>107.46069865260399</v>
      </c>
      <c r="J392" s="20">
        <v>148.80192409494524</v>
      </c>
      <c r="K392" s="20">
        <v>1.8897844360058047</v>
      </c>
      <c r="L392" s="20">
        <f t="shared" si="16"/>
        <v>148.8016246160297</v>
      </c>
      <c r="M392" s="20">
        <f t="shared" si="17"/>
        <v>-1.8897806326311364</v>
      </c>
    </row>
    <row r="393" spans="1:13" x14ac:dyDescent="0.2">
      <c r="A393" s="23">
        <v>91.5</v>
      </c>
      <c r="B393" s="20">
        <v>149.489651238394</v>
      </c>
      <c r="C393" s="20">
        <v>1.8426572910536401</v>
      </c>
      <c r="D393" s="20">
        <v>356.61649409587699</v>
      </c>
      <c r="E393" s="20">
        <v>-4.7806142470185699E-2</v>
      </c>
      <c r="F393" s="20">
        <v>-1.6581693454749</v>
      </c>
      <c r="G393" s="20">
        <v>1.6588583440217399</v>
      </c>
      <c r="H393" s="20">
        <v>1.4960252224614201E-2</v>
      </c>
      <c r="I393" s="20">
        <v>107.343622846203</v>
      </c>
      <c r="J393" s="20">
        <v>149.50130828534009</v>
      </c>
      <c r="K393" s="20">
        <v>1.8986666152238194</v>
      </c>
      <c r="L393" s="20">
        <f t="shared" si="16"/>
        <v>149.50100739884311</v>
      </c>
      <c r="M393" s="20">
        <f t="shared" si="17"/>
        <v>-1.8986627939729024</v>
      </c>
    </row>
    <row r="394" spans="1:13" x14ac:dyDescent="0.2">
      <c r="A394" s="23">
        <v>91.75</v>
      </c>
      <c r="B394" s="20">
        <v>150.18975652547101</v>
      </c>
      <c r="C394" s="20">
        <v>1.8637872431479301</v>
      </c>
      <c r="D394" s="20">
        <v>356.60046426707299</v>
      </c>
      <c r="E394" s="20">
        <v>-4.80644695896928E-2</v>
      </c>
      <c r="F394" s="20">
        <v>-1.66036311855902</v>
      </c>
      <c r="G394" s="20">
        <v>1.66105866203092</v>
      </c>
      <c r="H394" s="20">
        <v>1.4865940814789799E-2</v>
      </c>
      <c r="I394" s="20">
        <v>107.226947535007</v>
      </c>
      <c r="J394" s="20">
        <v>150.20162275641798</v>
      </c>
      <c r="K394" s="20">
        <v>1.9075606090065085</v>
      </c>
      <c r="L394" s="20">
        <f t="shared" si="16"/>
        <v>150.20132046046726</v>
      </c>
      <c r="M394" s="20">
        <f t="shared" si="17"/>
        <v>-1.9075567698555647</v>
      </c>
    </row>
    <row r="395" spans="1:13" x14ac:dyDescent="0.2">
      <c r="A395" s="23">
        <v>92</v>
      </c>
      <c r="B395" s="20">
        <v>150.890783406726</v>
      </c>
      <c r="C395" s="20">
        <v>1.88505881889411</v>
      </c>
      <c r="D395" s="20">
        <v>356.58440337641599</v>
      </c>
      <c r="E395" s="20">
        <v>-4.8323508325065698E-2</v>
      </c>
      <c r="F395" s="20">
        <v>-1.6625427532852599</v>
      </c>
      <c r="G395" s="20">
        <v>1.6632448911565001</v>
      </c>
      <c r="H395" s="20">
        <v>1.47718030789513E-2</v>
      </c>
      <c r="I395" s="20">
        <v>107.110678588749</v>
      </c>
      <c r="J395" s="20">
        <v>150.90286155121251</v>
      </c>
      <c r="K395" s="20">
        <v>1.9164663417003989</v>
      </c>
      <c r="L395" s="20">
        <f t="shared" si="16"/>
        <v>150.90255784394839</v>
      </c>
      <c r="M395" s="20">
        <f t="shared" si="17"/>
        <v>-1.9164624846258103</v>
      </c>
    </row>
    <row r="396" spans="1:13" x14ac:dyDescent="0.2">
      <c r="A396" s="23">
        <v>92.25</v>
      </c>
      <c r="B396" s="20">
        <v>151.592725913767</v>
      </c>
      <c r="C396" s="20">
        <v>1.9064722616127201</v>
      </c>
      <c r="D396" s="20">
        <v>356.56831146484097</v>
      </c>
      <c r="E396" s="20">
        <v>-4.8583257238166498E-2</v>
      </c>
      <c r="F396" s="20">
        <v>-1.66470827338306</v>
      </c>
      <c r="G396" s="20">
        <v>1.6654170553809899</v>
      </c>
      <c r="H396" s="20">
        <v>1.46778421473703E-2</v>
      </c>
      <c r="I396" s="20">
        <v>106.994821792829</v>
      </c>
      <c r="J396" s="20">
        <v>151.60501872277786</v>
      </c>
      <c r="K396" s="20">
        <v>1.9253837377792788</v>
      </c>
      <c r="L396" s="20">
        <f t="shared" si="16"/>
        <v>151.6047136023507</v>
      </c>
      <c r="M396" s="20">
        <f t="shared" si="17"/>
        <v>-1.9253798627575553</v>
      </c>
    </row>
    <row r="397" spans="1:13" x14ac:dyDescent="0.2">
      <c r="A397" s="23">
        <v>92.5</v>
      </c>
      <c r="B397" s="20">
        <v>152.29557808836901</v>
      </c>
      <c r="C397" s="20">
        <v>1.92802781183335</v>
      </c>
      <c r="D397" s="20">
        <v>356.55218857331198</v>
      </c>
      <c r="E397" s="20">
        <v>-4.8843714877208601E-2</v>
      </c>
      <c r="F397" s="20">
        <v>-1.666859703012</v>
      </c>
      <c r="G397" s="20">
        <v>1.6675751791173501</v>
      </c>
      <c r="H397" s="20">
        <v>1.45840611140821E-2</v>
      </c>
      <c r="I397" s="20">
        <v>106.879382848514</v>
      </c>
      <c r="J397" s="20">
        <v>152.30808833436677</v>
      </c>
      <c r="K397" s="20">
        <v>1.9343127218464582</v>
      </c>
      <c r="L397" s="20">
        <f t="shared" si="16"/>
        <v>152.30778179894062</v>
      </c>
      <c r="M397" s="20">
        <f t="shared" si="17"/>
        <v>-1.9343088288542833</v>
      </c>
    </row>
    <row r="398" spans="1:13" x14ac:dyDescent="0.2">
      <c r="A398" s="23">
        <v>92.75</v>
      </c>
      <c r="B398" s="20">
        <v>152.999333982656</v>
      </c>
      <c r="C398" s="20">
        <v>1.9497257073005001</v>
      </c>
      <c r="D398" s="20">
        <v>356.536034742818</v>
      </c>
      <c r="E398" s="20">
        <v>-4.9104879776835801E-2</v>
      </c>
      <c r="F398" s="20">
        <v>-1.6689970667559699</v>
      </c>
      <c r="G398" s="20">
        <v>1.6697192872030699</v>
      </c>
      <c r="H398" s="20">
        <v>1.44904630370558E-2</v>
      </c>
      <c r="I398" s="20">
        <v>106.764367373151</v>
      </c>
      <c r="J398" s="20">
        <v>153.01206445961623</v>
      </c>
      <c r="K398" s="20">
        <v>1.9432532186371261</v>
      </c>
      <c r="L398" s="20">
        <f t="shared" si="16"/>
        <v>153.01175650736783</v>
      </c>
      <c r="M398" s="20">
        <f t="shared" si="17"/>
        <v>-1.9432493076513446</v>
      </c>
    </row>
    <row r="399" spans="1:13" x14ac:dyDescent="0.2">
      <c r="A399" s="23">
        <v>93</v>
      </c>
      <c r="B399" s="20">
        <v>153.70398765927601</v>
      </c>
      <c r="C399" s="20">
        <v>1.9715661829794699</v>
      </c>
      <c r="D399" s="20">
        <v>356.51985001437799</v>
      </c>
      <c r="E399" s="20">
        <v>-4.9366750458200902E-2</v>
      </c>
      <c r="F399" s="20">
        <v>-1.67112038961724</v>
      </c>
      <c r="G399" s="20">
        <v>1.67184940489426</v>
      </c>
      <c r="H399" s="20">
        <v>1.4397050938371301E-2</v>
      </c>
      <c r="I399" s="20">
        <v>106.649780900392</v>
      </c>
      <c r="J399" s="20">
        <v>153.71694118272498</v>
      </c>
      <c r="K399" s="20">
        <v>1.9522051530206073</v>
      </c>
      <c r="L399" s="20">
        <f t="shared" si="16"/>
        <v>153.71663181183987</v>
      </c>
      <c r="M399" s="20">
        <f t="shared" si="17"/>
        <v>-1.9522012240181752</v>
      </c>
    </row>
    <row r="400" spans="1:13" x14ac:dyDescent="0.2">
      <c r="A400" s="23">
        <v>93.25</v>
      </c>
      <c r="B400" s="20">
        <v>154.40953319158299</v>
      </c>
      <c r="C400" s="20">
        <v>1.9935494710625801</v>
      </c>
      <c r="D400" s="20">
        <v>356.50363442903603</v>
      </c>
      <c r="E400" s="20">
        <v>-4.9629325429044802E-2</v>
      </c>
      <c r="F400" s="20">
        <v>-1.6732296970106999</v>
      </c>
      <c r="G400" s="20">
        <v>1.67396555785986</v>
      </c>
      <c r="H400" s="20">
        <v>1.43038278044037E-2</v>
      </c>
      <c r="I400" s="20">
        <v>106.535628880429</v>
      </c>
      <c r="J400" s="20">
        <v>154.4227125986242</v>
      </c>
      <c r="K400" s="20">
        <v>1.9611684500025275</v>
      </c>
      <c r="L400" s="20">
        <f t="shared" si="16"/>
        <v>154.42240180730303</v>
      </c>
      <c r="M400" s="20">
        <f t="shared" si="17"/>
        <v>-1.9611645029605933</v>
      </c>
    </row>
    <row r="401" spans="1:13" x14ac:dyDescent="0.2">
      <c r="A401" s="23">
        <v>93.5</v>
      </c>
      <c r="B401" s="20">
        <v>155.11596466380701</v>
      </c>
      <c r="C401" s="20">
        <v>2.0156758009754001</v>
      </c>
      <c r="D401" s="20">
        <v>356.48738802786301</v>
      </c>
      <c r="E401" s="20">
        <v>-4.9892603183775801E-2</v>
      </c>
      <c r="F401" s="20">
        <v>-1.67532501475792</v>
      </c>
      <c r="G401" s="20">
        <v>1.67606777217572</v>
      </c>
      <c r="H401" s="20">
        <v>1.4210796586015701E-2</v>
      </c>
      <c r="I401" s="20">
        <v>106.421916680241</v>
      </c>
      <c r="J401" s="20">
        <v>155.1293728131574</v>
      </c>
      <c r="K401" s="20">
        <v>1.9701430347270992</v>
      </c>
      <c r="L401" s="20">
        <f t="shared" si="16"/>
        <v>155.1290605996119</v>
      </c>
      <c r="M401" s="20">
        <f t="shared" si="17"/>
        <v>-1.9701390696229517</v>
      </c>
    </row>
    <row r="402" spans="1:13" x14ac:dyDescent="0.2">
      <c r="A402" s="23">
        <v>93.75</v>
      </c>
      <c r="B402" s="20">
        <v>155.82327617122399</v>
      </c>
      <c r="C402" s="20">
        <v>2.0379453993832199</v>
      </c>
      <c r="D402" s="20">
        <v>356.47111085195598</v>
      </c>
      <c r="E402" s="20">
        <v>-5.0156582203548898E-2</v>
      </c>
      <c r="F402" s="20">
        <v>-1.6774063690814101</v>
      </c>
      <c r="G402" s="20">
        <v>1.6781560743188499</v>
      </c>
      <c r="H402" s="20">
        <v>1.41179601987568E-2</v>
      </c>
      <c r="I402" s="20">
        <v>106.30864958385099</v>
      </c>
      <c r="J402" s="20">
        <v>155.83691594324634</v>
      </c>
      <c r="K402" s="20">
        <v>1.9791288324792287</v>
      </c>
      <c r="L402" s="20">
        <f t="shared" si="16"/>
        <v>155.83660230569842</v>
      </c>
      <c r="M402" s="20">
        <f t="shared" si="17"/>
        <v>-1.9791248492902864</v>
      </c>
    </row>
    <row r="403" spans="1:13" x14ac:dyDescent="0.2">
      <c r="A403" s="23">
        <v>94</v>
      </c>
      <c r="B403" s="20">
        <v>156.531461820332</v>
      </c>
      <c r="C403" s="20">
        <v>2.0603584901977001</v>
      </c>
      <c r="D403" s="20">
        <v>356.45480294244101</v>
      </c>
      <c r="E403" s="20">
        <v>-5.0421260956344999E-2</v>
      </c>
      <c r="F403" s="20">
        <v>-1.6794737865987801</v>
      </c>
      <c r="G403" s="20">
        <v>1.68023049116151</v>
      </c>
      <c r="H403" s="20">
        <v>1.4025321523069701E-2</v>
      </c>
      <c r="I403" s="20">
        <v>106.19583279259599</v>
      </c>
      <c r="J403" s="20">
        <v>156.54533611706233</v>
      </c>
      <c r="K403" s="20">
        <v>1.9881257686866918</v>
      </c>
      <c r="L403" s="20">
        <f t="shared" si="16"/>
        <v>156.54502105374729</v>
      </c>
      <c r="M403" s="20">
        <f t="shared" si="17"/>
        <v>-1.9881217673905431</v>
      </c>
    </row>
    <row r="404" spans="1:13" x14ac:dyDescent="0.2">
      <c r="A404" s="23">
        <v>94.25</v>
      </c>
      <c r="B404" s="20">
        <v>157.240515729008</v>
      </c>
      <c r="C404" s="20">
        <v>2.0829152945835898</v>
      </c>
      <c r="D404" s="20">
        <v>356.43846434046799</v>
      </c>
      <c r="E404" s="20">
        <v>-5.0686637897051197E-2</v>
      </c>
      <c r="F404" s="20">
        <v>-1.6815272943169299</v>
      </c>
      <c r="G404" s="20">
        <v>1.6822910499655299</v>
      </c>
      <c r="H404" s="20">
        <v>1.3932883404504499E-2</v>
      </c>
      <c r="I404" s="20">
        <v>106.08347142540499</v>
      </c>
      <c r="J404" s="20">
        <v>157.25462747418746</v>
      </c>
      <c r="K404" s="20">
        <v>1.9971337689221806</v>
      </c>
      <c r="L404" s="20">
        <f t="shared" si="16"/>
        <v>157.25431098335213</v>
      </c>
      <c r="M404" s="20">
        <f t="shared" si="17"/>
        <v>-1.9971297494965605</v>
      </c>
    </row>
    <row r="405" spans="1:13" x14ac:dyDescent="0.2">
      <c r="A405" s="23">
        <v>94.5</v>
      </c>
      <c r="B405" s="20">
        <v>157.95043202668001</v>
      </c>
      <c r="C405" s="20">
        <v>2.1056160309656899</v>
      </c>
      <c r="D405" s="20">
        <v>356.42209508721498</v>
      </c>
      <c r="E405" s="20">
        <v>-5.09527114675399E-2</v>
      </c>
      <c r="F405" s="20">
        <v>-1.6835669196263601</v>
      </c>
      <c r="G405" s="20">
        <v>1.6843377783764399</v>
      </c>
      <c r="H405" s="20">
        <v>1.38406486539398E-2</v>
      </c>
      <c r="I405" s="20">
        <v>105.971570519088</v>
      </c>
      <c r="J405" s="20">
        <v>157.96478416578444</v>
      </c>
      <c r="K405" s="20">
        <v>2.0061527589054622</v>
      </c>
      <c r="L405" s="20">
        <f t="shared" si="16"/>
        <v>157.96446624568679</v>
      </c>
      <c r="M405" s="20">
        <f t="shared" si="17"/>
        <v>-2.006148721328247</v>
      </c>
    </row>
    <row r="406" spans="1:13" x14ac:dyDescent="0.2">
      <c r="A406" s="23">
        <v>94.75</v>
      </c>
      <c r="B406" s="20">
        <v>158.661204854483</v>
      </c>
      <c r="C406" s="20">
        <v>2.1284609150358902</v>
      </c>
      <c r="D406" s="20">
        <v>356.40569522388699</v>
      </c>
      <c r="E406" s="20">
        <v>-5.1219480096749197E-2</v>
      </c>
      <c r="F406" s="20">
        <v>-1.68559269029535</v>
      </c>
      <c r="G406" s="20">
        <v>1.68637070441777</v>
      </c>
      <c r="H406" s="20">
        <v>1.37486200478113E-2</v>
      </c>
      <c r="I406" s="20">
        <v>105.86013502863401</v>
      </c>
      <c r="J406" s="20">
        <v>158.67580035475069</v>
      </c>
      <c r="K406" s="20">
        <v>2.0151826645053337</v>
      </c>
      <c r="L406" s="20">
        <f t="shared" si="16"/>
        <v>158.67548100366059</v>
      </c>
      <c r="M406" s="20">
        <f t="shared" si="17"/>
        <v>-2.0151786087545505</v>
      </c>
    </row>
    <row r="407" spans="1:13" x14ac:dyDescent="0.2">
      <c r="A407" s="23">
        <v>95</v>
      </c>
      <c r="B407" s="20">
        <v>159.372828365423</v>
      </c>
      <c r="C407" s="20">
        <v>2.1514501597604099</v>
      </c>
      <c r="D407" s="20">
        <v>356.38926479171403</v>
      </c>
      <c r="E407" s="20">
        <v>-5.1486942200762699E-2</v>
      </c>
      <c r="F407" s="20">
        <v>-1.6876046344642699</v>
      </c>
      <c r="G407" s="20">
        <v>1.6883898564852999</v>
      </c>
      <c r="H407" s="20">
        <v>1.3656800328347001E-2</v>
      </c>
      <c r="I407" s="20">
        <v>105.74916982752001</v>
      </c>
      <c r="J407" s="20">
        <v>159.38767021588188</v>
      </c>
      <c r="K407" s="20">
        <v>2.0242234117417</v>
      </c>
      <c r="L407" s="20">
        <f t="shared" si="16"/>
        <v>159.38734943208169</v>
      </c>
      <c r="M407" s="20">
        <f t="shared" si="17"/>
        <v>-2.0242193377955342</v>
      </c>
    </row>
    <row r="408" spans="1:13" x14ac:dyDescent="0.2">
      <c r="A408" s="23">
        <v>95.25</v>
      </c>
      <c r="B408" s="20">
        <v>160.085296724529</v>
      </c>
      <c r="C408" s="20">
        <v>2.1745839753871401</v>
      </c>
      <c r="D408" s="20">
        <v>356.37280383195298</v>
      </c>
      <c r="E408" s="20">
        <v>-5.1755096182889503E-2</v>
      </c>
      <c r="F408" s="20">
        <v>-1.6896027806398599</v>
      </c>
      <c r="G408" s="20">
        <v>1.6903952633413499</v>
      </c>
      <c r="H408" s="20">
        <v>1.35651922038103E-2</v>
      </c>
      <c r="I408" s="20">
        <v>105.638679708033</v>
      </c>
      <c r="J408" s="20">
        <v>160.10038793602459</v>
      </c>
      <c r="K408" s="20">
        <v>2.0332749267875125</v>
      </c>
      <c r="L408" s="20">
        <f t="shared" si="16"/>
        <v>160.10006571780821</v>
      </c>
      <c r="M408" s="20">
        <f t="shared" si="17"/>
        <v>-2.0332708346242971</v>
      </c>
    </row>
    <row r="409" spans="1:13" x14ac:dyDescent="0.2">
      <c r="A409" s="23">
        <v>95.5</v>
      </c>
      <c r="B409" s="20">
        <v>160.79860410901099</v>
      </c>
      <c r="C409" s="20">
        <v>2.1978625694531702</v>
      </c>
      <c r="D409" s="20">
        <v>356.35631238588701</v>
      </c>
      <c r="E409" s="20">
        <v>-5.2023940433744698E-2</v>
      </c>
      <c r="F409" s="20">
        <v>-1.69158715768958</v>
      </c>
      <c r="G409" s="20">
        <v>1.6923869541090699</v>
      </c>
      <c r="H409" s="20">
        <v>1.34737983487497E-2</v>
      </c>
      <c r="I409" s="20">
        <v>105.528669381591</v>
      </c>
      <c r="J409" s="20">
        <v>160.81394771423342</v>
      </c>
      <c r="K409" s="20">
        <v>2.0423371359707643</v>
      </c>
      <c r="L409" s="20">
        <f t="shared" si="16"/>
        <v>160.81362405990561</v>
      </c>
      <c r="M409" s="20">
        <f t="shared" si="17"/>
        <v>-2.0423330255689707</v>
      </c>
    </row>
    <row r="410" spans="1:13" x14ac:dyDescent="0.2">
      <c r="A410" s="23">
        <v>95.75</v>
      </c>
      <c r="B410" s="20">
        <v>161.51274470841</v>
      </c>
      <c r="C410" s="20">
        <v>2.2212861467924099</v>
      </c>
      <c r="D410" s="20">
        <v>356.33979049482599</v>
      </c>
      <c r="E410" s="20">
        <v>-5.22934733313297E-2</v>
      </c>
      <c r="F410" s="20">
        <v>-1.69355779483589</v>
      </c>
      <c r="G410" s="20">
        <v>1.6943649582667999</v>
      </c>
      <c r="H410" s="20">
        <v>1.3382621404255699E-2</v>
      </c>
      <c r="I410" s="20">
        <v>105.419143479087</v>
      </c>
      <c r="J410" s="20">
        <v>161.52834376191825</v>
      </c>
      <c r="K410" s="20">
        <v>2.051409965776362</v>
      </c>
      <c r="L410" s="20">
        <f t="shared" si="16"/>
        <v>161.52801866979596</v>
      </c>
      <c r="M410" s="20">
        <f t="shared" si="17"/>
        <v>-2.0514058371146144</v>
      </c>
    </row>
    <row r="411" spans="1:13" x14ac:dyDescent="0.2">
      <c r="A411" s="23">
        <v>96</v>
      </c>
      <c r="B411" s="20">
        <v>162.22771272474799</v>
      </c>
      <c r="C411" s="20">
        <v>2.2448549095433799</v>
      </c>
      <c r="D411" s="20">
        <v>356.323238200106</v>
      </c>
      <c r="E411" s="20">
        <v>-5.2563693241112402E-2</v>
      </c>
      <c r="F411" s="20">
        <v>-1.6955147216506701</v>
      </c>
      <c r="G411" s="20">
        <v>1.69632930564242</v>
      </c>
      <c r="H411" s="20">
        <v>1.32916639782251E-2</v>
      </c>
      <c r="I411" s="20">
        <v>105.310106551228</v>
      </c>
      <c r="J411" s="20">
        <v>162.24357030299441</v>
      </c>
      <c r="K411" s="20">
        <v>2.0604933428480292</v>
      </c>
      <c r="L411" s="20">
        <f t="shared" si="16"/>
        <v>162.24324377140721</v>
      </c>
      <c r="M411" s="20">
        <f t="shared" si="17"/>
        <v>-2.0604891959051135</v>
      </c>
    </row>
    <row r="412" spans="1:13" x14ac:dyDescent="0.2">
      <c r="A412" s="23">
        <v>96.25</v>
      </c>
      <c r="B412" s="20">
        <v>162.943502372675</v>
      </c>
      <c r="C412" s="20">
        <v>2.26856905715711</v>
      </c>
      <c r="D412" s="20">
        <v>356.30665554309002</v>
      </c>
      <c r="E412" s="20">
        <v>-5.2834598516108298E-2</v>
      </c>
      <c r="F412" s="20">
        <v>-1.6974579680495701</v>
      </c>
      <c r="G412" s="20">
        <v>1.6982800264077</v>
      </c>
      <c r="H412" s="20">
        <v>1.32009286456318E-2</v>
      </c>
      <c r="I412" s="20">
        <v>105.20156306889599</v>
      </c>
      <c r="J412" s="20">
        <v>162.95962157403292</v>
      </c>
      <c r="K412" s="20">
        <v>2.069587193990218</v>
      </c>
      <c r="L412" s="20">
        <f t="shared" ref="L412:L475" si="18">SQRT(B412^2+C412^2)</f>
        <v>162.95929360131944</v>
      </c>
      <c r="M412" s="20">
        <f t="shared" ref="M412:M475" si="19">-L412/A$25*100</f>
        <v>-2.0695830287450354</v>
      </c>
    </row>
    <row r="413" spans="1:13" x14ac:dyDescent="0.2">
      <c r="A413" s="23">
        <v>96.5</v>
      </c>
      <c r="B413" s="20">
        <v>163.660107879615</v>
      </c>
      <c r="C413" s="20">
        <v>2.2924287864052202</v>
      </c>
      <c r="D413" s="20">
        <v>356.29004256516401</v>
      </c>
      <c r="E413" s="20">
        <v>-5.3106187496960097E-2</v>
      </c>
      <c r="F413" s="20">
        <v>-1.69938756428643</v>
      </c>
      <c r="G413" s="20">
        <v>1.70021715107272</v>
      </c>
      <c r="H413" s="20">
        <v>1.3110417948805599E-2</v>
      </c>
      <c r="I413" s="20">
        <v>105.093517423507</v>
      </c>
      <c r="J413" s="20">
        <v>163.67649182439752</v>
      </c>
      <c r="K413" s="20">
        <v>2.0786914461698487</v>
      </c>
      <c r="L413" s="20">
        <f t="shared" si="18"/>
        <v>163.67616240891022</v>
      </c>
      <c r="M413" s="20">
        <f t="shared" si="19"/>
        <v>-2.0786872626014743</v>
      </c>
    </row>
    <row r="414" spans="1:13" x14ac:dyDescent="0.2">
      <c r="A414" s="23">
        <v>96.75</v>
      </c>
      <c r="B414" s="20">
        <v>164.37752348590701</v>
      </c>
      <c r="C414" s="20">
        <v>2.31643429138806</v>
      </c>
      <c r="D414" s="20">
        <v>356.273399307744</v>
      </c>
      <c r="E414" s="20">
        <v>-5.3378458512019597E-2</v>
      </c>
      <c r="F414" s="20">
        <v>-1.70130354094773</v>
      </c>
      <c r="G414" s="20">
        <v>1.7021407104803099</v>
      </c>
      <c r="H414" s="20">
        <v>1.3020134397716701E-2</v>
      </c>
      <c r="I414" s="20">
        <v>104.985973927381</v>
      </c>
      <c r="J414" s="20">
        <v>164.39417531639228</v>
      </c>
      <c r="K414" s="20">
        <v>2.0878060265181819</v>
      </c>
      <c r="L414" s="20">
        <f t="shared" si="18"/>
        <v>164.39384445649486</v>
      </c>
      <c r="M414" s="20">
        <f t="shared" si="19"/>
        <v>-2.0878018246058359</v>
      </c>
    </row>
    <row r="415" spans="1:13" x14ac:dyDescent="0.2">
      <c r="A415" s="23">
        <v>97</v>
      </c>
      <c r="B415" s="20">
        <v>165.09574344494499</v>
      </c>
      <c r="C415" s="20">
        <v>2.3405857635430398</v>
      </c>
      <c r="D415" s="20">
        <v>356.25672581227099</v>
      </c>
      <c r="E415" s="20">
        <v>-5.3651409877427399E-2</v>
      </c>
      <c r="F415" s="20">
        <v>-1.70320592894703</v>
      </c>
      <c r="G415" s="20">
        <v>1.70405073580047</v>
      </c>
      <c r="H415" s="20">
        <v>1.29300804702686E-2</v>
      </c>
      <c r="I415" s="20">
        <v>104.878936814127</v>
      </c>
      <c r="J415" s="20">
        <v>165.1126663253981</v>
      </c>
      <c r="K415" s="20">
        <v>2.096930862332556</v>
      </c>
      <c r="L415" s="20">
        <f t="shared" si="18"/>
        <v>165.11233401946566</v>
      </c>
      <c r="M415" s="20">
        <f t="shared" si="19"/>
        <v>-2.0969266420556019</v>
      </c>
    </row>
    <row r="416" spans="1:13" x14ac:dyDescent="0.2">
      <c r="A416" s="23">
        <v>97.25</v>
      </c>
      <c r="B416" s="20">
        <v>165.81476202331601</v>
      </c>
      <c r="C416" s="20">
        <v>2.3648833916530099</v>
      </c>
      <c r="D416" s="20">
        <v>356.24002212021003</v>
      </c>
      <c r="E416" s="20">
        <v>-5.3925039897194403E-2</v>
      </c>
      <c r="F416" s="20">
        <v>-1.7050947595194399</v>
      </c>
      <c r="G416" s="20">
        <v>1.70594725852489</v>
      </c>
      <c r="H416" s="20">
        <v>1.2840258612597501E-2</v>
      </c>
      <c r="I416" s="20">
        <v>104.77241023902501</v>
      </c>
      <c r="J416" s="20">
        <v>165.83195914001175</v>
      </c>
      <c r="K416" s="20">
        <v>2.1060658810781492</v>
      </c>
      <c r="L416" s="20">
        <f t="shared" si="18"/>
        <v>165.83162538642932</v>
      </c>
      <c r="M416" s="20">
        <f t="shared" si="19"/>
        <v>-2.1060616424160767</v>
      </c>
    </row>
    <row r="417" spans="1:13" x14ac:dyDescent="0.2">
      <c r="A417" s="23">
        <v>97.5</v>
      </c>
      <c r="B417" s="20">
        <v>166.534573500937</v>
      </c>
      <c r="C417" s="20">
        <v>2.38932736185488</v>
      </c>
      <c r="D417" s="20">
        <v>356.22328827305603</v>
      </c>
      <c r="E417" s="20">
        <v>-5.4199346863282302E-2</v>
      </c>
      <c r="F417" s="20">
        <v>-1.7069700642162</v>
      </c>
      <c r="G417" s="20">
        <v>1.7078303104614001</v>
      </c>
      <c r="H417" s="20">
        <v>1.2750671239378199E-2</v>
      </c>
      <c r="I417" s="20">
        <v>104.666398279425</v>
      </c>
      <c r="J417" s="20">
        <v>166.55204806217819</v>
      </c>
      <c r="K417" s="20">
        <v>2.1152110103896633</v>
      </c>
      <c r="L417" s="20">
        <f t="shared" si="18"/>
        <v>166.55171285934316</v>
      </c>
      <c r="M417" s="20">
        <f t="shared" si="19"/>
        <v>-2.115206753322119</v>
      </c>
    </row>
    <row r="418" spans="1:13" x14ac:dyDescent="0.2">
      <c r="A418" s="23">
        <v>97.75</v>
      </c>
      <c r="B418" s="20">
        <v>167.25517217118701</v>
      </c>
      <c r="C418" s="20">
        <v>2.4139178576482099</v>
      </c>
      <c r="D418" s="20">
        <v>356.206524312326</v>
      </c>
      <c r="E418" s="20">
        <v>-5.4474329055684799E-2</v>
      </c>
      <c r="F418" s="20">
        <v>-1.70883187489915</v>
      </c>
      <c r="G418" s="20">
        <v>1.70969992372855</v>
      </c>
      <c r="H418" s="20">
        <v>1.26613207341384E-2</v>
      </c>
      <c r="I418" s="20">
        <v>104.56090493514699</v>
      </c>
      <c r="J418" s="20">
        <v>167.27292740732358</v>
      </c>
      <c r="K418" s="20">
        <v>2.1243661780730094</v>
      </c>
      <c r="L418" s="20">
        <f t="shared" si="18"/>
        <v>167.27259075364643</v>
      </c>
      <c r="M418" s="20">
        <f t="shared" si="19"/>
        <v>-2.1243619025798068</v>
      </c>
    </row>
    <row r="419" spans="1:13" x14ac:dyDescent="0.2">
      <c r="A419" s="23">
        <v>98</v>
      </c>
      <c r="B419" s="20">
        <v>167.97655234103601</v>
      </c>
      <c r="C419" s="20">
        <v>2.4386550599040402</v>
      </c>
      <c r="D419" s="20">
        <v>356.18973027956599</v>
      </c>
      <c r="E419" s="20">
        <v>-5.4749984742508202E-2</v>
      </c>
      <c r="F419" s="20">
        <v>-1.71068022373531</v>
      </c>
      <c r="G419" s="20">
        <v>1.7115561307501399</v>
      </c>
      <c r="H419" s="20">
        <v>1.25722094495784E-2</v>
      </c>
      <c r="I419" s="20">
        <v>104.45593412888999</v>
      </c>
      <c r="J419" s="20">
        <v>167.99459150448754</v>
      </c>
      <c r="K419" s="20">
        <v>2.1335313121069919</v>
      </c>
      <c r="L419" s="20">
        <f t="shared" si="18"/>
        <v>167.99425339838862</v>
      </c>
      <c r="M419" s="20">
        <f t="shared" si="19"/>
        <v>-2.1335270181680697</v>
      </c>
    </row>
    <row r="420" spans="1:13" x14ac:dyDescent="0.2">
      <c r="A420" s="23">
        <v>98.25</v>
      </c>
      <c r="B420" s="20">
        <v>168.69870833117599</v>
      </c>
      <c r="C420" s="20">
        <v>2.4635391468738002</v>
      </c>
      <c r="D420" s="20">
        <v>356.172906216348</v>
      </c>
      <c r="E420" s="20">
        <v>-5.5026312180052703E-2</v>
      </c>
      <c r="F420" s="20">
        <v>-1.71251514319152</v>
      </c>
      <c r="G420" s="20">
        <v>1.71339896424984</v>
      </c>
      <c r="H420" s="20">
        <v>1.24833397078996E-2</v>
      </c>
      <c r="I420" s="20">
        <v>104.35148970665399</v>
      </c>
      <c r="J420" s="20">
        <v>168.71703469644828</v>
      </c>
      <c r="K420" s="20">
        <v>2.1427063406448932</v>
      </c>
      <c r="L420" s="20">
        <f t="shared" si="18"/>
        <v>168.71669513635979</v>
      </c>
      <c r="M420" s="20">
        <f t="shared" si="19"/>
        <v>-2.1427020282403402</v>
      </c>
    </row>
    <row r="421" spans="1:13" x14ac:dyDescent="0.2">
      <c r="A421" s="23">
        <v>98.5</v>
      </c>
      <c r="B421" s="20">
        <v>169.42163447614499</v>
      </c>
      <c r="C421" s="20">
        <v>2.4885702941982801</v>
      </c>
      <c r="D421" s="20">
        <v>356.15605216426798</v>
      </c>
      <c r="E421" s="20">
        <v>-5.5303309612893599E-2</v>
      </c>
      <c r="F421" s="20">
        <v>-1.71433666602902</v>
      </c>
      <c r="G421" s="20">
        <v>1.7152284572457499</v>
      </c>
      <c r="H421" s="20">
        <v>1.23947138011387E-2</v>
      </c>
      <c r="I421" s="20">
        <v>104.247575438157</v>
      </c>
      <c r="J421" s="20">
        <v>169.44025133984948</v>
      </c>
      <c r="K421" s="20">
        <v>2.1518911920160888</v>
      </c>
      <c r="L421" s="20">
        <f t="shared" si="18"/>
        <v>169.43991032421388</v>
      </c>
      <c r="M421" s="20">
        <f t="shared" si="19"/>
        <v>-2.1518868611261239</v>
      </c>
    </row>
    <row r="422" spans="1:13" x14ac:dyDescent="0.2">
      <c r="A422" s="23">
        <v>98.75</v>
      </c>
      <c r="B422" s="20">
        <v>170.14532512445501</v>
      </c>
      <c r="C422" s="20">
        <v>2.5137486749167501</v>
      </c>
      <c r="D422" s="20">
        <v>356.139168164951</v>
      </c>
      <c r="E422" s="20">
        <v>-5.5580975273961698E-2</v>
      </c>
      <c r="F422" s="20">
        <v>-1.7161448252981</v>
      </c>
      <c r="G422" s="20">
        <v>1.7170446430450901</v>
      </c>
      <c r="H422" s="20">
        <v>1.2306333991510101E-2</v>
      </c>
      <c r="I422" s="20">
        <v>104.144195017272</v>
      </c>
      <c r="J422" s="20">
        <v>170.16423580532384</v>
      </c>
      <c r="K422" s="20">
        <v>2.161085794727613</v>
      </c>
      <c r="L422" s="20">
        <f t="shared" si="18"/>
        <v>170.1638933325961</v>
      </c>
      <c r="M422" s="20">
        <f t="shared" si="19"/>
        <v>-2.161081445332615</v>
      </c>
    </row>
    <row r="423" spans="1:13" x14ac:dyDescent="0.2">
      <c r="A423" s="23">
        <v>99</v>
      </c>
      <c r="B423" s="20">
        <v>170.86977463870801</v>
      </c>
      <c r="C423" s="20">
        <v>2.53907445947624</v>
      </c>
      <c r="D423" s="20">
        <v>356.122254260045</v>
      </c>
      <c r="E423" s="20">
        <v>-5.5859307384625301E-2</v>
      </c>
      <c r="F423" s="20">
        <v>-1.71793965433282</v>
      </c>
      <c r="G423" s="20">
        <v>1.71884755523888</v>
      </c>
      <c r="H423" s="20">
        <v>1.22182025117547E-2</v>
      </c>
      <c r="I423" s="20">
        <v>104.041352062458</v>
      </c>
      <c r="J423" s="20">
        <v>170.88898247761196</v>
      </c>
      <c r="K423" s="20">
        <v>2.1702900774656722</v>
      </c>
      <c r="L423" s="20">
        <f t="shared" si="18"/>
        <v>170.88863854625802</v>
      </c>
      <c r="M423" s="20">
        <f t="shared" si="19"/>
        <v>-2.1702857095461581</v>
      </c>
    </row>
    <row r="424" spans="1:13" x14ac:dyDescent="0.2">
      <c r="A424" s="23">
        <v>99.25</v>
      </c>
      <c r="B424" s="20">
        <v>171.594977395721</v>
      </c>
      <c r="C424" s="20">
        <v>2.5645478157408199</v>
      </c>
      <c r="D424" s="20">
        <v>356.10531049122699</v>
      </c>
      <c r="E424" s="20">
        <v>-5.6138304154770502E-2</v>
      </c>
      <c r="F424" s="20">
        <v>-1.7197211867457001</v>
      </c>
      <c r="G424" s="20">
        <v>1.72063722769659</v>
      </c>
      <c r="H424" s="20">
        <v>1.21303215654963E-2</v>
      </c>
      <c r="I424" s="20">
        <v>103.93905011721</v>
      </c>
      <c r="J424" s="20">
        <v>171.61448575568448</v>
      </c>
      <c r="K424" s="20">
        <v>2.1795039690971931</v>
      </c>
      <c r="L424" s="20">
        <f t="shared" si="18"/>
        <v>171.61414036418216</v>
      </c>
      <c r="M424" s="20">
        <f t="shared" si="19"/>
        <v>-2.1794995826338317</v>
      </c>
    </row>
    <row r="425" spans="1:13" x14ac:dyDescent="0.2">
      <c r="A425" s="23">
        <v>99.5</v>
      </c>
      <c r="B425" s="20">
        <v>172.32092778663801</v>
      </c>
      <c r="C425" s="20">
        <v>2.5901689090010498</v>
      </c>
      <c r="D425" s="20">
        <v>356.08833690019901</v>
      </c>
      <c r="E425" s="20">
        <v>-5.6417963782882802E-2</v>
      </c>
      <c r="F425" s="20">
        <v>-1.7214894564224601</v>
      </c>
      <c r="G425" s="20">
        <v>1.7224136945609501</v>
      </c>
      <c r="H425" s="20">
        <v>1.2042693327605099E-2</v>
      </c>
      <c r="I425" s="20">
        <v>103.837292650501</v>
      </c>
      <c r="J425" s="20">
        <v>172.34074005285549</v>
      </c>
      <c r="K425" s="20">
        <v>2.188727398671265</v>
      </c>
      <c r="L425" s="20">
        <f t="shared" si="18"/>
        <v>172.34039319969321</v>
      </c>
      <c r="M425" s="20">
        <f t="shared" si="19"/>
        <v>-2.1887229936448587</v>
      </c>
    </row>
    <row r="426" spans="1:13" x14ac:dyDescent="0.2">
      <c r="A426" s="23">
        <v>99.75</v>
      </c>
      <c r="B426" s="20">
        <v>173.04762021704801</v>
      </c>
      <c r="C426" s="20">
        <v>2.6159379019835098</v>
      </c>
      <c r="D426" s="20">
        <v>356.07133352868902</v>
      </c>
      <c r="E426" s="20">
        <v>-5.6698284456128102E-2</v>
      </c>
      <c r="F426" s="20">
        <v>-1.7232444975168</v>
      </c>
      <c r="G426" s="20">
        <v>1.72417699024265</v>
      </c>
      <c r="H426" s="20">
        <v>1.19553199445689E-2</v>
      </c>
      <c r="I426" s="20">
        <v>103.736083057245</v>
      </c>
      <c r="J426" s="20">
        <v>173.06773979689856</v>
      </c>
      <c r="K426" s="20">
        <v>2.1979602954206117</v>
      </c>
      <c r="L426" s="20">
        <f t="shared" si="18"/>
        <v>173.06739148057534</v>
      </c>
      <c r="M426" s="20">
        <f t="shared" si="19"/>
        <v>-2.1979558718120984</v>
      </c>
    </row>
    <row r="427" spans="1:13" x14ac:dyDescent="0.2">
      <c r="A427" s="23">
        <v>100</v>
      </c>
      <c r="B427" s="20">
        <v>173.77504910709999</v>
      </c>
      <c r="C427" s="20">
        <v>2.6418549548604302</v>
      </c>
      <c r="D427" s="20">
        <v>356.05430041845102</v>
      </c>
      <c r="E427" s="20">
        <v>-5.6979264350433899E-2</v>
      </c>
      <c r="F427" s="20">
        <v>-1.72498634444521</v>
      </c>
      <c r="G427" s="20">
        <v>1.72592714941517</v>
      </c>
      <c r="H427" s="20">
        <v>1.18682035348709E-2</v>
      </c>
      <c r="I427" s="20">
        <v>103.63542465875101</v>
      </c>
      <c r="J427" s="20">
        <v>173.79547943015825</v>
      </c>
      <c r="K427" s="20">
        <v>2.20720258876301</v>
      </c>
      <c r="L427" s="20">
        <f t="shared" si="18"/>
        <v>173.79512964918646</v>
      </c>
      <c r="M427" s="20">
        <f t="shared" si="19"/>
        <v>-2.2071981465534969</v>
      </c>
    </row>
    <row r="428" spans="1:13" x14ac:dyDescent="0.2">
      <c r="A428" s="23">
        <v>100.25</v>
      </c>
      <c r="B428" s="20">
        <v>174.50320889160699</v>
      </c>
      <c r="C428" s="20">
        <v>2.6679202252594401</v>
      </c>
      <c r="D428" s="20">
        <v>356.03723761126702</v>
      </c>
      <c r="E428" s="20">
        <v>-5.72609016305703E-2</v>
      </c>
      <c r="F428" s="20">
        <v>-1.7267150318818001</v>
      </c>
      <c r="G428" s="20">
        <v>1.7276642070096</v>
      </c>
      <c r="H428" s="20">
        <v>1.1781346189375401E-2</v>
      </c>
      <c r="I428" s="20">
        <v>103.535320703197</v>
      </c>
      <c r="J428" s="20">
        <v>174.52395340966143</v>
      </c>
      <c r="K428" s="20">
        <v>2.2164542083027006</v>
      </c>
      <c r="L428" s="20">
        <f t="shared" si="18"/>
        <v>174.52360216256187</v>
      </c>
      <c r="M428" s="20">
        <f t="shared" si="19"/>
        <v>-2.2164497474734017</v>
      </c>
    </row>
    <row r="429" spans="1:13" x14ac:dyDescent="0.2">
      <c r="A429" s="23">
        <v>100.5</v>
      </c>
      <c r="B429" s="20">
        <v>175.23209402015999</v>
      </c>
      <c r="C429" s="20">
        <v>2.6941338682733602</v>
      </c>
      <c r="D429" s="20">
        <v>356.02014514894398</v>
      </c>
      <c r="E429" s="20">
        <v>-5.7543194450231198E-2</v>
      </c>
      <c r="F429" s="20">
        <v>-1.72843059475316</v>
      </c>
      <c r="G429" s="20">
        <v>1.7293881982095001</v>
      </c>
      <c r="H429" s="20">
        <v>1.16947499717211E-2</v>
      </c>
      <c r="I429" s="20">
        <v>103.435774366095</v>
      </c>
      <c r="J429" s="20">
        <v>175.25315620722228</v>
      </c>
      <c r="K429" s="20">
        <v>2.225715083831723</v>
      </c>
      <c r="L429" s="20">
        <f t="shared" si="18"/>
        <v>175.25280349252725</v>
      </c>
      <c r="M429" s="20">
        <f t="shared" si="19"/>
        <v>-2.2257106043639991</v>
      </c>
    </row>
    <row r="430" spans="1:13" x14ac:dyDescent="0.2">
      <c r="A430" s="23">
        <v>100.75</v>
      </c>
      <c r="B430" s="20">
        <v>175.961698957235</v>
      </c>
      <c r="C430" s="20">
        <v>2.7204960364701201</v>
      </c>
      <c r="D430" s="20">
        <v>356.00302307331498</v>
      </c>
      <c r="E430" s="20">
        <v>-5.7826140952115503E-2</v>
      </c>
      <c r="F430" s="20">
        <v>-1.7301330682333</v>
      </c>
      <c r="G430" s="20">
        <v>1.73109915844581</v>
      </c>
      <c r="H430" s="20">
        <v>1.16084169187215E-2</v>
      </c>
      <c r="I430" s="20">
        <v>103.336788750773</v>
      </c>
      <c r="J430" s="20">
        <v>175.98308230954913</v>
      </c>
      <c r="K430" s="20">
        <v>2.2349851453312741</v>
      </c>
      <c r="L430" s="20">
        <f t="shared" si="18"/>
        <v>175.98272812580515</v>
      </c>
      <c r="M430" s="20">
        <f t="shared" si="19"/>
        <v>-2.2349806472066653</v>
      </c>
    </row>
    <row r="431" spans="1:13" x14ac:dyDescent="0.2">
      <c r="A431" s="23">
        <v>101</v>
      </c>
      <c r="B431" s="20">
        <v>176.69201818229001</v>
      </c>
      <c r="C431" s="20">
        <v>2.7470068799027398</v>
      </c>
      <c r="D431" s="20">
        <v>355.98587142624001</v>
      </c>
      <c r="E431" s="20">
        <v>-5.8109739268008102E-2</v>
      </c>
      <c r="F431" s="20">
        <v>-1.73182248773854</v>
      </c>
      <c r="G431" s="20">
        <v>1.7327971233917501</v>
      </c>
      <c r="H431" s="20">
        <v>1.15223490407731E-2</v>
      </c>
      <c r="I431" s="20">
        <v>103.238366888855</v>
      </c>
      <c r="J431" s="20">
        <v>176.71372621835036</v>
      </c>
      <c r="K431" s="20">
        <v>2.2442643229730495</v>
      </c>
      <c r="L431" s="20">
        <f t="shared" si="18"/>
        <v>176.71337056411136</v>
      </c>
      <c r="M431" s="20">
        <f t="shared" si="19"/>
        <v>-2.2442598061731913</v>
      </c>
    </row>
    <row r="432" spans="1:13" x14ac:dyDescent="0.2">
      <c r="A432" s="23">
        <v>101.25</v>
      </c>
      <c r="B432" s="20">
        <v>177.42304618987399</v>
      </c>
      <c r="C432" s="20">
        <v>2.7736665461194701</v>
      </c>
      <c r="D432" s="20">
        <v>355.968690249605</v>
      </c>
      <c r="E432" s="20">
        <v>-5.83939875188609E-2</v>
      </c>
      <c r="F432" s="20">
        <v>-1.7334988889225</v>
      </c>
      <c r="G432" s="20">
        <v>1.7344821289577801</v>
      </c>
      <c r="H432" s="20">
        <v>1.14365483222716E-2</v>
      </c>
      <c r="I432" s="20">
        <v>103.14051174075099</v>
      </c>
      <c r="J432" s="20">
        <v>177.44508245043065</v>
      </c>
      <c r="K432" s="20">
        <v>2.2535525471204694</v>
      </c>
      <c r="L432" s="20">
        <f t="shared" si="18"/>
        <v>177.4447253242632</v>
      </c>
      <c r="M432" s="20">
        <f t="shared" si="19"/>
        <v>-2.2535480116271569</v>
      </c>
    </row>
    <row r="433" spans="1:13" x14ac:dyDescent="0.2">
      <c r="A433" s="23">
        <v>101.5</v>
      </c>
      <c r="B433" s="20">
        <v>178.15477748972501</v>
      </c>
      <c r="C433" s="20">
        <v>2.8004751801738901</v>
      </c>
      <c r="D433" s="20">
        <v>355.95147958532402</v>
      </c>
      <c r="E433" s="20">
        <v>-5.86788838148741E-2</v>
      </c>
      <c r="F433" s="20">
        <v>-1.73516230767111</v>
      </c>
      <c r="G433" s="20">
        <v>1.7361542112866299</v>
      </c>
      <c r="H433" s="20">
        <v>1.13510167220353E-2</v>
      </c>
      <c r="I433" s="20">
        <v>103.043226196143</v>
      </c>
      <c r="J433" s="20">
        <v>178.17714553779561</v>
      </c>
      <c r="K433" s="20">
        <v>2.2628497483300043</v>
      </c>
      <c r="L433" s="20">
        <f t="shared" si="18"/>
        <v>178.1767869382771</v>
      </c>
      <c r="M433" s="20">
        <f t="shared" si="19"/>
        <v>-2.2628451941251706</v>
      </c>
    </row>
    <row r="434" spans="1:13" x14ac:dyDescent="0.2">
      <c r="A434" s="23">
        <v>101.75</v>
      </c>
      <c r="B434" s="20">
        <v>178.88720660686701</v>
      </c>
      <c r="C434" s="20">
        <v>2.8274329246351999</v>
      </c>
      <c r="D434" s="20">
        <v>355.93423947533699</v>
      </c>
      <c r="E434" s="20">
        <v>-5.89644262555769E-2</v>
      </c>
      <c r="F434" s="20">
        <v>-1.7368127800976101</v>
      </c>
      <c r="G434" s="20">
        <v>1.73781340674827</v>
      </c>
      <c r="H434" s="20">
        <v>1.1265756173736499E-2</v>
      </c>
      <c r="I434" s="20">
        <v>102.946513074487</v>
      </c>
      <c r="J434" s="20">
        <v>178.90991002774521</v>
      </c>
      <c r="K434" s="20">
        <v>2.2721558573523644</v>
      </c>
      <c r="L434" s="20">
        <f t="shared" si="18"/>
        <v>178.90954995346459</v>
      </c>
      <c r="M434" s="20">
        <f t="shared" si="19"/>
        <v>-2.2721512844180891</v>
      </c>
    </row>
    <row r="435" spans="1:13" x14ac:dyDescent="0.2">
      <c r="A435" s="23">
        <v>102</v>
      </c>
      <c r="B435" s="20">
        <v>179.62032808170301</v>
      </c>
      <c r="C435" s="20">
        <v>2.8545399195985302</v>
      </c>
      <c r="D435" s="20">
        <v>355.916969961608</v>
      </c>
      <c r="E435" s="20">
        <v>-5.9250612929908797E-2</v>
      </c>
      <c r="F435" s="20">
        <v>-1.7384503425376601</v>
      </c>
      <c r="G435" s="20">
        <v>1.7394597519350301</v>
      </c>
      <c r="H435" s="20">
        <v>1.11807685863418E-2</v>
      </c>
      <c r="I435" s="20">
        <v>102.850375125512</v>
      </c>
      <c r="J435" s="20">
        <v>179.64337048296977</v>
      </c>
      <c r="K435" s="20">
        <v>2.2814708051337163</v>
      </c>
      <c r="L435" s="20">
        <f t="shared" si="18"/>
        <v>179.64300893252485</v>
      </c>
      <c r="M435" s="20">
        <f t="shared" si="19"/>
        <v>-2.2814662134521915</v>
      </c>
    </row>
    <row r="436" spans="1:13" x14ac:dyDescent="0.2">
      <c r="A436" s="23">
        <v>102.25</v>
      </c>
      <c r="B436" s="20">
        <v>180.35413647011501</v>
      </c>
      <c r="C436" s="20">
        <v>2.8817963026953599</v>
      </c>
      <c r="D436" s="20">
        <v>355.89967108613303</v>
      </c>
      <c r="E436" s="20">
        <v>-5.9537441916300303E-2</v>
      </c>
      <c r="F436" s="20">
        <v>-1.74007503154443</v>
      </c>
      <c r="G436" s="20">
        <v>1.7410932836566499</v>
      </c>
      <c r="H436" s="20">
        <v>1.10960558445588E-2</v>
      </c>
      <c r="I436" s="20">
        <v>102.75481502972301</v>
      </c>
      <c r="J436" s="20">
        <v>180.37752148164154</v>
      </c>
      <c r="K436" s="20">
        <v>2.2907945228168476</v>
      </c>
      <c r="L436" s="20">
        <f t="shared" si="18"/>
        <v>180.37715845364428</v>
      </c>
      <c r="M436" s="20">
        <f t="shared" si="19"/>
        <v>-2.2907899123704456</v>
      </c>
    </row>
    <row r="437" spans="1:13" x14ac:dyDescent="0.2">
      <c r="A437" s="23">
        <v>102.5</v>
      </c>
      <c r="B437" s="20">
        <v>181.08862634354901</v>
      </c>
      <c r="C437" s="20">
        <v>2.90920220910398</v>
      </c>
      <c r="D437" s="20">
        <v>355.88234289092901</v>
      </c>
      <c r="E437" s="20">
        <v>-5.9824911282753898E-2</v>
      </c>
      <c r="F437" s="20">
        <v>-1.7416868838837201</v>
      </c>
      <c r="G437" s="20">
        <v>1.7427140389354101</v>
      </c>
      <c r="H437" s="20">
        <v>1.10116198092926E-2</v>
      </c>
      <c r="I437" s="20">
        <v>102.659835398909</v>
      </c>
      <c r="J437" s="20">
        <v>181.11235761751021</v>
      </c>
      <c r="K437" s="20">
        <v>2.3001269417423797</v>
      </c>
      <c r="L437" s="20">
        <f t="shared" si="18"/>
        <v>181.1119931105805</v>
      </c>
      <c r="M437" s="20">
        <f t="shared" si="19"/>
        <v>-2.3001223125135728</v>
      </c>
    </row>
    <row r="438" spans="1:13" x14ac:dyDescent="0.2">
      <c r="A438" s="23">
        <v>102.75</v>
      </c>
      <c r="B438" s="20">
        <v>181.82379228910801</v>
      </c>
      <c r="C438" s="20">
        <v>2.9367577715600799</v>
      </c>
      <c r="D438" s="20">
        <v>355.864985418044</v>
      </c>
      <c r="E438" s="20">
        <v>-6.0113019086924999E-2</v>
      </c>
      <c r="F438" s="20">
        <v>-1.74328593652917</v>
      </c>
      <c r="G438" s="20">
        <v>1.7443220550013501</v>
      </c>
      <c r="H438" s="20">
        <v>1.09274623181098E-2</v>
      </c>
      <c r="I438" s="20">
        <v>102.56543877665899</v>
      </c>
      <c r="J438" s="20">
        <v>181.84787349998444</v>
      </c>
      <c r="K438" s="20">
        <v>2.3094679934498026</v>
      </c>
      <c r="L438" s="20">
        <f t="shared" si="18"/>
        <v>181.84750751275507</v>
      </c>
      <c r="M438" s="20">
        <f t="shared" si="19"/>
        <v>-2.3094633454212272</v>
      </c>
    </row>
    <row r="439" spans="1:13" x14ac:dyDescent="0.2">
      <c r="A439" s="23">
        <v>103</v>
      </c>
      <c r="B439" s="20">
        <v>182.559628909639</v>
      </c>
      <c r="C439" s="20">
        <v>2.96446312036732</v>
      </c>
      <c r="D439" s="20">
        <v>355.84759870955099</v>
      </c>
      <c r="E439" s="20">
        <v>-6.0401763376202601E-2</v>
      </c>
      <c r="F439" s="20">
        <v>-1.7448722266574299</v>
      </c>
      <c r="G439" s="20">
        <v>1.7459173692873899</v>
      </c>
      <c r="H439" s="20">
        <v>1.0843585185711E-2</v>
      </c>
      <c r="I439" s="20">
        <v>102.47162763887501</v>
      </c>
      <c r="J439" s="20">
        <v>182.58406375422626</v>
      </c>
      <c r="K439" s="20">
        <v>2.3188176096786735</v>
      </c>
      <c r="L439" s="20">
        <f t="shared" si="18"/>
        <v>182.58369628533956</v>
      </c>
      <c r="M439" s="20">
        <f t="shared" si="19"/>
        <v>-2.3188129428330875</v>
      </c>
    </row>
    <row r="440" spans="1:13" x14ac:dyDescent="0.2">
      <c r="A440" s="23">
        <v>103.25</v>
      </c>
      <c r="B440" s="20">
        <v>183.29613082381701</v>
      </c>
      <c r="C440" s="20">
        <v>2.9923183834080702</v>
      </c>
      <c r="D440" s="20">
        <v>355.83018280755101</v>
      </c>
      <c r="E440" s="20">
        <v>-6.0691142187790002E-2</v>
      </c>
      <c r="F440" s="20">
        <v>-1.7464457916434299</v>
      </c>
      <c r="G440" s="20">
        <v>1.7475000194246399</v>
      </c>
      <c r="H440" s="20">
        <v>1.07599902044123E-2</v>
      </c>
      <c r="I440" s="20">
        <v>102.37840439429201</v>
      </c>
      <c r="J440" s="20">
        <v>183.3209230212303</v>
      </c>
      <c r="K440" s="20">
        <v>2.3281757223696249</v>
      </c>
      <c r="L440" s="20">
        <f t="shared" si="18"/>
        <v>183.32055406933921</v>
      </c>
      <c r="M440" s="20">
        <f t="shared" si="19"/>
        <v>-2.3281710366899206</v>
      </c>
    </row>
    <row r="441" spans="1:13" x14ac:dyDescent="0.2">
      <c r="A441" s="23">
        <v>103.5</v>
      </c>
      <c r="B441" s="20">
        <v>184.03329266623001</v>
      </c>
      <c r="C441" s="20">
        <v>3.02032368615414</v>
      </c>
      <c r="D441" s="20">
        <v>355.812737754171</v>
      </c>
      <c r="E441" s="20">
        <v>-6.0981153548785701E-2</v>
      </c>
      <c r="F441" s="20">
        <v>-1.7480066690556599</v>
      </c>
      <c r="G441" s="20">
        <v>1.7490700432376001</v>
      </c>
      <c r="H441" s="20">
        <v>1.0676679144634899E-2</v>
      </c>
      <c r="I441" s="20">
        <v>102.285771385001</v>
      </c>
      <c r="J441" s="20">
        <v>184.05844595790731</v>
      </c>
      <c r="K441" s="20">
        <v>2.3375422636654228</v>
      </c>
      <c r="L441" s="20">
        <f t="shared" si="18"/>
        <v>184.05807552167715</v>
      </c>
      <c r="M441" s="20">
        <f t="shared" si="19"/>
        <v>-2.3375375591346499</v>
      </c>
    </row>
    <row r="442" spans="1:13" x14ac:dyDescent="0.2">
      <c r="A442" s="23">
        <v>103.75</v>
      </c>
      <c r="B442" s="20">
        <v>184.771109087459</v>
      </c>
      <c r="C442" s="20">
        <v>3.04847915167759</v>
      </c>
      <c r="D442" s="20">
        <v>355.79526359156603</v>
      </c>
      <c r="E442" s="20">
        <v>-6.12717954762639E-2</v>
      </c>
      <c r="F442" s="20">
        <v>-1.74955489665146</v>
      </c>
      <c r="G442" s="20">
        <v>1.7506274787395499</v>
      </c>
      <c r="H442" s="20">
        <v>1.05936537554047E-2</v>
      </c>
      <c r="I442" s="20">
        <v>102.193730886973</v>
      </c>
      <c r="J442" s="20">
        <v>184.79662723716822</v>
      </c>
      <c r="K442" s="20">
        <v>2.3469171659120365</v>
      </c>
      <c r="L442" s="20">
        <f t="shared" si="18"/>
        <v>184.79625531527387</v>
      </c>
      <c r="M442" s="20">
        <f t="shared" si="19"/>
        <v>-2.3469124425133661</v>
      </c>
    </row>
    <row r="443" spans="1:13" x14ac:dyDescent="0.2">
      <c r="A443" s="23">
        <v>104</v>
      </c>
      <c r="B443" s="20">
        <v>185.509574754157</v>
      </c>
      <c r="C443" s="20">
        <v>3.0767849006616599</v>
      </c>
      <c r="D443" s="20">
        <v>355.77776036191801</v>
      </c>
      <c r="E443" s="20">
        <v>-6.1563065977354697E-2</v>
      </c>
      <c r="F443" s="20">
        <v>-1.7510905123724301</v>
      </c>
      <c r="G443" s="20">
        <v>1.75217236412782</v>
      </c>
      <c r="H443" s="20">
        <v>1.0510915764859401E-2</v>
      </c>
      <c r="I443" s="20">
        <v>102.102285110594</v>
      </c>
      <c r="J443" s="20">
        <v>185.53546154799889</v>
      </c>
      <c r="K443" s="20">
        <v>2.3563003616595859</v>
      </c>
      <c r="L443" s="20">
        <f t="shared" si="18"/>
        <v>185.53508813912558</v>
      </c>
      <c r="M443" s="20">
        <f t="shared" si="19"/>
        <v>-2.3562956193763198</v>
      </c>
    </row>
    <row r="444" spans="1:13" x14ac:dyDescent="0.2">
      <c r="A444" s="23">
        <v>104.25</v>
      </c>
      <c r="B444" s="20">
        <v>186.24868434912901</v>
      </c>
      <c r="C444" s="20">
        <v>3.1052410514116802</v>
      </c>
      <c r="D444" s="20">
        <v>355.760228107437</v>
      </c>
      <c r="E444" s="20">
        <v>-6.1854963049325397E-2</v>
      </c>
      <c r="F444" s="20">
        <v>-1.7526135543397401</v>
      </c>
      <c r="G444" s="20">
        <v>1.7537047377792001</v>
      </c>
      <c r="H444" s="20">
        <v>1.0428466880766801E-2</v>
      </c>
      <c r="I444" s="20">
        <v>102.011436201186</v>
      </c>
      <c r="J444" s="20">
        <v>186.27494359553941</v>
      </c>
      <c r="K444" s="20">
        <v>2.3656917836633506</v>
      </c>
      <c r="L444" s="20">
        <f t="shared" si="18"/>
        <v>186.27456869838369</v>
      </c>
      <c r="M444" s="20">
        <f t="shared" si="19"/>
        <v>-2.3656870224789359</v>
      </c>
    </row>
    <row r="445" spans="1:13" x14ac:dyDescent="0.2">
      <c r="A445" s="23">
        <v>104.5</v>
      </c>
      <c r="B445" s="20">
        <v>186.98843257140501</v>
      </c>
      <c r="C445" s="20">
        <v>3.1338477198660502</v>
      </c>
      <c r="D445" s="20">
        <v>355.74266687035998</v>
      </c>
      <c r="E445" s="20">
        <v>-6.2147484679659998E-2</v>
      </c>
      <c r="F445" s="20">
        <v>-1.75412406084963</v>
      </c>
      <c r="G445" s="20">
        <v>1.75522463824537</v>
      </c>
      <c r="H445" s="20">
        <v>1.03463087910506E-2</v>
      </c>
      <c r="I445" s="20">
        <v>101.921186239554</v>
      </c>
      <c r="J445" s="20">
        <v>187.01506810115828</v>
      </c>
      <c r="K445" s="20">
        <v>2.3750913648847103</v>
      </c>
      <c r="L445" s="20">
        <f t="shared" si="18"/>
        <v>187.01469171442704</v>
      </c>
      <c r="M445" s="20">
        <f t="shared" si="19"/>
        <v>-2.3750865847827241</v>
      </c>
    </row>
    <row r="446" spans="1:13" x14ac:dyDescent="0.2">
      <c r="A446" s="23">
        <v>104.75</v>
      </c>
      <c r="B446" s="20">
        <v>187.72881413631501</v>
      </c>
      <c r="C446" s="20">
        <v>3.1626050196073598</v>
      </c>
      <c r="D446" s="20">
        <v>355.72507669294902</v>
      </c>
      <c r="E446" s="20">
        <v>-6.2440628846140003E-2</v>
      </c>
      <c r="F446" s="20">
        <v>-1.7556220703688099</v>
      </c>
      <c r="G446" s="20">
        <v>1.7567321042483299</v>
      </c>
      <c r="H446" s="20">
        <v>1.0264443164327499E-2</v>
      </c>
      <c r="I446" s="20">
        <v>101.83153724251</v>
      </c>
      <c r="J446" s="20">
        <v>187.75582980252523</v>
      </c>
      <c r="K446" s="20">
        <v>2.3844990384920708</v>
      </c>
      <c r="L446" s="20">
        <f t="shared" si="18"/>
        <v>187.75545192493652</v>
      </c>
      <c r="M446" s="20">
        <f t="shared" si="19"/>
        <v>-2.3844942394562318</v>
      </c>
    </row>
    <row r="447" spans="1:13" x14ac:dyDescent="0.2">
      <c r="A447" s="23">
        <v>105</v>
      </c>
      <c r="B447" s="20">
        <v>188.46982377555699</v>
      </c>
      <c r="C447" s="20">
        <v>3.1915130618734202</v>
      </c>
      <c r="D447" s="20">
        <v>355.70745761749902</v>
      </c>
      <c r="E447" s="20">
        <v>-6.2734393516924697E-2</v>
      </c>
      <c r="F447" s="20">
        <v>-1.7571076215300201</v>
      </c>
      <c r="G447" s="20">
        <v>1.7582271746759099</v>
      </c>
      <c r="H447" s="20">
        <v>1.0182871650452899E-2</v>
      </c>
      <c r="I447" s="20">
        <v>101.742491163422</v>
      </c>
      <c r="J447" s="20">
        <v>188.49722345368164</v>
      </c>
      <c r="K447" s="20">
        <v>2.3939147378617567</v>
      </c>
      <c r="L447" s="20">
        <f t="shared" si="18"/>
        <v>188.49684408396234</v>
      </c>
      <c r="M447" s="20">
        <f t="shared" si="19"/>
        <v>-2.3939099198758971</v>
      </c>
    </row>
    <row r="448" spans="1:13" x14ac:dyDescent="0.2">
      <c r="A448" s="23">
        <v>105.25</v>
      </c>
      <c r="B448" s="20">
        <v>189.211456237275</v>
      </c>
      <c r="C448" s="20">
        <v>3.2205719555685</v>
      </c>
      <c r="D448" s="20">
        <v>355.68980968632798</v>
      </c>
      <c r="E448" s="20">
        <v>-6.3028776650631002E-2</v>
      </c>
      <c r="F448" s="20">
        <v>-1.7585807531275299</v>
      </c>
      <c r="G448" s="20">
        <v>1.7597098885772799</v>
      </c>
      <c r="H448" s="20">
        <v>1.0101595881077501E-2</v>
      </c>
      <c r="I448" s="20">
        <v>101.654049892752</v>
      </c>
      <c r="J448" s="20">
        <v>189.23924382511098</v>
      </c>
      <c r="K448" s="20">
        <v>2.4033383965789095</v>
      </c>
      <c r="L448" s="20">
        <f t="shared" si="18"/>
        <v>189.2388629620016</v>
      </c>
      <c r="M448" s="20">
        <f t="shared" si="19"/>
        <v>-2.403333559627034</v>
      </c>
    </row>
    <row r="449" spans="1:13" x14ac:dyDescent="0.2">
      <c r="A449" s="23">
        <v>105.5</v>
      </c>
      <c r="B449" s="20">
        <v>189.95370628611499</v>
      </c>
      <c r="C449" s="20">
        <v>3.2497818072744802</v>
      </c>
      <c r="D449" s="20">
        <v>355.67213294178498</v>
      </c>
      <c r="E449" s="20">
        <v>-6.33237761964138E-2</v>
      </c>
      <c r="F449" s="20">
        <v>-1.76004150411269</v>
      </c>
      <c r="G449" s="20">
        <v>1.7611802851585201</v>
      </c>
      <c r="H449" s="20">
        <v>1.0020617470214099E-2</v>
      </c>
      <c r="I449" s="20">
        <v>101.566215258597</v>
      </c>
      <c r="J449" s="20">
        <v>189.98188570380532</v>
      </c>
      <c r="K449" s="20">
        <v>2.4127699484383274</v>
      </c>
      <c r="L449" s="20">
        <f t="shared" si="18"/>
        <v>189.9815033460535</v>
      </c>
      <c r="M449" s="20">
        <f t="shared" si="19"/>
        <v>-2.4127650925045305</v>
      </c>
    </row>
    <row r="450" spans="1:13" x14ac:dyDescent="0.2">
      <c r="A450" s="23">
        <v>105.75</v>
      </c>
      <c r="B450" s="20">
        <v>190.696568703304</v>
      </c>
      <c r="C450" s="20">
        <v>3.2791427212621498</v>
      </c>
      <c r="D450" s="20">
        <v>355.65442742624401</v>
      </c>
      <c r="E450" s="20">
        <v>-6.3619390094045603E-2</v>
      </c>
      <c r="F450" s="20">
        <v>-1.76148991358962</v>
      </c>
      <c r="G450" s="20">
        <v>1.7626384037782501</v>
      </c>
      <c r="H450" s="20">
        <v>9.9399380148142008E-3</v>
      </c>
      <c r="I450" s="20">
        <v>101.47898902723701</v>
      </c>
      <c r="J450" s="20">
        <v>190.72514389333105</v>
      </c>
      <c r="K450" s="20">
        <v>2.4222093274453043</v>
      </c>
      <c r="L450" s="20">
        <f t="shared" si="18"/>
        <v>190.72476003969791</v>
      </c>
      <c r="M450" s="20">
        <f t="shared" si="19"/>
        <v>-2.4222044525138524</v>
      </c>
    </row>
    <row r="451" spans="1:13" x14ac:dyDescent="0.2">
      <c r="A451" s="23">
        <v>106</v>
      </c>
      <c r="B451" s="20">
        <v>191.440038286701</v>
      </c>
      <c r="C451" s="20">
        <v>3.3086547995025</v>
      </c>
      <c r="D451" s="20">
        <v>355.63669318210998</v>
      </c>
      <c r="E451" s="20">
        <v>-6.3915616273996806E-2</v>
      </c>
      <c r="F451" s="20">
        <v>-1.76292602081079</v>
      </c>
      <c r="G451" s="20">
        <v>1.76408428394322</v>
      </c>
      <c r="H451" s="20">
        <v>9.8595590953565997E-3</v>
      </c>
      <c r="I451" s="20">
        <v>101.392372903682</v>
      </c>
      <c r="J451" s="20">
        <v>191.46901321389217</v>
      </c>
      <c r="K451" s="20">
        <v>2.4316564678164307</v>
      </c>
      <c r="L451" s="20">
        <f t="shared" si="18"/>
        <v>191.46862786314583</v>
      </c>
      <c r="M451" s="20">
        <f t="shared" si="19"/>
        <v>-2.4316515738716786</v>
      </c>
    </row>
    <row r="452" spans="1:13" x14ac:dyDescent="0.2">
      <c r="A452" s="23">
        <v>106.25</v>
      </c>
      <c r="B452" s="20">
        <v>192.18410985087201</v>
      </c>
      <c r="C452" s="20">
        <v>3.3383181416780601</v>
      </c>
      <c r="D452" s="20">
        <v>355.61893025181303</v>
      </c>
      <c r="E452" s="20">
        <v>-6.4212452657515101E-2</v>
      </c>
      <c r="F452" s="20">
        <v>-1.7643498651727101</v>
      </c>
      <c r="G452" s="20">
        <v>1.76551796530403</v>
      </c>
      <c r="H452" s="20">
        <v>9.7794822764461897E-3</v>
      </c>
      <c r="I452" s="20">
        <v>101.30636853222001</v>
      </c>
      <c r="J452" s="20">
        <v>192.21348850239147</v>
      </c>
      <c r="K452" s="20">
        <v>2.4411113039803718</v>
      </c>
      <c r="L452" s="20">
        <f t="shared" si="18"/>
        <v>192.21310165331369</v>
      </c>
      <c r="M452" s="20">
        <f t="shared" si="19"/>
        <v>-2.4411063910068482</v>
      </c>
    </row>
    <row r="453" spans="1:13" x14ac:dyDescent="0.2">
      <c r="A453" s="23">
        <v>106.5</v>
      </c>
      <c r="B453" s="20">
        <v>192.92877822713999</v>
      </c>
      <c r="C453" s="20">
        <v>3.3681328451942898</v>
      </c>
      <c r="D453" s="20">
        <v>355.60113867781598</v>
      </c>
      <c r="E453" s="20">
        <v>-6.4509897156705298E-2</v>
      </c>
      <c r="F453" s="20">
        <v>-1.7657614862117099</v>
      </c>
      <c r="G453" s="20">
        <v>1.76693948765083</v>
      </c>
      <c r="H453" s="20">
        <v>9.6997091074242509E-3</v>
      </c>
      <c r="I453" s="20">
        <v>101.220977496969</v>
      </c>
      <c r="J453" s="20">
        <v>192.95856461249159</v>
      </c>
      <c r="K453" s="20">
        <v>2.4505737705786435</v>
      </c>
      <c r="L453" s="20">
        <f t="shared" si="18"/>
        <v>192.9581762638729</v>
      </c>
      <c r="M453" s="20">
        <f t="shared" si="19"/>
        <v>-2.4505688385609883</v>
      </c>
    </row>
    <row r="454" spans="1:13" x14ac:dyDescent="0.2">
      <c r="A454" s="23">
        <v>106.75</v>
      </c>
      <c r="B454" s="20">
        <v>193.67403826364901</v>
      </c>
      <c r="C454" s="20">
        <v>3.3980990051910398</v>
      </c>
      <c r="D454" s="20">
        <v>355.58331850260498</v>
      </c>
      <c r="E454" s="20">
        <v>-6.4807947674608901E-2</v>
      </c>
      <c r="F454" s="20">
        <v>-1.7671609235996399</v>
      </c>
      <c r="G454" s="20">
        <v>1.7683488909090701</v>
      </c>
      <c r="H454" s="20">
        <v>9.6202411229907303E-3</v>
      </c>
      <c r="I454" s="20">
        <v>101.13620132242499</v>
      </c>
      <c r="J454" s="20">
        <v>193.70423641467178</v>
      </c>
      <c r="K454" s="20">
        <v>2.4600438024663318</v>
      </c>
      <c r="L454" s="20">
        <f t="shared" si="18"/>
        <v>193.70384656531337</v>
      </c>
      <c r="M454" s="20">
        <f t="shared" si="19"/>
        <v>-2.4600388513893199</v>
      </c>
    </row>
    <row r="455" spans="1:13" x14ac:dyDescent="0.2">
      <c r="A455" s="23">
        <v>107</v>
      </c>
      <c r="B455" s="20">
        <v>194.41988482542001</v>
      </c>
      <c r="C455" s="20">
        <v>3.4282167145539901</v>
      </c>
      <c r="D455" s="20">
        <v>355.56546976869799</v>
      </c>
      <c r="E455" s="20">
        <v>-6.5106602105283407E-2</v>
      </c>
      <c r="F455" s="20">
        <v>-1.76854821713971</v>
      </c>
      <c r="G455" s="20">
        <v>1.7697462151353101</v>
      </c>
      <c r="H455" s="20">
        <v>9.5410798438379796E-3</v>
      </c>
      <c r="I455" s="20">
        <v>101.052041474017</v>
      </c>
      <c r="J455" s="20">
        <v>194.45049879628641</v>
      </c>
      <c r="K455" s="20">
        <v>2.4695213347128373</v>
      </c>
      <c r="L455" s="20">
        <f t="shared" si="18"/>
        <v>194.45010744499868</v>
      </c>
      <c r="M455" s="20">
        <f t="shared" si="19"/>
        <v>-2.4695163645613616</v>
      </c>
    </row>
    <row r="456" spans="1:13" x14ac:dyDescent="0.2">
      <c r="A456" s="23">
        <v>107.25</v>
      </c>
      <c r="B456" s="20">
        <v>195.16631279440699</v>
      </c>
      <c r="C456" s="20">
        <v>3.4584860639261401</v>
      </c>
      <c r="D456" s="20">
        <v>355.54759251864101</v>
      </c>
      <c r="E456" s="20">
        <v>-6.5405858333881794E-2</v>
      </c>
      <c r="F456" s="20">
        <v>-1.76992340676231</v>
      </c>
      <c r="G456" s="20">
        <v>1.7711315005130199</v>
      </c>
      <c r="H456" s="20">
        <v>9.4622267772971995E-3</v>
      </c>
      <c r="I456" s="20">
        <v>100.968499358663</v>
      </c>
      <c r="J456" s="20">
        <v>195.19734666161602</v>
      </c>
      <c r="K456" s="20">
        <v>2.4790063026025235</v>
      </c>
      <c r="L456" s="20">
        <f t="shared" si="18"/>
        <v>195.1969538072218</v>
      </c>
      <c r="M456" s="20">
        <f t="shared" si="19"/>
        <v>-2.4790013133616329</v>
      </c>
    </row>
    <row r="457" spans="1:13" x14ac:dyDescent="0.2">
      <c r="A457" s="23">
        <v>107.5</v>
      </c>
      <c r="B457" s="20">
        <v>195.91331706954699</v>
      </c>
      <c r="C457" s="20">
        <v>3.4889071417194102</v>
      </c>
      <c r="D457" s="20">
        <v>355.52968679500901</v>
      </c>
      <c r="E457" s="20">
        <v>-6.5705714236731605E-2</v>
      </c>
      <c r="F457" s="20">
        <v>-1.7712865325209</v>
      </c>
      <c r="G457" s="20">
        <v>1.77250478734848</v>
      </c>
      <c r="H457" s="20">
        <v>9.3836834179972604E-3</v>
      </c>
      <c r="I457" s="20">
        <v>100.88557632532</v>
      </c>
      <c r="J457" s="20">
        <v>195.94477493192326</v>
      </c>
      <c r="K457" s="20">
        <v>2.4884986416354256</v>
      </c>
      <c r="L457" s="20">
        <f t="shared" si="18"/>
        <v>195.94438057325451</v>
      </c>
      <c r="M457" s="20">
        <f t="shared" si="19"/>
        <v>-2.4884936332902861</v>
      </c>
    </row>
    <row r="458" spans="1:13" x14ac:dyDescent="0.2">
      <c r="A458" s="23">
        <v>107.75</v>
      </c>
      <c r="B458" s="20">
        <v>196.66089256681499</v>
      </c>
      <c r="C458" s="20">
        <v>3.5194800341261501</v>
      </c>
      <c r="D458" s="20">
        <v>355.51175264040501</v>
      </c>
      <c r="E458" s="20">
        <v>-6.6006167681414193E-2</v>
      </c>
      <c r="F458" s="20">
        <v>-1.77263763458792</v>
      </c>
      <c r="G458" s="20">
        <v>1.77386611606666</v>
      </c>
      <c r="H458" s="20">
        <v>9.3054512485362898E-3</v>
      </c>
      <c r="I458" s="20">
        <v>100.803273665547</v>
      </c>
      <c r="J458" s="20">
        <v>196.69277854550356</v>
      </c>
      <c r="K458" s="20">
        <v>2.4979982875278957</v>
      </c>
      <c r="L458" s="20">
        <f t="shared" si="18"/>
        <v>196.69238268140168</v>
      </c>
      <c r="M458" s="20">
        <f t="shared" si="19"/>
        <v>-2.4979932600637933</v>
      </c>
    </row>
    <row r="459" spans="1:13" x14ac:dyDescent="0.2">
      <c r="A459" s="23">
        <v>108</v>
      </c>
      <c r="B459" s="20">
        <v>197.409034219273</v>
      </c>
      <c r="C459" s="20">
        <v>3.5502048251307601</v>
      </c>
      <c r="D459" s="20">
        <v>355.49379009746002</v>
      </c>
      <c r="E459" s="20">
        <v>-6.6307216526843293E-2</v>
      </c>
      <c r="F459" s="20">
        <v>-1.77397675325072</v>
      </c>
      <c r="G459" s="20">
        <v>1.7752155272071899</v>
      </c>
      <c r="H459" s="20">
        <v>9.2275317401669995E-3</v>
      </c>
      <c r="I459" s="20">
        <v>100.721592614051</v>
      </c>
      <c r="J459" s="20">
        <v>197.44135245773217</v>
      </c>
      <c r="K459" s="20">
        <v>2.5075051762131988</v>
      </c>
      <c r="L459" s="20">
        <f t="shared" si="18"/>
        <v>197.44095508704996</v>
      </c>
      <c r="M459" s="20">
        <f t="shared" si="19"/>
        <v>-2.5075001296155643</v>
      </c>
    </row>
    <row r="460" spans="1:13" x14ac:dyDescent="0.2">
      <c r="A460" s="23">
        <v>108.25</v>
      </c>
      <c r="B460" s="20">
        <v>198.157736977116</v>
      </c>
      <c r="C460" s="20">
        <v>3.5810815965213498</v>
      </c>
      <c r="D460" s="20">
        <v>355.47579920883902</v>
      </c>
      <c r="E460" s="20">
        <v>-6.6608858623344605E-2</v>
      </c>
      <c r="F460" s="20">
        <v>-1.77530392890762</v>
      </c>
      <c r="G460" s="20">
        <v>1.77655306142033</v>
      </c>
      <c r="H460" s="20">
        <v>9.1499263534952392E-3</v>
      </c>
      <c r="I460" s="20">
        <v>100.640534349256</v>
      </c>
      <c r="J460" s="20">
        <v>198.19049164111416</v>
      </c>
      <c r="K460" s="20">
        <v>2.5170192438421504</v>
      </c>
      <c r="L460" s="20">
        <f t="shared" si="18"/>
        <v>198.19009276271311</v>
      </c>
      <c r="M460" s="20">
        <f t="shared" si="19"/>
        <v>-2.5170141780965247</v>
      </c>
    </row>
    <row r="461" spans="1:13" x14ac:dyDescent="0.2">
      <c r="A461" s="23">
        <v>108.5</v>
      </c>
      <c r="B461" s="20">
        <v>198.90699580772301</v>
      </c>
      <c r="C461" s="20">
        <v>3.6121104279013601</v>
      </c>
      <c r="D461" s="20">
        <v>355.45778001722999</v>
      </c>
      <c r="E461" s="20">
        <v>-6.6911091812733803E-2</v>
      </c>
      <c r="F461" s="20">
        <v>-1.77661920206386</v>
      </c>
      <c r="G461" s="20">
        <v>1.7778787594629699</v>
      </c>
      <c r="H461" s="20">
        <v>9.0726365391928798E-3</v>
      </c>
      <c r="I461" s="20">
        <v>100.56009999385201</v>
      </c>
      <c r="J461" s="20">
        <v>198.94019108532916</v>
      </c>
      <c r="K461" s="20">
        <v>2.5265404267836806</v>
      </c>
      <c r="L461" s="20">
        <f t="shared" si="18"/>
        <v>198.93979069808256</v>
      </c>
      <c r="M461" s="20">
        <f t="shared" si="19"/>
        <v>-2.5265353418757548</v>
      </c>
    </row>
    <row r="462" spans="1:13" x14ac:dyDescent="0.2">
      <c r="A462" s="23">
        <v>108.75</v>
      </c>
      <c r="B462" s="20">
        <v>199.65680569569599</v>
      </c>
      <c r="C462" s="20">
        <v>3.6432913967012599</v>
      </c>
      <c r="D462" s="20">
        <v>355.439732565356</v>
      </c>
      <c r="E462" s="20">
        <v>-6.7213913928395305E-2</v>
      </c>
      <c r="F462" s="20">
        <v>-1.7779226133277199</v>
      </c>
      <c r="G462" s="20">
        <v>1.77919266219475</v>
      </c>
      <c r="H462" s="20">
        <v>8.9956637387251896E-3</v>
      </c>
      <c r="I462" s="20">
        <v>100.48029061535399</v>
      </c>
      <c r="J462" s="20">
        <v>199.69044579727583</v>
      </c>
      <c r="K462" s="20">
        <v>2.5360686616254031</v>
      </c>
      <c r="L462" s="20">
        <f t="shared" si="18"/>
        <v>199.69004390006575</v>
      </c>
      <c r="M462" s="20">
        <f t="shared" si="19"/>
        <v>-2.5360635575409791</v>
      </c>
    </row>
    <row r="463" spans="1:13" x14ac:dyDescent="0.2">
      <c r="A463" s="23">
        <v>109</v>
      </c>
      <c r="B463" s="20">
        <v>200.40716164290899</v>
      </c>
      <c r="C463" s="20">
        <v>3.6746245781902598</v>
      </c>
      <c r="D463" s="20">
        <v>355.42165689596499</v>
      </c>
      <c r="E463" s="20">
        <v>-6.7517322795360907E-2</v>
      </c>
      <c r="F463" s="20">
        <v>-1.7792142034066001</v>
      </c>
      <c r="G463" s="20">
        <v>1.7804948105740801</v>
      </c>
      <c r="H463" s="20">
        <v>8.9190093850928694E-3</v>
      </c>
      <c r="I463" s="20">
        <v>100.401107226665</v>
      </c>
      <c r="J463" s="20">
        <v>200.44125080111564</v>
      </c>
      <c r="K463" s="20">
        <v>2.5456038851741689</v>
      </c>
      <c r="L463" s="20">
        <f t="shared" si="18"/>
        <v>200.4408473928348</v>
      </c>
      <c r="M463" s="20">
        <f t="shared" si="19"/>
        <v>-2.5455987618991842</v>
      </c>
    </row>
    <row r="464" spans="1:13" x14ac:dyDescent="0.2">
      <c r="A464" s="23">
        <v>109.25</v>
      </c>
      <c r="B464" s="20">
        <v>201.15805866854399</v>
      </c>
      <c r="C464" s="20">
        <v>3.7061100454880398</v>
      </c>
      <c r="D464" s="20">
        <v>355.403553051838</v>
      </c>
      <c r="E464" s="20">
        <v>-6.7821316230388104E-2</v>
      </c>
      <c r="F464" s="20">
        <v>-1.7804940131032001</v>
      </c>
      <c r="G464" s="20">
        <v>1.7817852456543599</v>
      </c>
      <c r="H464" s="20">
        <v>8.8426749035896701E-3</v>
      </c>
      <c r="I464" s="20">
        <v>100.32255078663</v>
      </c>
      <c r="J464" s="20">
        <v>201.19260113831137</v>
      </c>
      <c r="K464" s="20">
        <v>2.5551460344565546</v>
      </c>
      <c r="L464" s="20">
        <f t="shared" si="18"/>
        <v>201.19219621786192</v>
      </c>
      <c r="M464" s="20">
        <f t="shared" si="19"/>
        <v>-2.5551408919770671</v>
      </c>
    </row>
    <row r="465" spans="1:13" x14ac:dyDescent="0.2">
      <c r="A465" s="23">
        <v>109.5</v>
      </c>
      <c r="B465" s="20">
        <v>201.909491809136</v>
      </c>
      <c r="C465" s="20">
        <v>3.7377478695765101</v>
      </c>
      <c r="D465" s="20">
        <v>355.38542107578502</v>
      </c>
      <c r="E465" s="20">
        <v>-6.8125892042038005E-2</v>
      </c>
      <c r="F465" s="20">
        <v>-1.7817620833116801</v>
      </c>
      <c r="G465" s="20">
        <v>1.78306400858009</v>
      </c>
      <c r="H465" s="20">
        <v>8.7666617125756706E-3</v>
      </c>
      <c r="I465" s="20">
        <v>100.244622200593</v>
      </c>
      <c r="J465" s="20">
        <v>201.94449186766929</v>
      </c>
      <c r="K465" s="20">
        <v>2.5646950467193999</v>
      </c>
      <c r="L465" s="20">
        <f t="shared" si="18"/>
        <v>201.94408543396383</v>
      </c>
      <c r="M465" s="20">
        <f t="shared" si="19"/>
        <v>-2.5646898850215996</v>
      </c>
    </row>
    <row r="466" spans="1:13" x14ac:dyDescent="0.2">
      <c r="A466" s="23">
        <v>109.75</v>
      </c>
      <c r="B466" s="20">
        <v>202.66145611860699</v>
      </c>
      <c r="C466" s="20">
        <v>3.76953811931156</v>
      </c>
      <c r="D466" s="20">
        <v>355.367261010645</v>
      </c>
      <c r="E466" s="20">
        <v>-6.8431048030753699E-2</v>
      </c>
      <c r="F466" s="20">
        <v>-1.7830184550138599</v>
      </c>
      <c r="G466" s="20">
        <v>1.7843311405831099</v>
      </c>
      <c r="H466" s="20">
        <v>8.6909712242668902E-3</v>
      </c>
      <c r="I466" s="20">
        <v>100.16732232096101</v>
      </c>
      <c r="J466" s="20">
        <v>202.69691806537512</v>
      </c>
      <c r="K466" s="20">
        <v>2.5742508594302644</v>
      </c>
      <c r="L466" s="20">
        <f t="shared" si="18"/>
        <v>202.69651011733529</v>
      </c>
      <c r="M466" s="20">
        <f t="shared" si="19"/>
        <v>-2.5742456785004553</v>
      </c>
    </row>
    <row r="467" spans="1:13" x14ac:dyDescent="0.2">
      <c r="A467" s="23">
        <v>110</v>
      </c>
      <c r="B467" s="20">
        <v>203.41394666830499</v>
      </c>
      <c r="C467" s="20">
        <v>3.8014808614348401</v>
      </c>
      <c r="D467" s="20">
        <v>355.34907289928799</v>
      </c>
      <c r="E467" s="20">
        <v>-6.8736781988937595E-2</v>
      </c>
      <c r="F467" s="20">
        <v>-1.7842631692755599</v>
      </c>
      <c r="G467" s="20">
        <v>1.78558668297886</v>
      </c>
      <c r="H467" s="20">
        <v>8.6156048455416495E-3</v>
      </c>
      <c r="I467" s="20">
        <v>100.090651947757</v>
      </c>
      <c r="J467" s="20">
        <v>203.44987482502927</v>
      </c>
      <c r="K467" s="20">
        <v>2.5838134102778718</v>
      </c>
      <c r="L467" s="20">
        <f t="shared" si="18"/>
        <v>203.44946536158773</v>
      </c>
      <c r="M467" s="20">
        <f t="shared" si="19"/>
        <v>-2.5838082101024997</v>
      </c>
    </row>
    <row r="468" spans="1:13" x14ac:dyDescent="0.2">
      <c r="A468" s="23">
        <v>110.25</v>
      </c>
      <c r="B468" s="20">
        <v>204.166958547039</v>
      </c>
      <c r="C468" s="20">
        <v>3.8335761605855998</v>
      </c>
      <c r="D468" s="20">
        <v>355.33085678461498</v>
      </c>
      <c r="E468" s="20">
        <v>-6.9043091701030096E-2</v>
      </c>
      <c r="F468" s="20">
        <v>-1.7854962672428001</v>
      </c>
      <c r="G468" s="20">
        <v>1.7868306771626701</v>
      </c>
      <c r="H468" s="20">
        <v>8.5405639787641697E-3</v>
      </c>
      <c r="I468" s="20">
        <v>100.01461182917799</v>
      </c>
      <c r="J468" s="20">
        <v>204.20335725768436</v>
      </c>
      <c r="K468" s="20">
        <v>2.5933826371725912</v>
      </c>
      <c r="L468" s="20">
        <f t="shared" si="18"/>
        <v>204.20294627778355</v>
      </c>
      <c r="M468" s="20">
        <f t="shared" si="19"/>
        <v>-2.5933774177382247</v>
      </c>
    </row>
    <row r="469" spans="1:13" x14ac:dyDescent="0.2">
      <c r="A469" s="23">
        <v>110.5</v>
      </c>
      <c r="B469" s="20">
        <v>204.92048686110999</v>
      </c>
      <c r="C469" s="20">
        <v>3.8658240793124601</v>
      </c>
      <c r="D469" s="20">
        <v>355.31261270955599</v>
      </c>
      <c r="E469" s="20">
        <v>-6.9349974943586204E-2</v>
      </c>
      <c r="F469" s="20">
        <v>-1.7867177901382101</v>
      </c>
      <c r="G469" s="20">
        <v>1.7880631646060601</v>
      </c>
      <c r="H469" s="20">
        <v>8.4658500226260005E-3</v>
      </c>
      <c r="I469" s="20">
        <v>99.939202662154102</v>
      </c>
      <c r="J469" s="20">
        <v>204.95736049187585</v>
      </c>
      <c r="K469" s="20">
        <v>2.6029584782468236</v>
      </c>
      <c r="L469" s="20">
        <f t="shared" si="18"/>
        <v>204.95694799446676</v>
      </c>
      <c r="M469" s="20">
        <f t="shared" si="19"/>
        <v>-2.6029532395401396</v>
      </c>
    </row>
    <row r="470" spans="1:13" x14ac:dyDescent="0.2">
      <c r="A470" s="23">
        <v>110.75</v>
      </c>
      <c r="B470" s="20">
        <v>205.67452673434801</v>
      </c>
      <c r="C470" s="20">
        <v>3.8982246780852701</v>
      </c>
      <c r="D470" s="20">
        <v>355.294340717073</v>
      </c>
      <c r="E470" s="20">
        <v>-6.9657429485353695E-2</v>
      </c>
      <c r="F470" s="20">
        <v>-1.78792777925739</v>
      </c>
      <c r="G470" s="20">
        <v>1.7892841868531599</v>
      </c>
      <c r="H470" s="20">
        <v>8.3914643730058306E-3</v>
      </c>
      <c r="I470" s="20">
        <v>99.864425092905805</v>
      </c>
      <c r="J470" s="20">
        <v>205.71187967365481</v>
      </c>
      <c r="K470" s="20">
        <v>2.6125408718554164</v>
      </c>
      <c r="L470" s="20">
        <f t="shared" si="18"/>
        <v>205.71146565769948</v>
      </c>
      <c r="M470" s="20">
        <f t="shared" si="19"/>
        <v>-2.6125356138632339</v>
      </c>
    </row>
    <row r="471" spans="1:13" x14ac:dyDescent="0.2">
      <c r="A471" s="23">
        <v>111</v>
      </c>
      <c r="B471" s="20">
        <v>206.42907330813699</v>
      </c>
      <c r="C471" s="20">
        <v>3.93077801530695</v>
      </c>
      <c r="D471" s="20">
        <v>355.27604085015901</v>
      </c>
      <c r="E471" s="20">
        <v>-6.9965453087350193E-2</v>
      </c>
      <c r="F471" s="20">
        <v>-1.7891262759653199</v>
      </c>
      <c r="G471" s="20">
        <v>1.7904937855170699</v>
      </c>
      <c r="H471" s="20">
        <v>8.3174084238481702E-3</v>
      </c>
      <c r="I471" s="20">
        <v>99.790279717497597</v>
      </c>
      <c r="J471" s="20">
        <v>206.46690996661596</v>
      </c>
      <c r="K471" s="20">
        <v>2.6221297565760229</v>
      </c>
      <c r="L471" s="20">
        <f t="shared" si="18"/>
        <v>206.46649443108637</v>
      </c>
      <c r="M471" s="20">
        <f t="shared" si="19"/>
        <v>-2.6221244792852856</v>
      </c>
    </row>
    <row r="472" spans="1:13" x14ac:dyDescent="0.2">
      <c r="A472" s="23">
        <v>111.25</v>
      </c>
      <c r="B472" s="20">
        <v>207.184121741448</v>
      </c>
      <c r="C472" s="20">
        <v>3.96348414732531</v>
      </c>
      <c r="D472" s="20">
        <v>355.25771315183499</v>
      </c>
      <c r="E472" s="20">
        <v>-7.0274043502940003E-2</v>
      </c>
      <c r="F472" s="20">
        <v>-1.79031332169282</v>
      </c>
      <c r="G472" s="20">
        <v>1.7916920022763401</v>
      </c>
      <c r="H472" s="20">
        <v>8.2436835680616306E-3</v>
      </c>
      <c r="I472" s="20">
        <v>99.716767082394597</v>
      </c>
      <c r="J472" s="20">
        <v>207.22244655193015</v>
      </c>
      <c r="K472" s="20">
        <v>2.6317250712095128</v>
      </c>
      <c r="L472" s="20">
        <f t="shared" si="18"/>
        <v>207.22202949580733</v>
      </c>
      <c r="M472" s="20">
        <f t="shared" si="19"/>
        <v>-2.63171977460728</v>
      </c>
    </row>
    <row r="473" spans="1:13" x14ac:dyDescent="0.2">
      <c r="A473" s="23">
        <v>111.5</v>
      </c>
      <c r="B473" s="20">
        <v>207.93966721086201</v>
      </c>
      <c r="C473" s="20">
        <v>3.9963431284449298</v>
      </c>
      <c r="D473" s="20">
        <v>355.239357665157</v>
      </c>
      <c r="E473" s="20">
        <v>-7.0583198477911502E-2</v>
      </c>
      <c r="F473" s="20">
        <v>-1.79148895793301</v>
      </c>
      <c r="G473" s="20">
        <v>1.79287887887143</v>
      </c>
      <c r="H473" s="20">
        <v>8.1702911984371501E-3</v>
      </c>
      <c r="I473" s="20">
        <v>99.643887685017404</v>
      </c>
      <c r="J473" s="20">
        <v>207.9784846283666</v>
      </c>
      <c r="K473" s="20">
        <v>2.6413267547802559</v>
      </c>
      <c r="L473" s="20">
        <f t="shared" si="18"/>
        <v>207.97806605063985</v>
      </c>
      <c r="M473" s="20">
        <f t="shared" si="19"/>
        <v>-2.6413214388536916</v>
      </c>
    </row>
    <row r="474" spans="1:13" x14ac:dyDescent="0.2">
      <c r="A474" s="23">
        <v>111.75</v>
      </c>
      <c r="B474" s="20">
        <v>208.69570491060301</v>
      </c>
      <c r="C474" s="20">
        <v>4.02935501093899</v>
      </c>
      <c r="D474" s="20">
        <v>355.22097443321002</v>
      </c>
      <c r="E474" s="20">
        <v>-7.0892915750554106E-2</v>
      </c>
      <c r="F474" s="20">
        <v>-1.79265322623791</v>
      </c>
      <c r="G474" s="20">
        <v>1.79405445710123</v>
      </c>
      <c r="H474" s="20">
        <v>8.0972327085872004E-3</v>
      </c>
      <c r="I474" s="20">
        <v>99.571641974295503</v>
      </c>
      <c r="J474" s="20">
        <v>208.73501941231979</v>
      </c>
      <c r="K474" s="20">
        <v>2.6509347465364614</v>
      </c>
      <c r="L474" s="20">
        <f t="shared" si="18"/>
        <v>208.73459931199159</v>
      </c>
      <c r="M474" s="20">
        <f t="shared" si="19"/>
        <v>-2.6509294112728967</v>
      </c>
    </row>
    <row r="475" spans="1:13" x14ac:dyDescent="0.2">
      <c r="A475" s="23">
        <v>112</v>
      </c>
      <c r="B475" s="20">
        <v>209.45223005255301</v>
      </c>
      <c r="C475" s="20">
        <v>4.0625198450611899</v>
      </c>
      <c r="D475" s="20">
        <v>355.20256349911102</v>
      </c>
      <c r="E475" s="20">
        <v>-7.1203193051734504E-2</v>
      </c>
      <c r="F475" s="20">
        <v>-1.79380616821493</v>
      </c>
      <c r="G475" s="20">
        <v>1.7952187788196501</v>
      </c>
      <c r="H475" s="20">
        <v>8.0245094939060905E-3</v>
      </c>
      <c r="I475" s="20">
        <v>99.500030351219806</v>
      </c>
      <c r="J475" s="20">
        <v>209.49204613783667</v>
      </c>
      <c r="K475" s="20">
        <v>2.660548985950526</v>
      </c>
      <c r="L475" s="20">
        <f t="shared" si="18"/>
        <v>209.49162451391487</v>
      </c>
      <c r="M475" s="20">
        <f t="shared" si="19"/>
        <v>-2.6605436313373612</v>
      </c>
    </row>
    <row r="476" spans="1:13" x14ac:dyDescent="0.2">
      <c r="A476" s="23">
        <v>112.25</v>
      </c>
      <c r="B476" s="20">
        <v>210.20923786628501</v>
      </c>
      <c r="C476" s="20">
        <v>4.0958376790575697</v>
      </c>
      <c r="D476" s="20">
        <v>355.18412490600798</v>
      </c>
      <c r="E476" s="20">
        <v>-7.1514028104973107E-2</v>
      </c>
      <c r="F476" s="20">
        <v>-1.79494782552355</v>
      </c>
      <c r="G476" s="20">
        <v>1.79637188593218</v>
      </c>
      <c r="H476" s="20">
        <v>7.9521229525528099E-3</v>
      </c>
      <c r="I476" s="20">
        <v>99.429053169394507</v>
      </c>
      <c r="J476" s="20">
        <v>210.24956005663415</v>
      </c>
      <c r="K476" s="20">
        <v>2.6701694127192539</v>
      </c>
      <c r="L476" s="20">
        <f t="shared" ref="L476:L539" si="20">SQRT(B476^2+C476^2)</f>
        <v>210.24913690813949</v>
      </c>
      <c r="M476" s="20">
        <f t="shared" ref="M476:M539" si="21">-L476/A$25*100</f>
        <v>-2.6701640387440522</v>
      </c>
    </row>
    <row r="477" spans="1:13" x14ac:dyDescent="0.2">
      <c r="A477" s="23">
        <v>112.5</v>
      </c>
      <c r="B477" s="20">
        <v>210.966723599077</v>
      </c>
      <c r="C477" s="20">
        <v>4.1293085591784102</v>
      </c>
      <c r="D477" s="20">
        <v>355.16565869708199</v>
      </c>
      <c r="E477" s="20">
        <v>-7.1825418626521101E-2</v>
      </c>
      <c r="F477" s="20">
        <v>-1.79607823987191</v>
      </c>
      <c r="G477" s="20">
        <v>1.79751382039256</v>
      </c>
      <c r="H477" s="20">
        <v>7.8800744864559302E-3</v>
      </c>
      <c r="I477" s="20">
        <v>99.358710735587096</v>
      </c>
      <c r="J477" s="20">
        <v>211.00755643812528</v>
      </c>
      <c r="K477" s="20">
        <v>2.6797959667641909</v>
      </c>
      <c r="L477" s="20">
        <f t="shared" si="20"/>
        <v>211.00713176408578</v>
      </c>
      <c r="M477" s="20">
        <f t="shared" si="21"/>
        <v>-2.6797905734146088</v>
      </c>
    </row>
    <row r="478" spans="1:13" x14ac:dyDescent="0.2">
      <c r="A478" s="23">
        <v>112.75</v>
      </c>
      <c r="B478" s="20">
        <v>211.724682515935</v>
      </c>
      <c r="C478" s="20">
        <v>4.1629325296900701</v>
      </c>
      <c r="D478" s="20">
        <v>355.14716491554498</v>
      </c>
      <c r="E478" s="20">
        <v>-7.2137362325435897E-2</v>
      </c>
      <c r="F478" s="20">
        <v>-1.79719745301351</v>
      </c>
      <c r="G478" s="20">
        <v>1.79864462419944</v>
      </c>
      <c r="H478" s="20">
        <v>7.8083655023427701E-3</v>
      </c>
      <c r="I478" s="20">
        <v>99.289003310278204</v>
      </c>
      <c r="J478" s="20">
        <v>211.76603056943293</v>
      </c>
      <c r="K478" s="20">
        <v>2.6894285882317983</v>
      </c>
      <c r="L478" s="20">
        <f t="shared" si="20"/>
        <v>211.76560436888761</v>
      </c>
      <c r="M478" s="20">
        <f t="shared" si="21"/>
        <v>-2.6894231754956301</v>
      </c>
    </row>
    <row r="479" spans="1:13" x14ac:dyDescent="0.2">
      <c r="A479" s="23">
        <v>113</v>
      </c>
      <c r="B479" s="20">
        <v>212.48310989961399</v>
      </c>
      <c r="C479" s="20">
        <v>4.1967096328868996</v>
      </c>
      <c r="D479" s="20">
        <v>355.12864360464101</v>
      </c>
      <c r="E479" s="20">
        <v>-7.2449856903657503E-2</v>
      </c>
      <c r="F479" s="20">
        <v>-1.7983055067439599</v>
      </c>
      <c r="G479" s="20">
        <v>1.79976433939308</v>
      </c>
      <c r="H479" s="20">
        <v>7.7369974127920503E-3</v>
      </c>
      <c r="I479" s="20">
        <v>99.219931108208499</v>
      </c>
      <c r="J479" s="20">
        <v>212.52497775541624</v>
      </c>
      <c r="K479" s="20">
        <v>2.6990672174937864</v>
      </c>
      <c r="L479" s="20">
        <f t="shared" si="20"/>
        <v>212.52455002741263</v>
      </c>
      <c r="M479" s="20">
        <f t="shared" si="21"/>
        <v>-2.6990617853589369</v>
      </c>
    </row>
    <row r="480" spans="1:13" x14ac:dyDescent="0.2">
      <c r="A480" s="23">
        <v>113.25</v>
      </c>
      <c r="B480" s="20">
        <v>213.24200105063099</v>
      </c>
      <c r="C480" s="20">
        <v>4.23063990910308</v>
      </c>
      <c r="D480" s="20">
        <v>355.11009480764602</v>
      </c>
      <c r="E480" s="20">
        <v>-7.2762900056084406E-2</v>
      </c>
      <c r="F480" s="20">
        <v>-1.79940244289767</v>
      </c>
      <c r="G480" s="20">
        <v>1.80087300805212</v>
      </c>
      <c r="H480" s="20">
        <v>7.6659716373119399E-3</v>
      </c>
      <c r="I480" s="20">
        <v>99.151494298925797</v>
      </c>
      <c r="J480" s="20">
        <v>213.2843933186785</v>
      </c>
      <c r="K480" s="20">
        <v>2.708711795147217</v>
      </c>
      <c r="L480" s="20">
        <f t="shared" si="20"/>
        <v>213.28396406227498</v>
      </c>
      <c r="M480" s="20">
        <f t="shared" si="21"/>
        <v>-2.7087063436017274</v>
      </c>
    </row>
    <row r="481" spans="1:13" x14ac:dyDescent="0.2">
      <c r="A481" s="23">
        <v>113.5</v>
      </c>
      <c r="B481" s="20">
        <v>214.001351287283</v>
      </c>
      <c r="C481" s="20">
        <v>4.2647233967245004</v>
      </c>
      <c r="D481" s="20">
        <v>355.09151856787099</v>
      </c>
      <c r="E481" s="20">
        <v>-7.3076489470648806E-2</v>
      </c>
      <c r="F481" s="20">
        <v>-1.8004883033447401</v>
      </c>
      <c r="G481" s="20">
        <v>1.8019706722903599</v>
      </c>
      <c r="H481" s="20">
        <v>7.5952896034437098E-3</v>
      </c>
      <c r="I481" s="20">
        <v>99.083693007329501</v>
      </c>
      <c r="J481" s="20">
        <v>214.04427259959044</v>
      </c>
      <c r="K481" s="20">
        <v>2.7183622620147987</v>
      </c>
      <c r="L481" s="20">
        <f t="shared" si="20"/>
        <v>214.04384181385288</v>
      </c>
      <c r="M481" s="20">
        <f t="shared" si="21"/>
        <v>-2.7183567910468049</v>
      </c>
    </row>
    <row r="482" spans="1:13" x14ac:dyDescent="0.2">
      <c r="A482" s="23">
        <v>113.75</v>
      </c>
      <c r="B482" s="20">
        <v>214.761155945664</v>
      </c>
      <c r="C482" s="20">
        <v>4.2989601322005901</v>
      </c>
      <c r="D482" s="20">
        <v>355.072914928655</v>
      </c>
      <c r="E482" s="20">
        <v>-7.3390622828392996E-2</v>
      </c>
      <c r="F482" s="20">
        <v>-1.8015631299877</v>
      </c>
      <c r="G482" s="20">
        <v>1.80305737425358</v>
      </c>
      <c r="H482" s="20">
        <v>7.5249527478918297E-3</v>
      </c>
      <c r="I482" s="20">
        <v>99.016527314214002</v>
      </c>
      <c r="J482" s="20">
        <v>214.80461095630068</v>
      </c>
      <c r="K482" s="20">
        <v>2.7280185591450188</v>
      </c>
      <c r="L482" s="20">
        <f t="shared" si="20"/>
        <v>214.804178640305</v>
      </c>
      <c r="M482" s="20">
        <f t="shared" si="21"/>
        <v>-2.7280130687427859</v>
      </c>
    </row>
    <row r="483" spans="1:13" x14ac:dyDescent="0.2">
      <c r="A483" s="23">
        <v>114</v>
      </c>
      <c r="B483" s="20">
        <v>215.52141037967399</v>
      </c>
      <c r="C483" s="20">
        <v>4.3333501500562104</v>
      </c>
      <c r="D483" s="20">
        <v>355.05428393337399</v>
      </c>
      <c r="E483" s="20">
        <v>-7.3705297803543707E-2</v>
      </c>
      <c r="F483" s="20">
        <v>-1.8026269647584701</v>
      </c>
      <c r="G483" s="20">
        <v>1.80413315611643</v>
      </c>
      <c r="H483" s="20">
        <v>7.4549625176814098E-3</v>
      </c>
      <c r="I483" s="20">
        <v>98.949997256810306</v>
      </c>
      <c r="J483" s="20">
        <v>215.56540376474729</v>
      </c>
      <c r="K483" s="20">
        <v>2.7376806278122907</v>
      </c>
      <c r="L483" s="20">
        <f t="shared" si="20"/>
        <v>215.56496991757925</v>
      </c>
      <c r="M483" s="20">
        <f t="shared" si="21"/>
        <v>-2.7376751179642071</v>
      </c>
    </row>
    <row r="484" spans="1:13" x14ac:dyDescent="0.2">
      <c r="A484" s="23">
        <v>114.25</v>
      </c>
      <c r="B484" s="20">
        <v>216.28210996103499</v>
      </c>
      <c r="C484" s="20">
        <v>4.3678934829034901</v>
      </c>
      <c r="D484" s="20">
        <v>355.03562562543402</v>
      </c>
      <c r="E484" s="20">
        <v>-7.4020512063587798E-2</v>
      </c>
      <c r="F484" s="20">
        <v>-1.80367984961518</v>
      </c>
      <c r="G484" s="20">
        <v>1.8051980600792801</v>
      </c>
      <c r="H484" s="20">
        <v>7.3853203713439303E-3</v>
      </c>
      <c r="I484" s="20">
        <v>98.884102829325897</v>
      </c>
      <c r="J484" s="20">
        <v>216.32664641867422</v>
      </c>
      <c r="K484" s="20">
        <v>2.7473484095171625</v>
      </c>
      <c r="L484" s="20">
        <f t="shared" si="20"/>
        <v>216.32621103942819</v>
      </c>
      <c r="M484" s="20">
        <f t="shared" si="21"/>
        <v>-2.7473428802117272</v>
      </c>
    </row>
    <row r="485" spans="1:13" x14ac:dyDescent="0.2">
      <c r="A485" s="23">
        <v>114.5</v>
      </c>
      <c r="B485" s="20">
        <v>217.04325007929799</v>
      </c>
      <c r="C485" s="20">
        <v>4.4025901614536096</v>
      </c>
      <c r="D485" s="20">
        <v>355.01694004827601</v>
      </c>
      <c r="E485" s="20">
        <v>-7.4336263269347405E-2</v>
      </c>
      <c r="F485" s="20">
        <v>-1.80472182653921</v>
      </c>
      <c r="G485" s="20">
        <v>1.80625212836521</v>
      </c>
      <c r="H485" s="20">
        <v>7.3160277801319002E-3</v>
      </c>
      <c r="I485" s="20">
        <v>98.818843983482495</v>
      </c>
      <c r="J485" s="20">
        <v>217.08833432963613</v>
      </c>
      <c r="K485" s="20">
        <v>2.7570218459863791</v>
      </c>
      <c r="L485" s="20">
        <f t="shared" si="20"/>
        <v>217.08789741741575</v>
      </c>
      <c r="M485" s="20">
        <f t="shared" si="21"/>
        <v>-2.7570162972122079</v>
      </c>
    </row>
    <row r="486" spans="1:13" x14ac:dyDescent="0.2">
      <c r="A486" s="23">
        <v>114.75</v>
      </c>
      <c r="B486" s="20">
        <v>217.80482614185701</v>
      </c>
      <c r="C486" s="20">
        <v>4.43744021452871</v>
      </c>
      <c r="D486" s="20">
        <v>354.99822724537398</v>
      </c>
      <c r="E486" s="20">
        <v>-7.4652549075054295E-2</v>
      </c>
      <c r="F486" s="20">
        <v>-1.80575293753207</v>
      </c>
      <c r="G486" s="20">
        <v>1.8072954032169499</v>
      </c>
      <c r="H486" s="20">
        <v>7.2470862292632497E-3</v>
      </c>
      <c r="I486" s="20">
        <v>98.754220629052696</v>
      </c>
      <c r="J486" s="20">
        <v>217.85046292701142</v>
      </c>
      <c r="K486" s="20">
        <v>2.7667008791730452</v>
      </c>
      <c r="L486" s="20">
        <f t="shared" si="20"/>
        <v>217.85002448093061</v>
      </c>
      <c r="M486" s="20">
        <f t="shared" si="21"/>
        <v>-2.7666953109188857</v>
      </c>
    </row>
    <row r="487" spans="1:13" x14ac:dyDescent="0.2">
      <c r="A487" s="23">
        <v>115</v>
      </c>
      <c r="B487" s="20">
        <v>218.56683357395301</v>
      </c>
      <c r="C487" s="20">
        <v>4.4724436690736296</v>
      </c>
      <c r="D487" s="20">
        <v>354.97948726023401</v>
      </c>
      <c r="E487" s="20">
        <v>-7.4969367128424599E-2</v>
      </c>
      <c r="F487" s="20">
        <v>-1.8067732246125401</v>
      </c>
      <c r="G487" s="20">
        <v>1.8083279268939101</v>
      </c>
      <c r="H487" s="20">
        <v>7.17849721919673E-3</v>
      </c>
      <c r="I487" s="20">
        <v>98.690232634393794</v>
      </c>
      <c r="J487" s="20">
        <v>218.61302765800895</v>
      </c>
      <c r="K487" s="20">
        <v>2.7763854512567141</v>
      </c>
      <c r="L487" s="20">
        <f t="shared" si="20"/>
        <v>218.61258767719005</v>
      </c>
      <c r="M487" s="20">
        <f t="shared" si="21"/>
        <v>-2.7763798635114192</v>
      </c>
    </row>
    <row r="488" spans="1:13" x14ac:dyDescent="0.2">
      <c r="A488" s="23">
        <v>115.25</v>
      </c>
      <c r="B488" s="20">
        <v>219.32926781868099</v>
      </c>
      <c r="C488" s="20">
        <v>4.5076005501677701</v>
      </c>
      <c r="D488" s="20">
        <v>354.96072013639701</v>
      </c>
      <c r="E488" s="20">
        <v>-7.5286715070733604E-2</v>
      </c>
      <c r="F488" s="20">
        <v>-1.80778272981361</v>
      </c>
      <c r="G488" s="20">
        <v>1.8093497416692199</v>
      </c>
      <c r="H488" s="20">
        <v>7.1102622669390299E-3</v>
      </c>
      <c r="I488" s="20">
        <v>98.626879826980201</v>
      </c>
      <c r="J488" s="20">
        <v>219.37602398767223</v>
      </c>
      <c r="K488" s="20">
        <v>2.7860755046434376</v>
      </c>
      <c r="L488" s="20">
        <f t="shared" si="20"/>
        <v>219.37558247124625</v>
      </c>
      <c r="M488" s="20">
        <f t="shared" si="21"/>
        <v>-2.7860698973959717</v>
      </c>
    </row>
    <row r="489" spans="1:13" x14ac:dyDescent="0.2">
      <c r="A489" s="23">
        <v>115.5</v>
      </c>
      <c r="B489" s="20">
        <v>220.09212433699901</v>
      </c>
      <c r="C489" s="20">
        <v>4.5429108810368097</v>
      </c>
      <c r="D489" s="20">
        <v>354.94192591743803</v>
      </c>
      <c r="E489" s="20">
        <v>-7.5604590536889602E-2</v>
      </c>
      <c r="F489" s="20">
        <v>-1.8087814951796499</v>
      </c>
      <c r="G489" s="20">
        <v>1.81036088982683</v>
      </c>
      <c r="H489" s="20">
        <v>7.0423829073840297E-3</v>
      </c>
      <c r="I489" s="20">
        <v>98.564161993933197</v>
      </c>
      <c r="J489" s="20">
        <v>220.13944739888905</v>
      </c>
      <c r="K489" s="20">
        <v>2.7957709819658909</v>
      </c>
      <c r="L489" s="20">
        <f t="shared" si="20"/>
        <v>220.13900434599515</v>
      </c>
      <c r="M489" s="20">
        <f t="shared" si="21"/>
        <v>-2.7957653552053214</v>
      </c>
    </row>
    <row r="490" spans="1:13" x14ac:dyDescent="0.2">
      <c r="A490" s="23">
        <v>115.75</v>
      </c>
      <c r="B490" s="20">
        <v>220.85539860773201</v>
      </c>
      <c r="C490" s="20">
        <v>4.5783746830645402</v>
      </c>
      <c r="D490" s="20">
        <v>354.92310464696402</v>
      </c>
      <c r="E490" s="20">
        <v>-7.5922991155508199E-2</v>
      </c>
      <c r="F490" s="20">
        <v>-1.80976956276353</v>
      </c>
      <c r="G490" s="20">
        <v>1.8113614136586</v>
      </c>
      <c r="H490" s="20">
        <v>6.9748606946861804E-3</v>
      </c>
      <c r="I490" s="20">
        <v>98.502078882549299</v>
      </c>
      <c r="J490" s="20">
        <v>220.90329339239008</v>
      </c>
      <c r="K490" s="20">
        <v>2.805471826083354</v>
      </c>
      <c r="L490" s="20">
        <f t="shared" si="20"/>
        <v>220.90284880217982</v>
      </c>
      <c r="M490" s="20">
        <f t="shared" si="21"/>
        <v>-2.8054661797989056</v>
      </c>
    </row>
    <row r="491" spans="1:13" x14ac:dyDescent="0.2">
      <c r="A491" s="23">
        <v>116</v>
      </c>
      <c r="B491" s="20">
        <v>221.61908612757</v>
      </c>
      <c r="C491" s="20">
        <v>4.6139919758046002</v>
      </c>
      <c r="D491" s="20">
        <v>354.90425636861897</v>
      </c>
      <c r="E491" s="20">
        <v>-7.6241914548986003E-2</v>
      </c>
      <c r="F491" s="20">
        <v>-1.8107469746237499</v>
      </c>
      <c r="G491" s="20">
        <v>1.81235135546151</v>
      </c>
      <c r="H491" s="20">
        <v>6.9076972036678204E-3</v>
      </c>
      <c r="I491" s="20">
        <v>98.440630200825595</v>
      </c>
      <c r="J491" s="20">
        <v>221.66755748675703</v>
      </c>
      <c r="K491" s="20">
        <v>2.8151779800818146</v>
      </c>
      <c r="L491" s="20">
        <f t="shared" si="20"/>
        <v>221.66711135838818</v>
      </c>
      <c r="M491" s="20">
        <f t="shared" si="21"/>
        <v>-2.8151723142627905</v>
      </c>
    </row>
    <row r="492" spans="1:13" x14ac:dyDescent="0.2">
      <c r="A492" s="23">
        <v>116.25</v>
      </c>
      <c r="B492" s="20">
        <v>222.38318241107601</v>
      </c>
      <c r="C492" s="20">
        <v>4.6497627769922003</v>
      </c>
      <c r="D492" s="20">
        <v>354.88538112607898</v>
      </c>
      <c r="E492" s="20">
        <v>-7.6561358333574497E-2</v>
      </c>
      <c r="F492" s="20">
        <v>-1.8117137728217001</v>
      </c>
      <c r="G492" s="20">
        <v>1.8133307575348001</v>
      </c>
      <c r="H492" s="20">
        <v>6.8408940312624502E-3</v>
      </c>
      <c r="I492" s="20">
        <v>98.379815617983496</v>
      </c>
      <c r="J492" s="20">
        <v>222.4322352184208</v>
      </c>
      <c r="K492" s="20">
        <v>2.8248893872739442</v>
      </c>
      <c r="L492" s="20">
        <f t="shared" si="20"/>
        <v>222.43178755106072</v>
      </c>
      <c r="M492" s="20">
        <f t="shared" si="21"/>
        <v>-2.824883701909771</v>
      </c>
    </row>
    <row r="493" spans="1:13" x14ac:dyDescent="0.2">
      <c r="A493" s="23">
        <v>116.5</v>
      </c>
      <c r="B493" s="20">
        <v>223.14768299068399</v>
      </c>
      <c r="C493" s="20">
        <v>4.6856871025558204</v>
      </c>
      <c r="D493" s="20">
        <v>354.86647896305601</v>
      </c>
      <c r="E493" s="20">
        <v>-7.6881320119453894E-2</v>
      </c>
      <c r="F493" s="20">
        <v>-1.81266999941885</v>
      </c>
      <c r="G493" s="20">
        <v>1.81429966217724</v>
      </c>
      <c r="H493" s="20">
        <v>6.7744527979937E-3</v>
      </c>
      <c r="I493" s="20">
        <v>98.319634764989502</v>
      </c>
      <c r="J493" s="20">
        <v>223.19732214166345</v>
      </c>
      <c r="K493" s="20">
        <v>2.8346059911991262</v>
      </c>
      <c r="L493" s="20">
        <f t="shared" si="20"/>
        <v>223.19687293448771</v>
      </c>
      <c r="M493" s="20">
        <f t="shared" si="21"/>
        <v>-2.8346002862793327</v>
      </c>
    </row>
    <row r="494" spans="1:13" x14ac:dyDescent="0.2">
      <c r="A494" s="23">
        <v>116.75</v>
      </c>
      <c r="B494" s="20">
        <v>223.91258341669999</v>
      </c>
      <c r="C494" s="20">
        <v>4.7217649666289896</v>
      </c>
      <c r="D494" s="20">
        <v>354.84754992329499</v>
      </c>
      <c r="E494" s="20">
        <v>-7.7201797510805498E-2</v>
      </c>
      <c r="F494" s="20">
        <v>-1.81361569647404</v>
      </c>
      <c r="G494" s="20">
        <v>1.81525811168437</v>
      </c>
      <c r="H494" s="20">
        <v>6.7083751494924201E-3</v>
      </c>
      <c r="I494" s="20">
        <v>98.260087235074195</v>
      </c>
      <c r="J494" s="20">
        <v>223.96281382861528</v>
      </c>
      <c r="K494" s="20">
        <v>2.8443277356234145</v>
      </c>
      <c r="L494" s="20">
        <f t="shared" si="20"/>
        <v>223.96236308081035</v>
      </c>
      <c r="M494" s="20">
        <f t="shared" si="21"/>
        <v>-2.8443220111376686</v>
      </c>
    </row>
    <row r="495" spans="1:13" x14ac:dyDescent="0.2">
      <c r="A495" s="23">
        <v>117</v>
      </c>
      <c r="B495" s="20">
        <v>224.67787925729999</v>
      </c>
      <c r="C495" s="20">
        <v>4.7579963815618598</v>
      </c>
      <c r="D495" s="20">
        <v>354.82859405057701</v>
      </c>
      <c r="E495" s="20">
        <v>-7.7522788105886004E-2</v>
      </c>
      <c r="F495" s="20">
        <v>-1.81455090604082</v>
      </c>
      <c r="G495" s="20">
        <v>1.81620614834585</v>
      </c>
      <c r="H495" s="20">
        <v>6.6426627580513401E-3</v>
      </c>
      <c r="I495" s="20">
        <v>98.201172584248596</v>
      </c>
      <c r="J495" s="20">
        <v>224.72870586925717</v>
      </c>
      <c r="K495" s="20">
        <v>2.8540545645395663</v>
      </c>
      <c r="L495" s="20">
        <f t="shared" si="20"/>
        <v>224.72825358001791</v>
      </c>
      <c r="M495" s="20">
        <f t="shared" si="21"/>
        <v>-2.8540488204776437</v>
      </c>
    </row>
    <row r="496" spans="1:13" x14ac:dyDescent="0.2">
      <c r="A496" s="23">
        <v>117.25</v>
      </c>
      <c r="B496" s="20">
        <v>225.443566098525</v>
      </c>
      <c r="C496" s="20">
        <v>4.7943813579329397</v>
      </c>
      <c r="D496" s="20">
        <v>354.80961138871902</v>
      </c>
      <c r="E496" s="20">
        <v>-7.7844289497099595E-2</v>
      </c>
      <c r="F496" s="20">
        <v>-1.8154756701647501</v>
      </c>
      <c r="G496" s="20">
        <v>1.8171438144427301</v>
      </c>
      <c r="H496" s="20">
        <v>6.5773173242193997E-3</v>
      </c>
      <c r="I496" s="20">
        <v>98.142890331817298</v>
      </c>
      <c r="J496" s="20">
        <v>225.49499387141412</v>
      </c>
      <c r="K496" s="20">
        <v>2.8637864221669593</v>
      </c>
      <c r="L496" s="20">
        <f t="shared" si="20"/>
        <v>225.49454003994265</v>
      </c>
      <c r="M496" s="20">
        <f t="shared" si="21"/>
        <v>-2.8637806585187269</v>
      </c>
    </row>
    <row r="497" spans="1:13" x14ac:dyDescent="0.2">
      <c r="A497" s="23">
        <v>117.5</v>
      </c>
      <c r="B497" s="20">
        <v>226.209639544281</v>
      </c>
      <c r="C497" s="20">
        <v>4.8309199045606901</v>
      </c>
      <c r="D497" s="20">
        <v>354.790601981571</v>
      </c>
      <c r="E497" s="20">
        <v>-7.8166299271071105E-2</v>
      </c>
      <c r="F497" s="20">
        <v>-1.8163900308808301</v>
      </c>
      <c r="G497" s="20">
        <v>1.81807115224487</v>
      </c>
      <c r="H497" s="20">
        <v>6.5123405784365401E-3</v>
      </c>
      <c r="I497" s="20">
        <v>98.085239960890505</v>
      </c>
      <c r="J497" s="20">
        <v>226.26167346075081</v>
      </c>
      <c r="K497" s="20">
        <v>2.8735232529515353</v>
      </c>
      <c r="L497" s="20">
        <f t="shared" si="20"/>
        <v>226.26121808625936</v>
      </c>
      <c r="M497" s="20">
        <f t="shared" si="21"/>
        <v>-2.8735174697069881</v>
      </c>
    </row>
    <row r="498" spans="1:13" x14ac:dyDescent="0.2">
      <c r="A498" s="23">
        <v>117.75</v>
      </c>
      <c r="B498" s="20">
        <v>226.97609521633299</v>
      </c>
      <c r="C498" s="20">
        <v>4.8676120285151301</v>
      </c>
      <c r="D498" s="20">
        <v>354.77156587301999</v>
      </c>
      <c r="E498" s="20">
        <v>-7.8488815008718696E-2</v>
      </c>
      <c r="F498" s="20">
        <v>-1.81729403021088</v>
      </c>
      <c r="G498" s="20">
        <v>1.81898820400836</v>
      </c>
      <c r="H498" s="20">
        <v>6.4477342827088798E-3</v>
      </c>
      <c r="I498" s="20">
        <v>98.028220918892004</v>
      </c>
      <c r="J498" s="20">
        <v>227.02874028076988</v>
      </c>
      <c r="K498" s="20">
        <v>2.8832650015657775</v>
      </c>
      <c r="L498" s="20">
        <f t="shared" si="20"/>
        <v>227.02828336247887</v>
      </c>
      <c r="M498" s="20">
        <f t="shared" si="21"/>
        <v>-2.8832591987150149</v>
      </c>
    </row>
    <row r="499" spans="1:13" x14ac:dyDescent="0.2">
      <c r="A499" s="23">
        <v>118</v>
      </c>
      <c r="B499" s="20">
        <v>227.74292875429799</v>
      </c>
      <c r="C499" s="20">
        <v>4.9044577351294496</v>
      </c>
      <c r="D499" s="20">
        <v>354.752503106988</v>
      </c>
      <c r="E499" s="20">
        <v>-7.8811834285325802E-2</v>
      </c>
      <c r="F499" s="20">
        <v>-1.81818771016101</v>
      </c>
      <c r="G499" s="20">
        <v>1.81989501197293</v>
      </c>
      <c r="H499" s="20">
        <v>6.3835002323269002E-3</v>
      </c>
      <c r="I499" s="20">
        <v>97.971832618065406</v>
      </c>
      <c r="J499" s="20">
        <v>227.79618999280262</v>
      </c>
      <c r="K499" s="20">
        <v>2.8930116129085937</v>
      </c>
      <c r="L499" s="20">
        <f t="shared" si="20"/>
        <v>227.79573152994092</v>
      </c>
      <c r="M499" s="20">
        <f t="shared" si="21"/>
        <v>-2.8930057904418218</v>
      </c>
    </row>
    <row r="500" spans="1:13" x14ac:dyDescent="0.2">
      <c r="A500" s="23">
        <v>118.25</v>
      </c>
      <c r="B500" s="20">
        <v>228.51013581563899</v>
      </c>
      <c r="C500" s="20">
        <v>4.9414570280115404</v>
      </c>
      <c r="D500" s="20">
        <v>354.73341372743198</v>
      </c>
      <c r="E500" s="20">
        <v>-7.9135354670613806E-2</v>
      </c>
      <c r="F500" s="20">
        <v>-1.8190711127191099</v>
      </c>
      <c r="G500" s="20">
        <v>1.8207916183594399</v>
      </c>
      <c r="H500" s="20">
        <v>6.3196402576259601E-3</v>
      </c>
      <c r="I500" s="20">
        <v>97.916074435977293</v>
      </c>
      <c r="J500" s="20">
        <v>228.56401827600109</v>
      </c>
      <c r="K500" s="20">
        <v>2.9027630321052142</v>
      </c>
      <c r="L500" s="20">
        <f t="shared" si="20"/>
        <v>228.56355826780757</v>
      </c>
      <c r="M500" s="20">
        <f t="shared" si="21"/>
        <v>-2.9027571900127671</v>
      </c>
    </row>
    <row r="501" spans="1:13" x14ac:dyDescent="0.2">
      <c r="A501" s="23">
        <v>118.5</v>
      </c>
      <c r="B501" s="20">
        <v>229.27771207565601</v>
      </c>
      <c r="C501" s="20">
        <v>4.9786099090554998</v>
      </c>
      <c r="D501" s="20">
        <v>354.71429777834697</v>
      </c>
      <c r="E501" s="20">
        <v>-7.9459373728813606E-2</v>
      </c>
      <c r="F501" s="20">
        <v>-1.81994427985237</v>
      </c>
      <c r="G501" s="20">
        <v>1.8216780653674001</v>
      </c>
      <c r="H501" s="20">
        <v>6.2561562257911103E-3</v>
      </c>
      <c r="I501" s="20">
        <v>97.860945716017795</v>
      </c>
      <c r="J501" s="20">
        <v>229.33222082733261</v>
      </c>
      <c r="K501" s="20">
        <v>2.9125192045071242</v>
      </c>
      <c r="L501" s="20">
        <f t="shared" si="20"/>
        <v>229.33175927305396</v>
      </c>
      <c r="M501" s="20">
        <f t="shared" si="21"/>
        <v>-2.9125133427794352</v>
      </c>
    </row>
    <row r="502" spans="1:13" x14ac:dyDescent="0.2">
      <c r="A502" s="23">
        <v>118.75</v>
      </c>
      <c r="B502" s="20">
        <v>230.045653227478</v>
      </c>
      <c r="C502" s="20">
        <v>5.0159163784532099</v>
      </c>
      <c r="D502" s="20">
        <v>354.69515530376202</v>
      </c>
      <c r="E502" s="20">
        <v>-7.9783889018737897E-2</v>
      </c>
      <c r="F502" s="20">
        <v>-1.8208072535048301</v>
      </c>
      <c r="G502" s="20">
        <v>1.82255439517254</v>
      </c>
      <c r="H502" s="20">
        <v>6.1930500427064402E-3</v>
      </c>
      <c r="I502" s="20">
        <v>97.806445767898097</v>
      </c>
      <c r="J502" s="20">
        <v>230.10079336156898</v>
      </c>
      <c r="K502" s="20">
        <v>2.9222800756919258</v>
      </c>
      <c r="L502" s="20">
        <f t="shared" si="20"/>
        <v>230.10033026045986</v>
      </c>
      <c r="M502" s="20">
        <f t="shared" si="21"/>
        <v>-2.9222741943195292</v>
      </c>
    </row>
    <row r="503" spans="1:13" x14ac:dyDescent="0.2">
      <c r="A503" s="23">
        <v>119</v>
      </c>
      <c r="B503" s="20">
        <v>230.81395498205299</v>
      </c>
      <c r="C503" s="20">
        <v>5.0533764347057399</v>
      </c>
      <c r="D503" s="20">
        <v>354.67598634774401</v>
      </c>
      <c r="E503" s="20">
        <v>-8.0108898093852202E-2</v>
      </c>
      <c r="F503" s="20">
        <v>-1.8216600755949901</v>
      </c>
      <c r="G503" s="20">
        <v>1.8234206499243499</v>
      </c>
      <c r="H503" s="20">
        <v>6.1303236548501004E-3</v>
      </c>
      <c r="I503" s="20">
        <v>97.752573868145504</v>
      </c>
      <c r="J503" s="20">
        <v>230.86973161127446</v>
      </c>
      <c r="K503" s="20">
        <v>2.932045591463186</v>
      </c>
      <c r="L503" s="20">
        <f t="shared" si="20"/>
        <v>230.86926696259945</v>
      </c>
      <c r="M503" s="20">
        <f t="shared" si="21"/>
        <v>-2.9320396904367412</v>
      </c>
    </row>
    <row r="504" spans="1:13" x14ac:dyDescent="0.2">
      <c r="A504" s="23">
        <v>119.25</v>
      </c>
      <c r="B504" s="20">
        <v>231.582613068135</v>
      </c>
      <c r="C504" s="20">
        <v>5.09099007463481</v>
      </c>
      <c r="D504" s="20">
        <v>354.65679095439401</v>
      </c>
      <c r="E504" s="20">
        <v>-8.0434398502346696E-2</v>
      </c>
      <c r="F504" s="20">
        <v>-1.8225027880134099</v>
      </c>
      <c r="G504" s="20">
        <v>1.8242768717437201</v>
      </c>
      <c r="H504" s="20">
        <v>6.0679790512354198E-3</v>
      </c>
      <c r="I504" s="20">
        <v>97.699329260595206</v>
      </c>
      <c r="J504" s="20">
        <v>231.63903132679675</v>
      </c>
      <c r="K504" s="20">
        <v>2.9418156978503189</v>
      </c>
      <c r="L504" s="20">
        <f t="shared" si="20"/>
        <v>231.63856512982801</v>
      </c>
      <c r="M504" s="20">
        <f t="shared" si="21"/>
        <v>-2.9418097771605831</v>
      </c>
    </row>
    <row r="505" spans="1:13" x14ac:dyDescent="0.2">
      <c r="A505" s="23">
        <v>119.5</v>
      </c>
      <c r="B505" s="20">
        <v>232.35162323227399</v>
      </c>
      <c r="C505" s="20">
        <v>5.1287572933941998</v>
      </c>
      <c r="D505" s="20">
        <v>354.63756916785297</v>
      </c>
      <c r="E505" s="20">
        <v>-8.0760387787207497E-2</v>
      </c>
      <c r="F505" s="20">
        <v>-1.8233354326203901</v>
      </c>
      <c r="G505" s="20">
        <v>1.8251231027206201</v>
      </c>
      <c r="H505" s="20">
        <v>6.0060182653994803E-3</v>
      </c>
      <c r="I505" s="20">
        <v>97.646711156879604</v>
      </c>
      <c r="J505" s="20">
        <v>232.4086882762517</v>
      </c>
      <c r="K505" s="20">
        <v>2.951590341108397</v>
      </c>
      <c r="L505" s="20">
        <f t="shared" si="20"/>
        <v>232.40822053027117</v>
      </c>
      <c r="M505" s="20">
        <f t="shared" si="21"/>
        <v>-2.9515844007462504</v>
      </c>
    </row>
    <row r="506" spans="1:13" x14ac:dyDescent="0.2">
      <c r="A506" s="23">
        <v>119.75</v>
      </c>
      <c r="B506" s="20">
        <v>233.1209812388</v>
      </c>
      <c r="C506" s="20">
        <v>5.1666780844811599</v>
      </c>
      <c r="D506" s="20">
        <v>354.618321032295</v>
      </c>
      <c r="E506" s="20">
        <v>-8.1086863486287297E-2</v>
      </c>
      <c r="F506" s="20">
        <v>-1.8241580512436699</v>
      </c>
      <c r="G506" s="20">
        <v>1.8259593849117099</v>
      </c>
      <c r="H506" s="20">
        <v>5.9444433774387502E-3</v>
      </c>
      <c r="I506" s="20">
        <v>97.594718736914203</v>
      </c>
      <c r="J506" s="20">
        <v>233.17869824551349</v>
      </c>
      <c r="K506" s="20">
        <v>2.9613694677180216</v>
      </c>
      <c r="L506" s="20">
        <f t="shared" si="20"/>
        <v>233.17822894980912</v>
      </c>
      <c r="M506" s="20">
        <f t="shared" si="21"/>
        <v>-2.9613635076744216</v>
      </c>
    </row>
    <row r="507" spans="1:13" x14ac:dyDescent="0.2">
      <c r="A507" s="23">
        <v>120</v>
      </c>
      <c r="B507" s="20">
        <v>233.89068286981399</v>
      </c>
      <c r="C507" s="20">
        <v>5.2047524397476996</v>
      </c>
      <c r="D507" s="20">
        <v>354.59904659193501</v>
      </c>
      <c r="E507" s="20">
        <v>-8.1413823132376301E-2</v>
      </c>
      <c r="F507" s="20">
        <v>-1.8249706856761401</v>
      </c>
      <c r="G507" s="20">
        <v>1.8267857603381601</v>
      </c>
      <c r="H507" s="20">
        <v>5.8832565160932097E-3</v>
      </c>
      <c r="I507" s="20">
        <v>97.543351149380896</v>
      </c>
      <c r="J507" s="20">
        <v>233.94905703819643</v>
      </c>
      <c r="K507" s="20">
        <v>2.971153024385095</v>
      </c>
      <c r="L507" s="20">
        <f t="shared" si="20"/>
        <v>233.9485861920669</v>
      </c>
      <c r="M507" s="20">
        <f t="shared" si="21"/>
        <v>-2.9711470446511341</v>
      </c>
    </row>
    <row r="508" spans="1:13" x14ac:dyDescent="0.2">
      <c r="A508" s="23">
        <v>120.25</v>
      </c>
      <c r="B508" s="20">
        <v>234.66072392516801</v>
      </c>
      <c r="C508" s="20">
        <v>5.2429803494119298</v>
      </c>
      <c r="D508" s="20">
        <v>354.57974589102099</v>
      </c>
      <c r="E508" s="20">
        <v>-8.1741264253273202E-2</v>
      </c>
      <c r="F508" s="20">
        <v>-1.8257733776735801</v>
      </c>
      <c r="G508" s="20">
        <v>1.8276022709833</v>
      </c>
      <c r="H508" s="20">
        <v>5.82245986087914E-3</v>
      </c>
      <c r="I508" s="20">
        <v>97.492607512207798</v>
      </c>
      <c r="J508" s="20">
        <v>234.71976047564178</v>
      </c>
      <c r="K508" s="20">
        <v>2.9809409580406507</v>
      </c>
      <c r="L508" s="20">
        <f t="shared" si="20"/>
        <v>234.71928807839427</v>
      </c>
      <c r="M508" s="20">
        <f t="shared" si="21"/>
        <v>-2.9809349586075311</v>
      </c>
    </row>
    <row r="509" spans="1:13" x14ac:dyDescent="0.2">
      <c r="A509" s="23">
        <v>120.5</v>
      </c>
      <c r="B509" s="20">
        <v>235.431100222449</v>
      </c>
      <c r="C509" s="20">
        <v>5.2813618020693802</v>
      </c>
      <c r="D509" s="20">
        <v>354.56041897384301</v>
      </c>
      <c r="E509" s="20">
        <v>-8.2069184371854995E-2</v>
      </c>
      <c r="F509" s="20">
        <v>-1.8265661689525201</v>
      </c>
      <c r="G509" s="20">
        <v>1.8284089587904999</v>
      </c>
      <c r="H509" s="20">
        <v>5.76205564427071E-3</v>
      </c>
      <c r="I509" s="20">
        <v>97.442486913046395</v>
      </c>
      <c r="J509" s="20">
        <v>235.49080439690042</v>
      </c>
      <c r="K509" s="20">
        <v>2.9907332158406357</v>
      </c>
      <c r="L509" s="20">
        <f t="shared" si="20"/>
        <v>235.49033044784915</v>
      </c>
      <c r="M509" s="20">
        <f t="shared" si="21"/>
        <v>-2.9907271966996474</v>
      </c>
    </row>
    <row r="510" spans="1:13" x14ac:dyDescent="0.2">
      <c r="A510" s="23">
        <v>120.75</v>
      </c>
      <c r="B510" s="20">
        <v>236.201807596967</v>
      </c>
      <c r="C510" s="20">
        <v>5.3198967847041603</v>
      </c>
      <c r="D510" s="20">
        <v>354.54106588472399</v>
      </c>
      <c r="E510" s="20">
        <v>-8.2397581006147899E-2</v>
      </c>
      <c r="F510" s="20">
        <v>-1.8273491011880101</v>
      </c>
      <c r="G510" s="20">
        <v>1.82920586566091</v>
      </c>
      <c r="H510" s="20">
        <v>5.70204615393065E-3</v>
      </c>
      <c r="I510" s="20">
        <v>97.392988409745499</v>
      </c>
      <c r="J510" s="20">
        <v>236.26218465871727</v>
      </c>
      <c r="K510" s="20">
        <v>3.0005297451657094</v>
      </c>
      <c r="L510" s="20">
        <f t="shared" si="20"/>
        <v>236.26170915718552</v>
      </c>
      <c r="M510" s="20">
        <f t="shared" si="21"/>
        <v>-3.0005237063082579</v>
      </c>
    </row>
    <row r="511" spans="1:13" x14ac:dyDescent="0.2">
      <c r="A511" s="23">
        <v>121</v>
      </c>
      <c r="B511" s="20">
        <v>236.97284190172999</v>
      </c>
      <c r="C511" s="20">
        <v>5.3585852827002398</v>
      </c>
      <c r="D511" s="20">
        <v>354.521686668028</v>
      </c>
      <c r="E511" s="20">
        <v>-8.27264516693966E-2</v>
      </c>
      <c r="F511" s="20">
        <v>-1.8281222160114801</v>
      </c>
      <c r="G511" s="20">
        <v>1.8299930334513701</v>
      </c>
      <c r="H511" s="20">
        <v>5.6424337349906201E-3</v>
      </c>
      <c r="I511" s="20">
        <v>97.344111030822205</v>
      </c>
      <c r="J511" s="20">
        <v>237.03389713550948</v>
      </c>
      <c r="K511" s="20">
        <v>3.0103304936209705</v>
      </c>
      <c r="L511" s="20">
        <f t="shared" si="20"/>
        <v>237.03342008082805</v>
      </c>
      <c r="M511" s="20">
        <f t="shared" si="21"/>
        <v>-3.0103244350385574</v>
      </c>
    </row>
    <row r="512" spans="1:13" x14ac:dyDescent="0.2">
      <c r="A512" s="23">
        <v>121.25</v>
      </c>
      <c r="B512" s="20">
        <v>237.74419900743399</v>
      </c>
      <c r="C512" s="20">
        <v>5.39742727985257</v>
      </c>
      <c r="D512" s="20">
        <v>354.50228136815502</v>
      </c>
      <c r="E512" s="20">
        <v>-8.3055793870134703E-2</v>
      </c>
      <c r="F512" s="20">
        <v>-1.82888555500867</v>
      </c>
      <c r="G512" s="20">
        <v>1.8307705039722399</v>
      </c>
      <c r="H512" s="20">
        <v>5.5832207923801596E-3</v>
      </c>
      <c r="I512" s="20">
        <v>97.295853775928904</v>
      </c>
      <c r="J512" s="20">
        <v>237.80593771935276</v>
      </c>
      <c r="K512" s="20">
        <v>3.0201354090357801</v>
      </c>
      <c r="L512" s="20">
        <f t="shared" si="20"/>
        <v>237.80545911086162</v>
      </c>
      <c r="M512" s="20">
        <f t="shared" si="21"/>
        <v>-3.0201293307200232</v>
      </c>
    </row>
    <row r="513" spans="1:13" x14ac:dyDescent="0.2">
      <c r="A513" s="23">
        <v>121.5</v>
      </c>
      <c r="B513" s="20">
        <v>238.51587480243401</v>
      </c>
      <c r="C513" s="20">
        <v>5.4364227583782503</v>
      </c>
      <c r="D513" s="20">
        <v>354.48285002954299</v>
      </c>
      <c r="E513" s="20">
        <v>-8.3385605112254096E-2</v>
      </c>
      <c r="F513" s="20">
        <v>-1.8296391597175401</v>
      </c>
      <c r="G513" s="20">
        <v>1.83153831898539</v>
      </c>
      <c r="H513" s="20">
        <v>5.5244097932047598E-3</v>
      </c>
      <c r="I513" s="20">
        <v>97.248215616318603</v>
      </c>
      <c r="J513" s="20">
        <v>238.57830231995459</v>
      </c>
      <c r="K513" s="20">
        <v>3.0299444394634234</v>
      </c>
      <c r="L513" s="20">
        <f t="shared" si="20"/>
        <v>238.57782215700226</v>
      </c>
      <c r="M513" s="20">
        <f t="shared" si="21"/>
        <v>-3.0299383414060488</v>
      </c>
    </row>
    <row r="514" spans="1:13" x14ac:dyDescent="0.2">
      <c r="A514" s="23">
        <v>121.75</v>
      </c>
      <c r="B514" s="20">
        <v>239.28786519272899</v>
      </c>
      <c r="C514" s="20">
        <v>5.4755716989276104</v>
      </c>
      <c r="D514" s="20">
        <v>354.46339269666998</v>
      </c>
      <c r="E514" s="20">
        <v>-8.3715882895074395E-2</v>
      </c>
      <c r="F514" s="20">
        <v>-1.83038307162618</v>
      </c>
      <c r="G514" s="20">
        <v>1.83229652020206</v>
      </c>
      <c r="H514" s="20">
        <v>5.4660032691725702E-3</v>
      </c>
      <c r="I514" s="20">
        <v>97.2011954953051</v>
      </c>
      <c r="J514" s="20">
        <v>239.35098686464033</v>
      </c>
      <c r="K514" s="20">
        <v>3.0397575331809321</v>
      </c>
      <c r="L514" s="20">
        <f t="shared" si="20"/>
        <v>239.3505051465815</v>
      </c>
      <c r="M514" s="20">
        <f t="shared" si="21"/>
        <v>-3.0397514153737442</v>
      </c>
    </row>
    <row r="515" spans="1:13" x14ac:dyDescent="0.2">
      <c r="A515" s="23">
        <v>122</v>
      </c>
      <c r="B515" s="20">
        <v>240.06016610194101</v>
      </c>
      <c r="C515" s="20">
        <v>5.5148740805952503</v>
      </c>
      <c r="D515" s="20">
        <v>354.44390941405101</v>
      </c>
      <c r="E515" s="20">
        <v>-8.4046624713411996E-2</v>
      </c>
      <c r="F515" s="20">
        <v>-1.83111733217088</v>
      </c>
      <c r="G515" s="20">
        <v>1.8330451492809201</v>
      </c>
      <c r="H515" s="20">
        <v>5.4080038190685003E-3</v>
      </c>
      <c r="I515" s="20">
        <v>97.154792328721996</v>
      </c>
      <c r="J515" s="20">
        <v>240.12398729832537</v>
      </c>
      <c r="K515" s="20">
        <v>3.0495746386887324</v>
      </c>
      <c r="L515" s="20">
        <f t="shared" si="20"/>
        <v>240.12350402452552</v>
      </c>
      <c r="M515" s="20">
        <f t="shared" si="21"/>
        <v>-3.0495685011236726</v>
      </c>
    </row>
    <row r="516" spans="1:13" x14ac:dyDescent="0.2">
      <c r="A516" s="23">
        <v>122.25</v>
      </c>
      <c r="B516" s="20">
        <v>240.83277347128899</v>
      </c>
      <c r="C516" s="20">
        <v>5.5543298809310802</v>
      </c>
      <c r="D516" s="20">
        <v>354.42440022623998</v>
      </c>
      <c r="E516" s="20">
        <v>-8.4377828057649595E-2</v>
      </c>
      <c r="F516" s="20">
        <v>-1.8318419827340899</v>
      </c>
      <c r="G516" s="20">
        <v>1.83378424782603</v>
      </c>
      <c r="H516" s="20">
        <v>5.3504141112751301E-3</v>
      </c>
      <c r="I516" s="20">
        <v>97.109005005376801</v>
      </c>
      <c r="J516" s="20">
        <v>240.89729958349784</v>
      </c>
      <c r="K516" s="20">
        <v>3.0593957047104228</v>
      </c>
      <c r="L516" s="20">
        <f t="shared" si="20"/>
        <v>240.89681475332836</v>
      </c>
      <c r="M516" s="20">
        <f t="shared" si="21"/>
        <v>-3.0593895473795079</v>
      </c>
    </row>
    <row r="517" spans="1:13" x14ac:dyDescent="0.2">
      <c r="A517" s="23">
        <v>122.5</v>
      </c>
      <c r="B517" s="20">
        <v>241.60568325957101</v>
      </c>
      <c r="C517" s="20">
        <v>5.5939390759512602</v>
      </c>
      <c r="D517" s="20">
        <v>354.40486517782801</v>
      </c>
      <c r="E517" s="20">
        <v>-8.4709490413804198E-2</v>
      </c>
      <c r="F517" s="20">
        <v>-1.83255706464248</v>
      </c>
      <c r="G517" s="20">
        <v>1.83451385738491</v>
      </c>
      <c r="H517" s="20">
        <v>5.29323688633942E-3</v>
      </c>
      <c r="I517" s="20">
        <v>97.063832387502302</v>
      </c>
      <c r="J517" s="20">
        <v>241.67091970019129</v>
      </c>
      <c r="K517" s="20">
        <v>3.0692206801924296</v>
      </c>
      <c r="L517" s="20">
        <f t="shared" si="20"/>
        <v>241.67043331303398</v>
      </c>
      <c r="M517" s="20">
        <f t="shared" si="21"/>
        <v>-3.0692145030878084</v>
      </c>
    </row>
    <row r="518" spans="1:13" x14ac:dyDescent="0.2">
      <c r="A518" s="23">
        <v>122.75</v>
      </c>
      <c r="B518" s="20">
        <v>242.378891443133</v>
      </c>
      <c r="C518" s="20">
        <v>5.6337016401491802</v>
      </c>
      <c r="D518" s="20">
        <v>354.38530431344901</v>
      </c>
      <c r="E518" s="20">
        <v>-8.5041609263596496E-2</v>
      </c>
      <c r="F518" s="20">
        <v>-1.8332626191650601</v>
      </c>
      <c r="G518" s="20">
        <v>1.8352340194465799</v>
      </c>
      <c r="H518" s="20">
        <v>5.2364749595830004E-3</v>
      </c>
      <c r="I518" s="20">
        <v>97.019273311205097</v>
      </c>
      <c r="J518" s="20">
        <v>242.44484364596269</v>
      </c>
      <c r="K518" s="20">
        <v>3.0790495143037262</v>
      </c>
      <c r="L518" s="20">
        <f t="shared" si="20"/>
        <v>242.4443557012047</v>
      </c>
      <c r="M518" s="20">
        <f t="shared" si="21"/>
        <v>-3.0790433174176157</v>
      </c>
    </row>
    <row r="519" spans="1:13" x14ac:dyDescent="0.2">
      <c r="A519" s="23">
        <v>123</v>
      </c>
      <c r="B519" s="20">
        <v>243.152394015852</v>
      </c>
      <c r="C519" s="20">
        <v>5.6736175465063097</v>
      </c>
      <c r="D519" s="20">
        <v>354.36571767777099</v>
      </c>
      <c r="E519" s="20">
        <v>-8.5374182084518899E-2</v>
      </c>
      <c r="F519" s="20">
        <v>-1.8339586875112199</v>
      </c>
      <c r="G519" s="20">
        <v>1.83594477543974</v>
      </c>
      <c r="H519" s="20">
        <v>5.1801312237548802E-3</v>
      </c>
      <c r="I519" s="20">
        <v>96.975326586909802</v>
      </c>
      <c r="J519" s="20">
        <v>243.21906743586572</v>
      </c>
      <c r="K519" s="20">
        <v>3.0888821564354947</v>
      </c>
      <c r="L519" s="20">
        <f t="shared" si="20"/>
        <v>243.21857793290414</v>
      </c>
      <c r="M519" s="20">
        <f t="shared" si="21"/>
        <v>-3.0888759397602379</v>
      </c>
    </row>
    <row r="520" spans="1:13" x14ac:dyDescent="0.2">
      <c r="A520" s="23">
        <v>123.25</v>
      </c>
      <c r="B520" s="20">
        <v>243.92618698910599</v>
      </c>
      <c r="C520" s="20">
        <v>5.7136867665030602</v>
      </c>
      <c r="D520" s="20">
        <v>354.34610531550601</v>
      </c>
      <c r="E520" s="20">
        <v>-8.5707206349903697E-2</v>
      </c>
      <c r="F520" s="20">
        <v>-1.83464531082897</v>
      </c>
      <c r="G520" s="20">
        <v>1.83664616673082</v>
      </c>
      <c r="H520" s="20">
        <v>5.1242086517237998E-3</v>
      </c>
      <c r="I520" s="20">
        <v>96.931990999800902</v>
      </c>
      <c r="J520" s="20">
        <v>243.99358710242697</v>
      </c>
      <c r="K520" s="20">
        <v>3.098718556200823</v>
      </c>
      <c r="L520" s="20">
        <f t="shared" si="20"/>
        <v>243.9930960406667</v>
      </c>
      <c r="M520" s="20">
        <f t="shared" si="21"/>
        <v>-3.098712319728862</v>
      </c>
    </row>
    <row r="521" spans="1:13" x14ac:dyDescent="0.2">
      <c r="A521" s="23">
        <v>123.5</v>
      </c>
      <c r="B521" s="20">
        <v>244.70026639174699</v>
      </c>
      <c r="C521" s="20">
        <v>5.7539092701296104</v>
      </c>
      <c r="D521" s="20">
        <v>354.32646727140099</v>
      </c>
      <c r="E521" s="20">
        <v>-8.6040679528991207E-2</v>
      </c>
      <c r="F521" s="20">
        <v>-1.8353225302030201</v>
      </c>
      <c r="G521" s="20">
        <v>1.83733823462221</v>
      </c>
      <c r="H521" s="20">
        <v>5.0687102992078301E-3</v>
      </c>
      <c r="I521" s="20">
        <v>96.889265310260697</v>
      </c>
      <c r="J521" s="20">
        <v>244.76839869561786</v>
      </c>
      <c r="K521" s="20">
        <v>3.1085586634343469</v>
      </c>
      <c r="L521" s="20">
        <f t="shared" si="20"/>
        <v>244.76790607447055</v>
      </c>
      <c r="M521" s="20">
        <f t="shared" si="21"/>
        <v>-3.1085524071582102</v>
      </c>
    </row>
    <row r="522" spans="1:13" x14ac:dyDescent="0.2">
      <c r="A522" s="23">
        <v>123.75</v>
      </c>
      <c r="B522" s="20">
        <v>245.474628270078</v>
      </c>
      <c r="C522" s="20">
        <v>5.7942850258966097</v>
      </c>
      <c r="D522" s="20">
        <v>354.306803590247</v>
      </c>
      <c r="E522" s="20">
        <v>-8.6374599086997406E-2</v>
      </c>
      <c r="F522" s="20">
        <v>-1.83599038665307</v>
      </c>
      <c r="G522" s="20">
        <v>1.8380210203503999</v>
      </c>
      <c r="H522" s="20">
        <v>5.0136393075375903E-3</v>
      </c>
      <c r="I522" s="20">
        <v>96.847148254303804</v>
      </c>
      <c r="J522" s="20">
        <v>245.54349828282713</v>
      </c>
      <c r="K522" s="20">
        <v>3.1184024281919047</v>
      </c>
      <c r="L522" s="20">
        <f t="shared" si="20"/>
        <v>245.54300410171393</v>
      </c>
      <c r="M522" s="20">
        <f t="shared" si="21"/>
        <v>-3.1183961521042405</v>
      </c>
    </row>
    <row r="523" spans="1:13" x14ac:dyDescent="0.2">
      <c r="A523" s="23">
        <v>124</v>
      </c>
      <c r="B523" s="20">
        <v>246.24926868782001</v>
      </c>
      <c r="C523" s="20">
        <v>5.8348140008459604</v>
      </c>
      <c r="D523" s="20">
        <v>354.287114316871</v>
      </c>
      <c r="E523" s="20">
        <v>-8.6708962485181701E-2</v>
      </c>
      <c r="F523" s="20">
        <v>-1.8366489211319701</v>
      </c>
      <c r="G523" s="20">
        <v>1.8386945650842801</v>
      </c>
      <c r="H523" s="20">
        <v>4.95899890645023E-3</v>
      </c>
      <c r="I523" s="20">
        <v>96.805638544008104</v>
      </c>
      <c r="J523" s="20">
        <v>246.31888194883453</v>
      </c>
      <c r="K523" s="20">
        <v>3.1282498007501984</v>
      </c>
      <c r="L523" s="20">
        <f t="shared" si="20"/>
        <v>246.31838620718236</v>
      </c>
      <c r="M523" s="20">
        <f t="shared" si="21"/>
        <v>-3.1282435048437294</v>
      </c>
    </row>
    <row r="524" spans="1:13" x14ac:dyDescent="0.2">
      <c r="A524" s="23">
        <v>124.25</v>
      </c>
      <c r="B524" s="20">
        <v>247.02418372609</v>
      </c>
      <c r="C524" s="20">
        <v>5.8754961605614602</v>
      </c>
      <c r="D524" s="20">
        <v>354.26739949614301</v>
      </c>
      <c r="E524" s="20">
        <v>-8.7043767180914403E-2</v>
      </c>
      <c r="F524" s="20">
        <v>-1.83729817452403</v>
      </c>
      <c r="G524" s="20">
        <v>1.8393589099233401</v>
      </c>
      <c r="H524" s="20">
        <v>4.9047924169090601E-3</v>
      </c>
      <c r="I524" s="20">
        <v>96.764734867943403</v>
      </c>
      <c r="J524" s="20">
        <v>247.09454579577994</v>
      </c>
      <c r="K524" s="20">
        <v>3.1381007316064053</v>
      </c>
      <c r="L524" s="20">
        <f t="shared" si="20"/>
        <v>247.09404849302592</v>
      </c>
      <c r="M524" s="20">
        <f t="shared" si="21"/>
        <v>-3.1380944158739812</v>
      </c>
    </row>
    <row r="525" spans="1:13" x14ac:dyDescent="0.2">
      <c r="A525" s="23">
        <v>124.5</v>
      </c>
      <c r="B525" s="20">
        <v>247.79936948336299</v>
      </c>
      <c r="C525" s="20">
        <v>5.91633146917939</v>
      </c>
      <c r="D525" s="20">
        <v>354.24765917296997</v>
      </c>
      <c r="E525" s="20">
        <v>-8.7379010627743406E-2</v>
      </c>
      <c r="F525" s="20">
        <v>-1.8379381876433201</v>
      </c>
      <c r="G525" s="20">
        <v>1.8400140958959801</v>
      </c>
      <c r="H525" s="20">
        <v>4.8510232539445298E-3</v>
      </c>
      <c r="I525" s="20">
        <v>96.724435891594595</v>
      </c>
      <c r="J525" s="20">
        <v>247.87048594313316</v>
      </c>
      <c r="K525" s="20">
        <v>3.1479551714777911</v>
      </c>
      <c r="L525" s="20">
        <f t="shared" si="20"/>
        <v>247.86998707872129</v>
      </c>
      <c r="M525" s="20">
        <f t="shared" si="21"/>
        <v>-3.1479488359123522</v>
      </c>
    </row>
    <row r="526" spans="1:13" x14ac:dyDescent="0.2">
      <c r="A526" s="23">
        <v>124.75</v>
      </c>
      <c r="B526" s="20">
        <v>248.57482207545101</v>
      </c>
      <c r="C526" s="20">
        <v>5.9573198893991703</v>
      </c>
      <c r="D526" s="20">
        <v>354.22789339230098</v>
      </c>
      <c r="E526" s="20">
        <v>-8.7714690275461693E-2</v>
      </c>
      <c r="F526" s="20">
        <v>-1.83856900123196</v>
      </c>
      <c r="G526" s="20">
        <v>1.84066016395781</v>
      </c>
      <c r="H526" s="20">
        <v>4.7976949295108597E-3</v>
      </c>
      <c r="I526" s="20">
        <v>96.684740257783602</v>
      </c>
      <c r="J526" s="20">
        <v>248.64669852766866</v>
      </c>
      <c r="K526" s="20">
        <v>3.1578130713013923</v>
      </c>
      <c r="L526" s="20">
        <f t="shared" si="20"/>
        <v>248.64619810105032</v>
      </c>
      <c r="M526" s="20">
        <f t="shared" si="21"/>
        <v>-3.15780671589597</v>
      </c>
    </row>
    <row r="527" spans="1:13" x14ac:dyDescent="0.2">
      <c r="A527" s="23">
        <v>125</v>
      </c>
      <c r="B527" s="20">
        <v>249.350537635465</v>
      </c>
      <c r="C527" s="20">
        <v>5.9984613824938204</v>
      </c>
      <c r="D527" s="20">
        <v>354.20810219912499</v>
      </c>
      <c r="E527" s="20">
        <v>-8.8050803570173794E-2</v>
      </c>
      <c r="F527" s="20">
        <v>-1.8391906559584801</v>
      </c>
      <c r="G527" s="20">
        <v>1.8412971549900199</v>
      </c>
      <c r="H527" s="20">
        <v>4.7448110553521498E-3</v>
      </c>
      <c r="I527" s="20">
        <v>96.645646587086205</v>
      </c>
      <c r="J527" s="20">
        <v>249.42317970342657</v>
      </c>
      <c r="K527" s="20">
        <v>3.167674382233518</v>
      </c>
      <c r="L527" s="20">
        <f t="shared" si="20"/>
        <v>249.42267771406176</v>
      </c>
      <c r="M527" s="20">
        <f t="shared" si="21"/>
        <v>-3.1676680069812551</v>
      </c>
    </row>
    <row r="528" spans="1:13" x14ac:dyDescent="0.2">
      <c r="A528" s="23">
        <v>125.25</v>
      </c>
      <c r="B528" s="20">
        <v>250.126512313788</v>
      </c>
      <c r="C528" s="20">
        <v>6.0397559083204797</v>
      </c>
      <c r="D528" s="20">
        <v>354.18828563847302</v>
      </c>
      <c r="E528" s="20">
        <v>-8.8387347954362705E-2</v>
      </c>
      <c r="F528" s="20">
        <v>-1.8398031924162499</v>
      </c>
      <c r="G528" s="20">
        <v>1.84192510979775</v>
      </c>
      <c r="H528" s="20">
        <v>4.6923753458708401E-3</v>
      </c>
      <c r="I528" s="20">
        <v>96.607153478246104</v>
      </c>
      <c r="J528" s="20">
        <v>250.19992564168834</v>
      </c>
      <c r="K528" s="20">
        <v>3.1775390556494418</v>
      </c>
      <c r="L528" s="20">
        <f t="shared" si="20"/>
        <v>250.19942208904408</v>
      </c>
      <c r="M528" s="20">
        <f t="shared" si="21"/>
        <v>-3.1775326605435703</v>
      </c>
    </row>
    <row r="529" spans="1:13" x14ac:dyDescent="0.2">
      <c r="A529" s="23">
        <v>125.5</v>
      </c>
      <c r="B529" s="20">
        <v>250.90274227804099</v>
      </c>
      <c r="C529" s="20">
        <v>6.0812034253308198</v>
      </c>
      <c r="D529" s="20">
        <v>354.16844375541501</v>
      </c>
      <c r="E529" s="20">
        <v>-8.8724320866955697E-2</v>
      </c>
      <c r="F529" s="20">
        <v>-1.84040665112182</v>
      </c>
      <c r="G529" s="20">
        <v>1.84254406910845</v>
      </c>
      <c r="H529" s="20">
        <v>4.6403916209907499E-3</v>
      </c>
      <c r="I529" s="20">
        <v>96.569259508585304</v>
      </c>
      <c r="J529" s="20">
        <v>250.97693253094099</v>
      </c>
      <c r="K529" s="20">
        <v>3.1874070431429509</v>
      </c>
      <c r="L529" s="20">
        <f t="shared" si="20"/>
        <v>250.97642741449107</v>
      </c>
      <c r="M529" s="20">
        <f t="shared" si="21"/>
        <v>-3.1874006281767864</v>
      </c>
    </row>
    <row r="530" spans="1:13" x14ac:dyDescent="0.2">
      <c r="A530" s="23">
        <v>125.75</v>
      </c>
      <c r="B530" s="20">
        <v>251.67922371305201</v>
      </c>
      <c r="C530" s="20">
        <v>6.1228038905814604</v>
      </c>
      <c r="D530" s="20">
        <v>354.14857659506202</v>
      </c>
      <c r="E530" s="20">
        <v>-8.9061719743390999E-2</v>
      </c>
      <c r="F530" s="20">
        <v>-1.8410010725134001</v>
      </c>
      <c r="G530" s="20">
        <v>1.8431540735704</v>
      </c>
      <c r="H530" s="20">
        <v>4.5888638090058401E-3</v>
      </c>
      <c r="I530" s="20">
        <v>96.531963234411407</v>
      </c>
      <c r="J530" s="20">
        <v>251.75419657684282</v>
      </c>
      <c r="K530" s="20">
        <v>3.1972782965259037</v>
      </c>
      <c r="L530" s="20">
        <f t="shared" si="20"/>
        <v>251.75368989607082</v>
      </c>
      <c r="M530" s="20">
        <f t="shared" si="21"/>
        <v>-3.1972718616928888</v>
      </c>
    </row>
    <row r="531" spans="1:13" x14ac:dyDescent="0.2">
      <c r="A531" s="23">
        <v>126</v>
      </c>
      <c r="B531" s="20">
        <v>252.45595282081899</v>
      </c>
      <c r="C531" s="20">
        <v>6.1645572597443001</v>
      </c>
      <c r="D531" s="20">
        <v>354.12868420256501</v>
      </c>
      <c r="E531" s="20">
        <v>-8.9399542015683398E-2</v>
      </c>
      <c r="F531" s="20">
        <v>-1.8415864969493301</v>
      </c>
      <c r="G531" s="20">
        <v>1.8437551637510601</v>
      </c>
      <c r="H531" s="20">
        <v>4.5377959494048601E-3</v>
      </c>
      <c r="I531" s="20">
        <v>96.495263191420307</v>
      </c>
      <c r="J531" s="20">
        <v>252.53171400219318</v>
      </c>
      <c r="K531" s="20">
        <v>3.2071527678278535</v>
      </c>
      <c r="L531" s="20">
        <f t="shared" si="20"/>
        <v>252.53120575658815</v>
      </c>
      <c r="M531" s="20">
        <f t="shared" si="21"/>
        <v>-3.2071463131214983</v>
      </c>
    </row>
    <row r="532" spans="1:13" x14ac:dyDescent="0.2">
      <c r="A532" s="23">
        <v>126.25</v>
      </c>
      <c r="B532" s="20">
        <v>253.23292582048001</v>
      </c>
      <c r="C532" s="20">
        <v>6.2064634871167499</v>
      </c>
      <c r="D532" s="20">
        <v>354.10876662312</v>
      </c>
      <c r="E532" s="20">
        <v>-8.9737785112490295E-2</v>
      </c>
      <c r="F532" s="20">
        <v>-1.8421629647065401</v>
      </c>
      <c r="G532" s="20">
        <v>1.84434738013566</v>
      </c>
      <c r="H532" s="20">
        <v>4.4871921956611098E-3</v>
      </c>
      <c r="I532" s="20">
        <v>96.459157895096993</v>
      </c>
      <c r="J532" s="20">
        <v>253.30948104689452</v>
      </c>
      <c r="K532" s="20">
        <v>3.2170304092955604</v>
      </c>
      <c r="L532" s="20">
        <f t="shared" si="20"/>
        <v>253.30897123595454</v>
      </c>
      <c r="M532" s="20">
        <f t="shared" si="21"/>
        <v>-3.2170239347094913</v>
      </c>
    </row>
    <row r="533" spans="1:13" x14ac:dyDescent="0.2">
      <c r="A533" s="23">
        <v>126.5</v>
      </c>
      <c r="B533" s="20">
        <v>254.01013894827599</v>
      </c>
      <c r="C533" s="20">
        <v>6.2485225256320698</v>
      </c>
      <c r="D533" s="20">
        <v>354.08882390196101</v>
      </c>
      <c r="E533" s="20">
        <v>-9.0076446459176895E-2</v>
      </c>
      <c r="F533" s="20">
        <v>-1.8427305159791201</v>
      </c>
      <c r="G533" s="20">
        <v>1.84493076312564</v>
      </c>
      <c r="H533" s="20">
        <v>4.4370568179750696E-3</v>
      </c>
      <c r="I533" s="20">
        <v>96.423645841111195</v>
      </c>
      <c r="J533" s="20">
        <v>254.0874939679197</v>
      </c>
      <c r="K533" s="20">
        <v>3.2269111733925806</v>
      </c>
      <c r="L533" s="20">
        <f t="shared" si="20"/>
        <v>254.08698259115087</v>
      </c>
      <c r="M533" s="20">
        <f t="shared" si="21"/>
        <v>-3.226904678920524</v>
      </c>
    </row>
    <row r="534" spans="1:13" x14ac:dyDescent="0.2">
      <c r="A534" s="23">
        <v>126.75</v>
      </c>
      <c r="B534" s="20">
        <v>254.787588457514</v>
      </c>
      <c r="C534" s="20">
        <v>6.2907343268694698</v>
      </c>
      <c r="D534" s="20">
        <v>354.06885608436397</v>
      </c>
      <c r="E534" s="20">
        <v>-9.0415523477881898E-2</v>
      </c>
      <c r="F534" s="20">
        <v>-1.8432891908768201</v>
      </c>
      <c r="G534" s="20">
        <v>1.8455053530372401</v>
      </c>
      <c r="H534" s="20">
        <v>4.3873942059569002E-3</v>
      </c>
      <c r="I534" s="20">
        <v>96.388725505710696</v>
      </c>
      <c r="J534" s="20">
        <v>254.86574903927681</v>
      </c>
      <c r="K534" s="20">
        <v>3.2367950127988152</v>
      </c>
      <c r="L534" s="20">
        <f t="shared" si="20"/>
        <v>254.86523609619019</v>
      </c>
      <c r="M534" s="20">
        <f t="shared" si="21"/>
        <v>-3.2367884984345627</v>
      </c>
    </row>
    <row r="535" spans="1:13" x14ac:dyDescent="0.2">
      <c r="A535" s="23">
        <v>127</v>
      </c>
      <c r="B535" s="20">
        <v>255.565270618537</v>
      </c>
      <c r="C535" s="20">
        <v>6.3330988410642801</v>
      </c>
      <c r="D535" s="20">
        <v>354.04886321564697</v>
      </c>
      <c r="E535" s="20">
        <v>-9.0755013587582298E-2</v>
      </c>
      <c r="F535" s="20">
        <v>-1.8438390294236899</v>
      </c>
      <c r="G535" s="20">
        <v>1.8460711901000399</v>
      </c>
      <c r="H535" s="20">
        <v>4.3382088712339301E-3</v>
      </c>
      <c r="I535" s="20">
        <v>96.354395346110195</v>
      </c>
      <c r="J535" s="20">
        <v>255.64424255197</v>
      </c>
      <c r="K535" s="20">
        <v>3.2466818804100193</v>
      </c>
      <c r="L535" s="20">
        <f t="shared" si="20"/>
        <v>255.64372804208739</v>
      </c>
      <c r="M535" s="20">
        <f t="shared" si="21"/>
        <v>-3.2466753461474962</v>
      </c>
    </row>
    <row r="536" spans="1:13" x14ac:dyDescent="0.2">
      <c r="A536" s="23">
        <v>127.25</v>
      </c>
      <c r="B536" s="20">
        <v>256.34318171867898</v>
      </c>
      <c r="C536" s="20">
        <v>6.3756160171180296</v>
      </c>
      <c r="D536" s="20">
        <v>354.02884534116998</v>
      </c>
      <c r="E536" s="20">
        <v>-9.1094914204158703E-2</v>
      </c>
      <c r="F536" s="20">
        <v>-1.8443800715566001</v>
      </c>
      <c r="G536" s="20">
        <v>1.84662831445557</v>
      </c>
      <c r="H536" s="20">
        <v>4.2895054499673697E-3</v>
      </c>
      <c r="I536" s="20">
        <v>96.320653800877693</v>
      </c>
      <c r="J536" s="20">
        <v>256.42297081396663</v>
      </c>
      <c r="K536" s="20">
        <v>3.2565717293373764</v>
      </c>
      <c r="L536" s="20">
        <f t="shared" si="20"/>
        <v>256.42245473681396</v>
      </c>
      <c r="M536" s="20">
        <f t="shared" si="21"/>
        <v>-3.2565651751705635</v>
      </c>
    </row>
    <row r="537" spans="1:13" x14ac:dyDescent="0.2">
      <c r="A537" s="23">
        <v>127.5</v>
      </c>
      <c r="B537" s="20">
        <v>257.12131806223601</v>
      </c>
      <c r="C537" s="20">
        <v>6.4182858026084997</v>
      </c>
      <c r="D537" s="20">
        <v>354.00880250633497</v>
      </c>
      <c r="E537" s="20">
        <v>-9.1435222740459496E-2</v>
      </c>
      <c r="F537" s="20">
        <v>-1.8449123571239601</v>
      </c>
      <c r="G537" s="20">
        <v>1.84717676615593</v>
      </c>
      <c r="H537" s="20">
        <v>4.2412887052604804E-3</v>
      </c>
      <c r="I537" s="20">
        <v>96.287499290316205</v>
      </c>
      <c r="J537" s="20">
        <v>257.2019301501557</v>
      </c>
      <c r="K537" s="20">
        <v>3.2664645129069774</v>
      </c>
      <c r="L537" s="20">
        <f t="shared" si="20"/>
        <v>257.20141250526893</v>
      </c>
      <c r="M537" s="20">
        <f t="shared" si="21"/>
        <v>-3.2664579388299817</v>
      </c>
    </row>
    <row r="538" spans="1:13" x14ac:dyDescent="0.2">
      <c r="A538" s="23">
        <v>127.75</v>
      </c>
      <c r="B538" s="20">
        <v>257.899675970423</v>
      </c>
      <c r="C538" s="20">
        <v>6.4611081437996596</v>
      </c>
      <c r="D538" s="20">
        <v>353.98873475658502</v>
      </c>
      <c r="E538" s="20">
        <v>-9.1775936606366099E-2</v>
      </c>
      <c r="F538" s="20">
        <v>-1.84543592588431</v>
      </c>
      <c r="G538" s="20">
        <v>1.8477165851624699</v>
      </c>
      <c r="H538" s="20">
        <v>4.1935635294394298E-3</v>
      </c>
      <c r="I538" s="20">
        <v>96.254930216842496</v>
      </c>
      <c r="J538" s="20">
        <v>257.9811169023144</v>
      </c>
      <c r="K538" s="20">
        <v>3.276360184659393</v>
      </c>
      <c r="L538" s="20">
        <f t="shared" si="20"/>
        <v>257.98059768923525</v>
      </c>
      <c r="M538" s="20">
        <f t="shared" si="21"/>
        <v>-3.2763535906663934</v>
      </c>
    </row>
    <row r="539" spans="1:13" x14ac:dyDescent="0.2">
      <c r="A539" s="23">
        <v>128</v>
      </c>
      <c r="B539" s="20">
        <v>258.67825178133802</v>
      </c>
      <c r="C539" s="20">
        <v>6.5040829856516398</v>
      </c>
      <c r="D539" s="20">
        <v>353.96864213740702</v>
      </c>
      <c r="E539" s="20">
        <v>-9.2117053208856506E-2</v>
      </c>
      <c r="F539" s="20">
        <v>-1.8459508175050301</v>
      </c>
      <c r="G539" s="20">
        <v>1.8482478113444101</v>
      </c>
      <c r="H539" s="20">
        <v>4.1463349461856704E-3</v>
      </c>
      <c r="I539" s="20">
        <v>96.222944965362402</v>
      </c>
      <c r="J539" s="20">
        <v>258.76052742906501</v>
      </c>
      <c r="K539" s="20">
        <v>3.2862586983491262</v>
      </c>
      <c r="L539" s="20">
        <f t="shared" si="20"/>
        <v>258.76000664734408</v>
      </c>
      <c r="M539" s="20">
        <f t="shared" si="21"/>
        <v>-3.2862520844344147</v>
      </c>
    </row>
    <row r="540" spans="1:13" x14ac:dyDescent="0.2">
      <c r="A540" s="23">
        <v>128.25</v>
      </c>
      <c r="B540" s="20">
        <v>259.45704184992002</v>
      </c>
      <c r="C540" s="20">
        <v>6.5472102718305702</v>
      </c>
      <c r="D540" s="20">
        <v>353.94852469432902</v>
      </c>
      <c r="E540" s="20">
        <v>-9.2458569952070094E-2</v>
      </c>
      <c r="F540" s="20">
        <v>-1.84645707156106</v>
      </c>
      <c r="G540" s="20">
        <v>1.8487704844775701</v>
      </c>
      <c r="H540" s="20">
        <v>4.0996081124976503E-3</v>
      </c>
      <c r="I540" s="20">
        <v>96.191541903642502</v>
      </c>
      <c r="J540" s="20">
        <v>259.54015810583951</v>
      </c>
      <c r="K540" s="20">
        <v>3.2961600079441622</v>
      </c>
      <c r="L540" s="20">
        <f t="shared" ref="L540:L603" si="22">SQRT(B540^2+C540^2)</f>
        <v>259.53963575503207</v>
      </c>
      <c r="M540" s="20">
        <f t="shared" ref="M540:M603" si="23">-L540/A$25*100</f>
        <v>-3.2961533741020919</v>
      </c>
    </row>
    <row r="541" spans="1:13" x14ac:dyDescent="0.2">
      <c r="A541" s="23">
        <v>128.5</v>
      </c>
      <c r="B541" s="20">
        <v>260.23604254791599</v>
      </c>
      <c r="C541" s="20">
        <v>6.5904899447184304</v>
      </c>
      <c r="D541" s="20">
        <v>353.92838247292099</v>
      </c>
      <c r="E541" s="20">
        <v>-9.2800484237371E-2</v>
      </c>
      <c r="F541" s="20">
        <v>-1.8469547275336</v>
      </c>
      <c r="G541" s="20">
        <v>1.8492846442431199</v>
      </c>
      <c r="H541" s="20">
        <v>4.0533883204571901E-3</v>
      </c>
      <c r="I541" s="20">
        <v>96.160719382677499</v>
      </c>
      <c r="J541" s="20">
        <v>260.3200053248367</v>
      </c>
      <c r="K541" s="20">
        <v>3.3060640676254263</v>
      </c>
      <c r="L541" s="20">
        <f t="shared" si="22"/>
        <v>260.31948140450834</v>
      </c>
      <c r="M541" s="20">
        <f t="shared" si="23"/>
        <v>-3.3060574138504801</v>
      </c>
    </row>
    <row r="542" spans="1:13" x14ac:dyDescent="0.2">
      <c r="A542" s="23">
        <v>128.75</v>
      </c>
      <c r="B542" s="20">
        <v>261.01525026383399</v>
      </c>
      <c r="C542" s="20">
        <v>6.6339219454227898</v>
      </c>
      <c r="D542" s="20">
        <v>353.90821551879799</v>
      </c>
      <c r="E542" s="20">
        <v>-9.3142793463412102E-2</v>
      </c>
      <c r="F542" s="20">
        <v>-1.84744382480892</v>
      </c>
      <c r="G542" s="20">
        <v>1.8497903302263099</v>
      </c>
      <c r="H542" s="20">
        <v>4.0076809987745002E-3</v>
      </c>
      <c r="I542" s="20">
        <v>96.130475737055704</v>
      </c>
      <c r="J542" s="20">
        <v>261.10006549498632</v>
      </c>
      <c r="K542" s="20">
        <v>3.3159708317863266</v>
      </c>
      <c r="L542" s="20">
        <f t="shared" si="22"/>
        <v>261.09954000470753</v>
      </c>
      <c r="M542" s="20">
        <f t="shared" si="23"/>
        <v>-3.3159641580730495</v>
      </c>
    </row>
    <row r="543" spans="1:13" x14ac:dyDescent="0.2">
      <c r="A543" s="23">
        <v>129</v>
      </c>
      <c r="B543" s="20">
        <v>261.79466140290702</v>
      </c>
      <c r="C543" s="20">
        <v>6.67750621378653</v>
      </c>
      <c r="D543" s="20">
        <v>353.88802387761501</v>
      </c>
      <c r="E543" s="20">
        <v>-9.3485495026198503E-2</v>
      </c>
      <c r="F543" s="20">
        <v>-1.84792440267708</v>
      </c>
      <c r="G543" s="20">
        <v>1.85028758191524</v>
      </c>
      <c r="H543" s="20">
        <v>3.9624917140832104E-3</v>
      </c>
      <c r="I543" s="20">
        <v>96.100809285318803</v>
      </c>
      <c r="J543" s="20">
        <v>261.88033504190258</v>
      </c>
      <c r="K543" s="20">
        <v>3.3258802550321631</v>
      </c>
      <c r="L543" s="20">
        <f t="shared" si="22"/>
        <v>261.8798079812529</v>
      </c>
      <c r="M543" s="20">
        <f t="shared" si="23"/>
        <v>-3.3258735613752153</v>
      </c>
    </row>
    <row r="544" spans="1:13" x14ac:dyDescent="0.2">
      <c r="A544" s="23">
        <v>129.25</v>
      </c>
      <c r="B544" s="20">
        <v>262.57427238704997</v>
      </c>
      <c r="C544" s="20">
        <v>6.7212426883975196</v>
      </c>
      <c r="D544" s="20">
        <v>353.86780759507201</v>
      </c>
      <c r="E544" s="20">
        <v>-9.3828586319150503E-2</v>
      </c>
      <c r="F544" s="20">
        <v>-1.84839650033083</v>
      </c>
      <c r="G544" s="20">
        <v>1.8507764386996901</v>
      </c>
      <c r="H544" s="20">
        <v>3.9178261719554804E-3</v>
      </c>
      <c r="I544" s="20">
        <v>96.071718330320294</v>
      </c>
      <c r="J544" s="20">
        <v>262.66081040784849</v>
      </c>
      <c r="K544" s="20">
        <v>3.3357922921796761</v>
      </c>
      <c r="L544" s="20">
        <f t="shared" si="22"/>
        <v>262.66028177641374</v>
      </c>
      <c r="M544" s="20">
        <f t="shared" si="23"/>
        <v>-3.3357855785737982</v>
      </c>
    </row>
    <row r="545" spans="1:13" x14ac:dyDescent="0.2">
      <c r="A545" s="23">
        <v>129.5</v>
      </c>
      <c r="B545" s="20">
        <v>263.35407965481897</v>
      </c>
      <c r="C545" s="20">
        <v>6.7651313065981897</v>
      </c>
      <c r="D545" s="20">
        <v>353.84756671691002</v>
      </c>
      <c r="E545" s="20">
        <v>-9.4172064733167499E-2</v>
      </c>
      <c r="F545" s="20">
        <v>-1.8488601568643499</v>
      </c>
      <c r="G545" s="20">
        <v>1.8512569398699299</v>
      </c>
      <c r="H545" s="20">
        <v>3.87369021760413E-3</v>
      </c>
      <c r="I545" s="20">
        <v>96.043201159578601</v>
      </c>
      <c r="J545" s="20">
        <v>263.44148805169169</v>
      </c>
      <c r="K545" s="20">
        <v>3.345706898256485</v>
      </c>
      <c r="L545" s="20">
        <f t="shared" si="22"/>
        <v>263.44095784906386</v>
      </c>
      <c r="M545" s="20">
        <f t="shared" si="23"/>
        <v>-3.3457001646964941</v>
      </c>
    </row>
    <row r="546" spans="1:13" x14ac:dyDescent="0.2">
      <c r="A546" s="23">
        <v>129.75</v>
      </c>
      <c r="B546" s="20">
        <v>264.13407966136998</v>
      </c>
      <c r="C546" s="20">
        <v>6.8091720044950801</v>
      </c>
      <c r="D546" s="20">
        <v>353.82730128891598</v>
      </c>
      <c r="E546" s="20">
        <v>-9.4515927656689799E-2</v>
      </c>
      <c r="F546" s="20">
        <v>-1.8493154112721699</v>
      </c>
      <c r="G546" s="20">
        <v>1.85172912461557</v>
      </c>
      <c r="H546" s="20">
        <v>3.83008983623781E-3</v>
      </c>
      <c r="I546" s="20">
        <v>96.015256045627893</v>
      </c>
      <c r="J546" s="20">
        <v>264.22236444886113</v>
      </c>
      <c r="K546" s="20">
        <v>3.3556240285005368</v>
      </c>
      <c r="L546" s="20">
        <f t="shared" si="22"/>
        <v>264.22183267464055</v>
      </c>
      <c r="M546" s="20">
        <f t="shared" si="23"/>
        <v>-3.3556172749813573</v>
      </c>
    </row>
    <row r="547" spans="1:13" x14ac:dyDescent="0.2">
      <c r="A547" s="23">
        <v>130</v>
      </c>
      <c r="B547" s="20">
        <v>264.91426887841601</v>
      </c>
      <c r="C547" s="20">
        <v>6.85336471696837</v>
      </c>
      <c r="D547" s="20">
        <v>353.807011356918</v>
      </c>
      <c r="E547" s="20">
        <v>-9.4860172475762103E-2</v>
      </c>
      <c r="F547" s="20">
        <v>-1.8497623024480401</v>
      </c>
      <c r="G547" s="20">
        <v>1.8521930320244699</v>
      </c>
      <c r="H547" s="20">
        <v>3.7870311530317502E-3</v>
      </c>
      <c r="I547" s="20">
        <v>95.987881246364196</v>
      </c>
      <c r="J547" s="20">
        <v>265.00343609130738</v>
      </c>
      <c r="K547" s="20">
        <v>3.365543638359604</v>
      </c>
      <c r="L547" s="20">
        <f t="shared" si="22"/>
        <v>265.00290274510104</v>
      </c>
      <c r="M547" s="20">
        <f t="shared" si="23"/>
        <v>-3.3655368648762449</v>
      </c>
    </row>
    <row r="548" spans="1:13" x14ac:dyDescent="0.2">
      <c r="A548" s="23">
        <v>130.25</v>
      </c>
      <c r="B548" s="20">
        <v>265.69464379418201</v>
      </c>
      <c r="C548" s="20">
        <v>6.8977093776812604</v>
      </c>
      <c r="D548" s="20">
        <v>353.78669696678702</v>
      </c>
      <c r="E548" s="20">
        <v>-9.5204796574095807E-2</v>
      </c>
      <c r="F548" s="20">
        <v>-1.8502008691838401</v>
      </c>
      <c r="G548" s="20">
        <v>1.8526487010816</v>
      </c>
      <c r="H548" s="20">
        <v>3.74452043267599E-3</v>
      </c>
      <c r="I548" s="20">
        <v>95.961075005389205</v>
      </c>
      <c r="J548" s="20">
        <v>265.78469948745527</v>
      </c>
      <c r="K548" s="20">
        <v>3.375465683490682</v>
      </c>
      <c r="L548" s="20">
        <f t="shared" si="22"/>
        <v>265.7841645688776</v>
      </c>
      <c r="M548" s="20">
        <f t="shared" si="23"/>
        <v>-3.3754588900382472</v>
      </c>
    </row>
    <row r="549" spans="1:13" x14ac:dyDescent="0.2">
      <c r="A549" s="23">
        <v>130.5</v>
      </c>
      <c r="B549" s="20">
        <v>266.47520091336497</v>
      </c>
      <c r="C549" s="20">
        <v>6.9422059190893997</v>
      </c>
      <c r="D549" s="20">
        <v>353.76635816444002</v>
      </c>
      <c r="E549" s="20">
        <v>-9.5549797333131098E-2</v>
      </c>
      <c r="F549" s="20">
        <v>-1.8506311501685</v>
      </c>
      <c r="G549" s="20">
        <v>1.85309617066799</v>
      </c>
      <c r="H549" s="20">
        <v>3.70256407845896E-3</v>
      </c>
      <c r="I549" s="20">
        <v>95.934835552349597</v>
      </c>
      <c r="J549" s="20">
        <v>266.56615116216545</v>
      </c>
      <c r="K549" s="20">
        <v>3.3853901197595015</v>
      </c>
      <c r="L549" s="20">
        <f t="shared" si="22"/>
        <v>266.56561467083719</v>
      </c>
      <c r="M549" s="20">
        <f t="shared" si="23"/>
        <v>-3.3853833063331744</v>
      </c>
    </row>
    <row r="550" spans="1:13" x14ac:dyDescent="0.2">
      <c r="A550" s="23">
        <v>130.75</v>
      </c>
      <c r="B550" s="20">
        <v>267.25593675708802</v>
      </c>
      <c r="C550" s="20">
        <v>6.9868542724501701</v>
      </c>
      <c r="D550" s="20">
        <v>353.74599499583502</v>
      </c>
      <c r="E550" s="20">
        <v>-9.5895172132099096E-2</v>
      </c>
      <c r="F550" s="20">
        <v>-1.8510531839869599</v>
      </c>
      <c r="G550" s="20">
        <v>1.8535354795596699</v>
      </c>
      <c r="H550" s="20">
        <v>3.6611686308441502E-3</v>
      </c>
      <c r="I550" s="20">
        <v>95.909161103273703</v>
      </c>
      <c r="J550" s="20">
        <v>267.34778765668665</v>
      </c>
      <c r="K550" s="20">
        <v>3.3953169032399209</v>
      </c>
      <c r="L550" s="20">
        <f t="shared" si="22"/>
        <v>267.34724959223553</v>
      </c>
      <c r="M550" s="20">
        <f t="shared" si="23"/>
        <v>-3.3953100698349727</v>
      </c>
    </row>
    <row r="551" spans="1:13" x14ac:dyDescent="0.2">
      <c r="A551" s="23">
        <v>131</v>
      </c>
      <c r="B551" s="20">
        <v>268.03684786285697</v>
      </c>
      <c r="C551" s="20">
        <v>7.0316543678319903</v>
      </c>
      <c r="D551" s="20">
        <v>353.72560750697602</v>
      </c>
      <c r="E551" s="20">
        <v>-9.6240918348083807E-2</v>
      </c>
      <c r="F551" s="20">
        <v>-1.8514670091191701</v>
      </c>
      <c r="G551" s="20">
        <v>1.8539666664266601</v>
      </c>
      <c r="H551" s="20">
        <v>3.6203407654939001E-3</v>
      </c>
      <c r="I551" s="20">
        <v>95.884049860903502</v>
      </c>
      <c r="J551" s="20">
        <v>268.12960552861108</v>
      </c>
      <c r="K551" s="20">
        <v>3.4052459902133609</v>
      </c>
      <c r="L551" s="20">
        <f t="shared" si="22"/>
        <v>268.12906589067325</v>
      </c>
      <c r="M551" s="20">
        <f t="shared" si="23"/>
        <v>-3.4052391368251715</v>
      </c>
    </row>
    <row r="552" spans="1:13" x14ac:dyDescent="0.2">
      <c r="A552" s="23">
        <v>131.25</v>
      </c>
      <c r="B552" s="20">
        <v>268.81793078451398</v>
      </c>
      <c r="C552" s="20">
        <v>7.07660613412349</v>
      </c>
      <c r="D552" s="20">
        <v>353.70519574391</v>
      </c>
      <c r="E552" s="20">
        <v>-9.6587033356083998E-2</v>
      </c>
      <c r="F552" s="20">
        <v>-1.8518726639390599</v>
      </c>
      <c r="G552" s="20">
        <v>1.8543897698319201</v>
      </c>
      <c r="H552" s="20">
        <v>3.58008729069389E-3</v>
      </c>
      <c r="I552" s="20">
        <v>95.859500015024196</v>
      </c>
      <c r="J552" s="20">
        <v>268.91160135183367</v>
      </c>
      <c r="K552" s="20">
        <v>3.4151773371682874</v>
      </c>
      <c r="L552" s="20">
        <f t="shared" si="22"/>
        <v>268.91106014004941</v>
      </c>
      <c r="M552" s="20">
        <f t="shared" si="23"/>
        <v>-3.4151704637922888</v>
      </c>
    </row>
    <row r="553" spans="1:13" x14ac:dyDescent="0.2">
      <c r="A553" s="23">
        <v>131.5</v>
      </c>
      <c r="B553" s="20">
        <v>269.59918209219597</v>
      </c>
      <c r="C553" s="20">
        <v>7.1217094990426899</v>
      </c>
      <c r="D553" s="20">
        <v>353.68475975272599</v>
      </c>
      <c r="E553" s="20">
        <v>-9.69335145290742E-2</v>
      </c>
      <c r="F553" s="20">
        <v>-1.85227018671358</v>
      </c>
      <c r="G553" s="20">
        <v>1.8548048282304299</v>
      </c>
      <c r="H553" s="20">
        <v>3.5404151441289799E-3</v>
      </c>
      <c r="I553" s="20">
        <v>95.835509742789696</v>
      </c>
      <c r="J553" s="20">
        <v>269.69377171650063</v>
      </c>
      <c r="K553" s="20">
        <v>3.4251109007995586</v>
      </c>
      <c r="L553" s="20">
        <f t="shared" si="22"/>
        <v>269.69322893051987</v>
      </c>
      <c r="M553" s="20">
        <f t="shared" si="23"/>
        <v>-3.4251040074313024</v>
      </c>
    </row>
    <row r="554" spans="1:13" x14ac:dyDescent="0.2">
      <c r="A554" s="23">
        <v>131.75</v>
      </c>
      <c r="B554" s="20">
        <v>270.380598372284</v>
      </c>
      <c r="C554" s="20">
        <v>7.1669643891460799</v>
      </c>
      <c r="D554" s="20">
        <v>353.66429957956097</v>
      </c>
      <c r="E554" s="20">
        <v>-9.7280359238066202E-2</v>
      </c>
      <c r="F554" s="20">
        <v>-1.8526596156017501</v>
      </c>
      <c r="G554" s="20">
        <v>1.8552118799682</v>
      </c>
      <c r="H554" s="20">
        <v>3.5013313889604501E-3</v>
      </c>
      <c r="I554" s="20">
        <v>95.812077209045299</v>
      </c>
      <c r="J554" s="20">
        <v>270.47611322896785</v>
      </c>
      <c r="K554" s="20">
        <v>3.4350466380078917</v>
      </c>
      <c r="L554" s="20">
        <f t="shared" si="22"/>
        <v>270.47556886844632</v>
      </c>
      <c r="M554" s="20">
        <f t="shared" si="23"/>
        <v>-3.4350397246430084</v>
      </c>
    </row>
    <row r="555" spans="1:13" x14ac:dyDescent="0.2">
      <c r="A555" s="23">
        <v>132</v>
      </c>
      <c r="B555" s="20">
        <v>271.16217622736201</v>
      </c>
      <c r="C555" s="20">
        <v>7.2123707298376498</v>
      </c>
      <c r="D555" s="20">
        <v>353.64381527059197</v>
      </c>
      <c r="E555" s="20">
        <v>-9.7627564852170404E-2</v>
      </c>
      <c r="F555" s="20">
        <v>-1.85304098865373</v>
      </c>
      <c r="G555" s="20">
        <v>1.8556109632813</v>
      </c>
      <c r="H555" s="20">
        <v>3.4628432091528601E-3</v>
      </c>
      <c r="I555" s="20">
        <v>95.789200566645306</v>
      </c>
      <c r="J555" s="20">
        <v>271.25862251175533</v>
      </c>
      <c r="K555" s="20">
        <v>3.4449845058992929</v>
      </c>
      <c r="L555" s="20">
        <f t="shared" si="22"/>
        <v>271.25807657635477</v>
      </c>
      <c r="M555" s="20">
        <f t="shared" si="23"/>
        <v>-3.4449775725334857</v>
      </c>
    </row>
    <row r="556" spans="1:13" x14ac:dyDescent="0.2">
      <c r="A556" s="23">
        <v>132.25</v>
      </c>
      <c r="B556" s="20">
        <v>271.94391227616802</v>
      </c>
      <c r="C556" s="20">
        <v>7.2579284453779103</v>
      </c>
      <c r="D556" s="20">
        <v>353.62330687204502</v>
      </c>
      <c r="E556" s="20">
        <v>-9.7975128738656297E-2</v>
      </c>
      <c r="F556" s="20">
        <v>-1.85341434380989</v>
      </c>
      <c r="G556" s="20">
        <v>1.85600211629503</v>
      </c>
      <c r="H556" s="20">
        <v>3.4249579039981799E-3</v>
      </c>
      <c r="I556" s="20">
        <v>95.766877956769406</v>
      </c>
      <c r="J556" s="20">
        <v>272.04129620349755</v>
      </c>
      <c r="K556" s="20">
        <v>3.4549244617844193</v>
      </c>
      <c r="L556" s="20">
        <f t="shared" si="22"/>
        <v>272.04074869288684</v>
      </c>
      <c r="M556" s="20">
        <f t="shared" si="23"/>
        <v>-3.4549175084134824</v>
      </c>
    </row>
    <row r="557" spans="1:13" x14ac:dyDescent="0.2">
      <c r="A557" s="23">
        <v>132.5</v>
      </c>
      <c r="B557" s="20">
        <v>272.72580315354799</v>
      </c>
      <c r="C557" s="20">
        <v>7.30363745889274</v>
      </c>
      <c r="D557" s="20">
        <v>353.602774430186</v>
      </c>
      <c r="E557" s="20">
        <v>-9.8323048263013302E-2</v>
      </c>
      <c r="F557" s="20">
        <v>-1.8537797188999601</v>
      </c>
      <c r="G557" s="20">
        <v>1.8563853770229299</v>
      </c>
      <c r="H557" s="20">
        <v>3.3876828817841799E-3</v>
      </c>
      <c r="I557" s="20">
        <v>95.745107509233407</v>
      </c>
      <c r="J557" s="20">
        <v>272.82413095889842</v>
      </c>
      <c r="K557" s="20">
        <v>3.4648664631780104</v>
      </c>
      <c r="L557" s="20">
        <f t="shared" si="22"/>
        <v>272.82358187275298</v>
      </c>
      <c r="M557" s="20">
        <f t="shared" si="23"/>
        <v>-3.4648594897978224</v>
      </c>
    </row>
    <row r="558" spans="1:13" x14ac:dyDescent="0.2">
      <c r="A558" s="23">
        <v>132.75</v>
      </c>
      <c r="B558" s="20">
        <v>273.50784551040903</v>
      </c>
      <c r="C558" s="20">
        <v>7.3494976923823403</v>
      </c>
      <c r="D558" s="20">
        <v>353.58221799132798</v>
      </c>
      <c r="E558" s="20">
        <v>-9.8671320789011099E-2</v>
      </c>
      <c r="F558" s="20">
        <v>-1.8541371516421301</v>
      </c>
      <c r="G558" s="20">
        <v>1.85676078336598</v>
      </c>
      <c r="H558" s="20">
        <v>3.3510256525539398E-3</v>
      </c>
      <c r="I558" s="20">
        <v>95.723887342798704</v>
      </c>
      <c r="J558" s="20">
        <v>273.60712344868307</v>
      </c>
      <c r="K558" s="20">
        <v>3.4748104677982754</v>
      </c>
      <c r="L558" s="20">
        <f t="shared" si="22"/>
        <v>273.606572786686</v>
      </c>
      <c r="M558" s="20">
        <f t="shared" si="23"/>
        <v>-3.4748034744048111</v>
      </c>
    </row>
    <row r="559" spans="1:13" x14ac:dyDescent="0.2">
      <c r="A559" s="23">
        <v>133</v>
      </c>
      <c r="B559" s="20">
        <v>274.290036013671</v>
      </c>
      <c r="C559" s="20">
        <v>7.3955090667299599</v>
      </c>
      <c r="D559" s="20">
        <v>353.56163760182699</v>
      </c>
      <c r="E559" s="20">
        <v>-9.90199436787602E-2</v>
      </c>
      <c r="F559" s="20">
        <v>-1.8544866796422399</v>
      </c>
      <c r="G559" s="20">
        <v>1.8571283731117401</v>
      </c>
      <c r="H559" s="20">
        <v>3.31499381990389E-3</v>
      </c>
      <c r="I559" s="20">
        <v>95.703215565475801</v>
      </c>
      <c r="J559" s="20">
        <v>274.39027035955138</v>
      </c>
      <c r="K559" s="20">
        <v>3.4847564335663028</v>
      </c>
      <c r="L559" s="20">
        <f t="shared" si="22"/>
        <v>274.38971812139209</v>
      </c>
      <c r="M559" s="20">
        <f t="shared" si="23"/>
        <v>-3.4847494201556186</v>
      </c>
    </row>
    <row r="560" spans="1:13" x14ac:dyDescent="0.2">
      <c r="A560" s="23">
        <v>133.25</v>
      </c>
      <c r="B560" s="20">
        <v>275.07237134622</v>
      </c>
      <c r="C560" s="20">
        <v>7.4416715017106698</v>
      </c>
      <c r="D560" s="20">
        <v>353.54103330808601</v>
      </c>
      <c r="E560" s="20">
        <v>-9.9368914292771698E-2</v>
      </c>
      <c r="F560" s="20">
        <v>-1.85482834039292</v>
      </c>
      <c r="G560" s="20">
        <v>1.85748818393347</v>
      </c>
      <c r="H560" s="20">
        <v>3.2795950717687799E-3</v>
      </c>
      <c r="I560" s="20">
        <v>95.683090274826696</v>
      </c>
      <c r="J560" s="20">
        <v>275.17356839412997</v>
      </c>
      <c r="K560" s="20">
        <v>3.4947043186054509</v>
      </c>
      <c r="L560" s="20">
        <f t="shared" si="22"/>
        <v>275.17301457950435</v>
      </c>
      <c r="M560" s="20">
        <f t="shared" si="23"/>
        <v>-3.4946972851736842</v>
      </c>
    </row>
    <row r="561" spans="1:13" x14ac:dyDescent="0.2">
      <c r="A561" s="23">
        <v>133.5</v>
      </c>
      <c r="B561" s="20">
        <v>275.854848206859</v>
      </c>
      <c r="C561" s="20">
        <v>7.4879849160000802</v>
      </c>
      <c r="D561" s="20">
        <v>353.52040515655102</v>
      </c>
      <c r="E561" s="20">
        <v>-9.9718229990017504E-2</v>
      </c>
      <c r="F561" s="20">
        <v>-1.8551621712728099</v>
      </c>
      <c r="G561" s="20">
        <v>1.8578402533894001</v>
      </c>
      <c r="H561" s="20">
        <v>3.2448371701439302E-3</v>
      </c>
      <c r="I561" s="20">
        <v>95.663509558262803</v>
      </c>
      <c r="J561" s="20">
        <v>275.95701427092308</v>
      </c>
      <c r="K561" s="20">
        <v>3.5046540812407234</v>
      </c>
      <c r="L561" s="20">
        <f t="shared" si="22"/>
        <v>275.95645887953316</v>
      </c>
      <c r="M561" s="20">
        <f t="shared" si="23"/>
        <v>-3.50464702778409</v>
      </c>
    </row>
    <row r="562" spans="1:13" x14ac:dyDescent="0.2">
      <c r="A562" s="23">
        <v>133.75</v>
      </c>
      <c r="B562" s="20">
        <v>276.63746331025999</v>
      </c>
      <c r="C562" s="20">
        <v>7.5344492271829298</v>
      </c>
      <c r="D562" s="20">
        <v>353.49975319371401</v>
      </c>
      <c r="E562" s="20">
        <v>-0.10006788812799</v>
      </c>
      <c r="F562" s="20">
        <v>-1.8554882095458001</v>
      </c>
      <c r="G562" s="20">
        <v>1.85818461892188</v>
      </c>
      <c r="H562" s="20">
        <v>3.2107279396970802E-3</v>
      </c>
      <c r="I562" s="20">
        <v>95.644471493339097</v>
      </c>
      <c r="J562" s="20">
        <v>276.74060472426294</v>
      </c>
      <c r="K562" s="20">
        <v>3.5146056799981396</v>
      </c>
      <c r="L562" s="20">
        <f t="shared" si="22"/>
        <v>276.74004775581801</v>
      </c>
      <c r="M562" s="20">
        <f t="shared" si="23"/>
        <v>-3.5145986065129478</v>
      </c>
    </row>
    <row r="563" spans="1:13" x14ac:dyDescent="0.2">
      <c r="A563" s="23">
        <v>134</v>
      </c>
      <c r="B563" s="20">
        <v>277.42021338691501</v>
      </c>
      <c r="C563" s="20">
        <v>7.5810643517616496</v>
      </c>
      <c r="D563" s="20">
        <v>353.47907746611003</v>
      </c>
      <c r="E563" s="20">
        <v>-0.10041788606276</v>
      </c>
      <c r="F563" s="20">
        <v>-1.85580649236021</v>
      </c>
      <c r="G563" s="20">
        <v>1.85852131785665</v>
      </c>
      <c r="H563" s="20">
        <v>3.1772752552263E-3</v>
      </c>
      <c r="I563" s="20">
        <v>95.625974148045799</v>
      </c>
      <c r="J563" s="20">
        <v>277.52433650426337</v>
      </c>
      <c r="K563" s="20">
        <v>3.524559073604145</v>
      </c>
      <c r="L563" s="20">
        <f t="shared" si="22"/>
        <v>277.52377795847872</v>
      </c>
      <c r="M563" s="20">
        <f t="shared" si="23"/>
        <v>-3.5245519800867777</v>
      </c>
    </row>
    <row r="564" spans="1:13" x14ac:dyDescent="0.2">
      <c r="A564" s="23">
        <v>134.25</v>
      </c>
      <c r="B564" s="20">
        <v>278.20309518308801</v>
      </c>
      <c r="C564" s="20">
        <v>7.6278302051649298</v>
      </c>
      <c r="D564" s="20">
        <v>353.45837802032099</v>
      </c>
      <c r="E564" s="20">
        <v>-0.10076822114903899</v>
      </c>
      <c r="F564" s="20">
        <v>-1.85611705674812</v>
      </c>
      <c r="G564" s="20">
        <v>1.8588503874020801</v>
      </c>
      <c r="H564" s="20">
        <v>3.1444870279236999E-3</v>
      </c>
      <c r="I564" s="20">
        <v>95.608015581095998</v>
      </c>
      <c r="J564" s="20">
        <v>278.30820637676754</v>
      </c>
      <c r="K564" s="20">
        <v>3.5345142209849483</v>
      </c>
      <c r="L564" s="20">
        <f t="shared" si="22"/>
        <v>278.30764625336684</v>
      </c>
      <c r="M564" s="20">
        <f t="shared" si="23"/>
        <v>-3.5345071074318972</v>
      </c>
    </row>
    <row r="565" spans="1:13" x14ac:dyDescent="0.2">
      <c r="A565" s="23">
        <v>134.5</v>
      </c>
      <c r="B565" s="20">
        <v>278.98610546076202</v>
      </c>
      <c r="C565" s="20">
        <v>7.6747467017560904</v>
      </c>
      <c r="D565" s="20">
        <v>353.43765490297301</v>
      </c>
      <c r="E565" s="20">
        <v>-0.101118890740236</v>
      </c>
      <c r="F565" s="20">
        <v>-1.8564199396245999</v>
      </c>
      <c r="G565" s="20">
        <v>1.8591718646484401</v>
      </c>
      <c r="H565" s="20">
        <v>3.11237119041134E-3</v>
      </c>
      <c r="I565" s="20">
        <v>95.590593842210396</v>
      </c>
      <c r="J565" s="20">
        <v>279.09221112330238</v>
      </c>
      <c r="K565" s="20">
        <v>3.5444710812659403</v>
      </c>
      <c r="L565" s="20">
        <f t="shared" si="22"/>
        <v>279.09164942201249</v>
      </c>
      <c r="M565" s="20">
        <f t="shared" si="23"/>
        <v>-3.5444639476737363</v>
      </c>
    </row>
    <row r="566" spans="1:13" x14ac:dyDescent="0.2">
      <c r="A566" s="23">
        <v>134.75</v>
      </c>
      <c r="B566" s="20">
        <v>279.76924099759401</v>
      </c>
      <c r="C566" s="20">
        <v>7.7218137548415404</v>
      </c>
      <c r="D566" s="20">
        <v>353.41690816073901</v>
      </c>
      <c r="E566" s="20">
        <v>-0.101469892188516</v>
      </c>
      <c r="F566" s="20">
        <v>-1.8567151777870301</v>
      </c>
      <c r="G566" s="20">
        <v>1.8594857865672101</v>
      </c>
      <c r="H566" s="20">
        <v>3.0809356805202599E-3</v>
      </c>
      <c r="I566" s="20">
        <v>95.5737069723979</v>
      </c>
      <c r="J566" s="20">
        <v>279.87634754102316</v>
      </c>
      <c r="K566" s="20">
        <v>3.5544296137709943</v>
      </c>
      <c r="L566" s="20">
        <f t="shared" si="22"/>
        <v>279.87578426157972</v>
      </c>
      <c r="M566" s="20">
        <f t="shared" si="23"/>
        <v>-3.5544224601362808</v>
      </c>
    </row>
    <row r="567" spans="1:13" x14ac:dyDescent="0.2">
      <c r="A567" s="23">
        <v>135</v>
      </c>
      <c r="B567" s="20">
        <v>280.55249858686102</v>
      </c>
      <c r="C567" s="20">
        <v>7.7690312766790797</v>
      </c>
      <c r="D567" s="20">
        <v>353.39613784033401</v>
      </c>
      <c r="E567" s="20">
        <v>-0.101821222844862</v>
      </c>
      <c r="F567" s="20">
        <v>-1.8570028079144001</v>
      </c>
      <c r="G567" s="20">
        <v>1.85979219001038</v>
      </c>
      <c r="H567" s="20">
        <v>3.05018842379296E-3</v>
      </c>
      <c r="I567" s="20">
        <v>95.557353004234201</v>
      </c>
      <c r="J567" s="20">
        <v>280.66061244266729</v>
      </c>
      <c r="K567" s="20">
        <v>3.5643897780218743</v>
      </c>
      <c r="L567" s="20">
        <f t="shared" si="22"/>
        <v>280.66004758481154</v>
      </c>
      <c r="M567" s="20">
        <f t="shared" si="23"/>
        <v>-3.5643826043413642</v>
      </c>
    </row>
    <row r="568" spans="1:13" x14ac:dyDescent="0.2">
      <c r="A568" s="23">
        <v>135.25</v>
      </c>
      <c r="B568" s="20">
        <v>281.33587503741199</v>
      </c>
      <c r="C568" s="20">
        <v>7.8163991784861704</v>
      </c>
      <c r="D568" s="20">
        <v>353.37534398852301</v>
      </c>
      <c r="E568" s="20">
        <v>-0.10217288005913</v>
      </c>
      <c r="F568" s="20">
        <v>-1.8572828665666901</v>
      </c>
      <c r="G568" s="20">
        <v>1.86009111170979</v>
      </c>
      <c r="H568" s="20">
        <v>3.0201373146966299E-3</v>
      </c>
      <c r="I568" s="20">
        <v>95.541529962135598</v>
      </c>
      <c r="J568" s="20">
        <v>281.44500265650345</v>
      </c>
      <c r="K568" s="20">
        <v>3.5743515337375942</v>
      </c>
      <c r="L568" s="20">
        <f t="shared" si="22"/>
        <v>281.44443621998238</v>
      </c>
      <c r="M568" s="20">
        <f t="shared" si="23"/>
        <v>-3.5743443400080741</v>
      </c>
    </row>
    <row r="569" spans="1:13" x14ac:dyDescent="0.2">
      <c r="A569" s="23">
        <v>135.5</v>
      </c>
      <c r="B569" s="20">
        <v>282.119367173618</v>
      </c>
      <c r="C569" s="20">
        <v>7.8639173704481502</v>
      </c>
      <c r="D569" s="20">
        <v>353.35452665211102</v>
      </c>
      <c r="E569" s="20">
        <v>-0.10252486118010699</v>
      </c>
      <c r="F569" s="20">
        <v>-1.8575553901841799</v>
      </c>
      <c r="G569" s="20">
        <v>1.86038258827648</v>
      </c>
      <c r="H569" s="20">
        <v>2.9907901965458001E-3</v>
      </c>
      <c r="I569" s="20">
        <v>95.5262358626305</v>
      </c>
      <c r="J569" s="20">
        <v>282.22951502627916</v>
      </c>
      <c r="K569" s="20">
        <v>3.5843148408337453</v>
      </c>
      <c r="L569" s="20">
        <f t="shared" si="22"/>
        <v>282.22894701084778</v>
      </c>
      <c r="M569" s="20">
        <f t="shared" si="23"/>
        <v>-3.5843076270521039</v>
      </c>
    </row>
    <row r="570" spans="1:13" x14ac:dyDescent="0.2">
      <c r="A570" s="23">
        <v>135.75</v>
      </c>
      <c r="B570" s="20">
        <v>282.90297183531698</v>
      </c>
      <c r="C570" s="20">
        <v>7.9115857617263998</v>
      </c>
      <c r="D570" s="20">
        <v>353.33368587795297</v>
      </c>
      <c r="E570" s="20">
        <v>-0.102877163555573</v>
      </c>
      <c r="F570" s="20">
        <v>-1.85782041508685</v>
      </c>
      <c r="G570" s="20">
        <v>1.86066665620006</v>
      </c>
      <c r="H570" s="20">
        <v>2.9621548401427699E-3</v>
      </c>
      <c r="I570" s="20">
        <v>95.511468714627298</v>
      </c>
      <c r="J570" s="20">
        <v>283.01414641117077</v>
      </c>
      <c r="K570" s="20">
        <v>3.5942796594218689</v>
      </c>
      <c r="L570" s="20">
        <f t="shared" si="22"/>
        <v>283.01357681658897</v>
      </c>
      <c r="M570" s="20">
        <f t="shared" si="23"/>
        <v>-3.5942724255850571</v>
      </c>
    </row>
    <row r="571" spans="1:13" x14ac:dyDescent="0.2">
      <c r="A571" s="23">
        <v>136</v>
      </c>
      <c r="B571" s="20">
        <v>283.68668587776801</v>
      </c>
      <c r="C571" s="20">
        <v>7.9594042604664201</v>
      </c>
      <c r="D571" s="20">
        <v>353.31282171294703</v>
      </c>
      <c r="E571" s="20">
        <v>-0.103229784532356</v>
      </c>
      <c r="F571" s="20">
        <v>-1.8580779774737699</v>
      </c>
      <c r="G571" s="20">
        <v>1.86094335184809</v>
      </c>
      <c r="H571" s="20">
        <v>2.9342389211577799E-3</v>
      </c>
      <c r="I571" s="20">
        <v>95.497226519679003</v>
      </c>
      <c r="J571" s="20">
        <v>283.79889368573095</v>
      </c>
      <c r="K571" s="20">
        <v>3.6042459498087833</v>
      </c>
      <c r="L571" s="20">
        <f t="shared" si="22"/>
        <v>283.79832251176708</v>
      </c>
      <c r="M571" s="20">
        <f t="shared" si="23"/>
        <v>-3.604238695913859</v>
      </c>
    </row>
    <row r="572" spans="1:13" x14ac:dyDescent="0.2">
      <c r="A572" s="23">
        <v>136.25</v>
      </c>
      <c r="B572" s="20">
        <v>284.47050617159402</v>
      </c>
      <c r="C572" s="20">
        <v>8.0073727738058604</v>
      </c>
      <c r="D572" s="20">
        <v>353.291934204038</v>
      </c>
      <c r="E572" s="20">
        <v>-0.103582721456387</v>
      </c>
      <c r="F572" s="20">
        <v>-1.85832811342253</v>
      </c>
      <c r="G572" s="20">
        <v>1.8612127114655199</v>
      </c>
      <c r="H572" s="20">
        <v>2.90704999628343E-3</v>
      </c>
      <c r="I572" s="20">
        <v>95.483507272244495</v>
      </c>
      <c r="J572" s="20">
        <v>284.58375373984092</v>
      </c>
      <c r="K572" s="20">
        <v>3.6142136724959797</v>
      </c>
      <c r="L572" s="20">
        <f t="shared" si="22"/>
        <v>284.58318098626563</v>
      </c>
      <c r="M572" s="20">
        <f t="shared" si="23"/>
        <v>-3.6142063985400306</v>
      </c>
    </row>
    <row r="573" spans="1:13" x14ac:dyDescent="0.2">
      <c r="A573" s="23">
        <v>136.5</v>
      </c>
      <c r="B573" s="20">
        <v>285.25442960273801</v>
      </c>
      <c r="C573" s="20">
        <v>8.05549120788252</v>
      </c>
      <c r="D573" s="20">
        <v>353.27102339821602</v>
      </c>
      <c r="E573" s="20">
        <v>-0.103935971672766</v>
      </c>
      <c r="F573" s="20">
        <v>-1.8585708588886201</v>
      </c>
      <c r="G573" s="20">
        <v>1.86147477117407</v>
      </c>
      <c r="H573" s="20">
        <v>2.88059547821321E-3</v>
      </c>
      <c r="I573" s="20">
        <v>95.470308959946905</v>
      </c>
      <c r="J573" s="20">
        <v>285.36872347865193</v>
      </c>
      <c r="K573" s="20">
        <v>3.6241827881788797</v>
      </c>
      <c r="L573" s="20">
        <f t="shared" si="22"/>
        <v>285.3681491452466</v>
      </c>
      <c r="M573" s="20">
        <f t="shared" si="23"/>
        <v>-3.6241754941591284</v>
      </c>
    </row>
    <row r="574" spans="1:13" x14ac:dyDescent="0.2">
      <c r="A574" s="23">
        <v>136.75</v>
      </c>
      <c r="B574" s="20">
        <v>286.03845307240198</v>
      </c>
      <c r="C574" s="20">
        <v>8.1037594678422202</v>
      </c>
      <c r="D574" s="20">
        <v>353.25008934251599</v>
      </c>
      <c r="E574" s="20">
        <v>-0.104289532525811</v>
      </c>
      <c r="F574" s="20">
        <v>-1.85880624970496</v>
      </c>
      <c r="G574" s="20">
        <v>1.86172956697171</v>
      </c>
      <c r="H574" s="20">
        <v>2.8548826095091502E-3</v>
      </c>
      <c r="I574" s="20">
        <v>95.457629563828107</v>
      </c>
      <c r="J574" s="20">
        <v>286.15379982254058</v>
      </c>
      <c r="K574" s="20">
        <v>3.6341532577462656</v>
      </c>
      <c r="L574" s="20">
        <f t="shared" si="22"/>
        <v>286.15322390908921</v>
      </c>
      <c r="M574" s="20">
        <f t="shared" si="23"/>
        <v>-3.6341459436599695</v>
      </c>
    </row>
    <row r="575" spans="1:13" x14ac:dyDescent="0.2">
      <c r="A575" s="23">
        <v>137</v>
      </c>
      <c r="B575" s="20">
        <v>286.822573497002</v>
      </c>
      <c r="C575" s="20">
        <v>8.1521774578467099</v>
      </c>
      <c r="D575" s="20">
        <v>353.22913208402002</v>
      </c>
      <c r="E575" s="20">
        <v>-0.104643401359118</v>
      </c>
      <c r="F575" s="20">
        <v>-1.8590343215812899</v>
      </c>
      <c r="G575" s="20">
        <v>1.8619771347321199</v>
      </c>
      <c r="H575" s="20">
        <v>2.82991843544064E-3</v>
      </c>
      <c r="I575" s="20">
        <v>95.445467058600997</v>
      </c>
      <c r="J575" s="20">
        <v>286.93897970705069</v>
      </c>
      <c r="K575" s="20">
        <v>3.6441250422795437</v>
      </c>
      <c r="L575" s="20">
        <f t="shared" si="22"/>
        <v>286.938402213345</v>
      </c>
      <c r="M575" s="20">
        <f t="shared" si="23"/>
        <v>-3.6441177081240581</v>
      </c>
    </row>
    <row r="576" spans="1:13" x14ac:dyDescent="0.2">
      <c r="A576" s="23">
        <v>137.25</v>
      </c>
      <c r="B576" s="20">
        <v>287.60678780811298</v>
      </c>
      <c r="C576" s="20">
        <v>8.2007450810814095</v>
      </c>
      <c r="D576" s="20">
        <v>353.20815166985602</v>
      </c>
      <c r="E576" s="20">
        <v>-0.104997575515619</v>
      </c>
      <c r="F576" s="20">
        <v>-1.8592551101037</v>
      </c>
      <c r="G576" s="20">
        <v>1.8622175102041301</v>
      </c>
      <c r="H576" s="20">
        <v>2.8057097758934601E-3</v>
      </c>
      <c r="I576" s="20">
        <v>95.433819412897606</v>
      </c>
      <c r="J576" s="20">
        <v>287.72426008284378</v>
      </c>
      <c r="K576" s="20">
        <v>3.654098103052116</v>
      </c>
      <c r="L576" s="20">
        <f t="shared" si="22"/>
        <v>287.72368100868204</v>
      </c>
      <c r="M576" s="20">
        <f t="shared" si="23"/>
        <v>-3.6540907488248786</v>
      </c>
    </row>
    <row r="577" spans="1:13" x14ac:dyDescent="0.2">
      <c r="A577" s="23">
        <v>137.5</v>
      </c>
      <c r="B577" s="20">
        <v>288.39109295241599</v>
      </c>
      <c r="C577" s="20">
        <v>8.2494622397631492</v>
      </c>
      <c r="D577" s="20">
        <v>353.18714814719698</v>
      </c>
      <c r="E577" s="20">
        <v>-0.105352052337637</v>
      </c>
      <c r="F577" s="20">
        <v>-1.8594686507341101</v>
      </c>
      <c r="G577" s="20">
        <v>1.8624507290112899</v>
      </c>
      <c r="H577" s="20">
        <v>2.7822631964660302E-3</v>
      </c>
      <c r="I577" s="20">
        <v>95.422684589514702</v>
      </c>
      <c r="J577" s="20">
        <v>288.50963791564595</v>
      </c>
      <c r="K577" s="20">
        <v>3.6640724015287036</v>
      </c>
      <c r="L577" s="20">
        <f t="shared" si="22"/>
        <v>288.50905726083249</v>
      </c>
      <c r="M577" s="20">
        <f t="shared" si="23"/>
        <v>-3.6640650272272293</v>
      </c>
    </row>
    <row r="578" spans="1:13" x14ac:dyDescent="0.2">
      <c r="A578" s="23">
        <v>137.75</v>
      </c>
      <c r="B578" s="20">
        <v>289.175485891645</v>
      </c>
      <c r="C578" s="20">
        <v>8.2983288351478794</v>
      </c>
      <c r="D578" s="20">
        <v>353.16612156326102</v>
      </c>
      <c r="E578" s="20">
        <v>-0.105706829166945</v>
      </c>
      <c r="F578" s="20">
        <v>-1.8596749788098099</v>
      </c>
      <c r="G578" s="20">
        <v>1.8626768266513101</v>
      </c>
      <c r="H578" s="20">
        <v>2.7595849788878699E-3</v>
      </c>
      <c r="I578" s="20">
        <v>95.412060545655606</v>
      </c>
      <c r="J578" s="20">
        <v>289.29511018619525</v>
      </c>
      <c r="K578" s="20">
        <v>3.6740478993646795</v>
      </c>
      <c r="L578" s="20">
        <f t="shared" si="22"/>
        <v>289.29452795053908</v>
      </c>
      <c r="M578" s="20">
        <f t="shared" si="23"/>
        <v>-3.674040504986543</v>
      </c>
    </row>
    <row r="579" spans="1:13" x14ac:dyDescent="0.2">
      <c r="A579" s="23">
        <v>138</v>
      </c>
      <c r="B579" s="20">
        <v>289.95996360253599</v>
      </c>
      <c r="C579" s="20">
        <v>8.3473447675382495</v>
      </c>
      <c r="D579" s="20">
        <v>353.14507196531503</v>
      </c>
      <c r="E579" s="20">
        <v>-0.10606190334481901</v>
      </c>
      <c r="F579" s="20">
        <v>-1.8598741295429599</v>
      </c>
      <c r="G579" s="20">
        <v>1.86289583849563</v>
      </c>
      <c r="H579" s="20">
        <v>2.73768109091378E-3</v>
      </c>
      <c r="I579" s="20">
        <v>95.401945233169897</v>
      </c>
      <c r="J579" s="20">
        <v>290.08067389018652</v>
      </c>
      <c r="K579" s="20">
        <v>3.684024558405369</v>
      </c>
      <c r="L579" s="20">
        <f t="shared" si="22"/>
        <v>290.08009007350392</v>
      </c>
      <c r="M579" s="20">
        <f t="shared" si="23"/>
        <v>-3.6840171439482359</v>
      </c>
    </row>
    <row r="580" spans="1:13" x14ac:dyDescent="0.2">
      <c r="A580" s="23">
        <v>138.25</v>
      </c>
      <c r="B580" s="20">
        <v>290.74452307677097</v>
      </c>
      <c r="C580" s="20">
        <v>8.3965099362911797</v>
      </c>
      <c r="D580" s="20">
        <v>353.12399940066803</v>
      </c>
      <c r="E580" s="20">
        <v>-0.106417272212098</v>
      </c>
      <c r="F580" s="20">
        <v>-1.8600661380201999</v>
      </c>
      <c r="G580" s="20">
        <v>1.86310779978895</v>
      </c>
      <c r="H580" s="20">
        <v>2.7165571558642799E-3</v>
      </c>
      <c r="I580" s="20">
        <v>95.392336598788802</v>
      </c>
      <c r="J580" s="20">
        <v>290.86632603821926</v>
      </c>
      <c r="K580" s="20">
        <v>3.6940023406853846</v>
      </c>
      <c r="L580" s="20">
        <f t="shared" si="22"/>
        <v>290.8657406403326</v>
      </c>
      <c r="M580" s="20">
        <f t="shared" si="23"/>
        <v>-3.6939949061470001</v>
      </c>
    </row>
    <row r="581" spans="1:13" x14ac:dyDescent="0.2">
      <c r="A581" s="23">
        <v>138.5</v>
      </c>
      <c r="B581" s="20">
        <v>291.52916132092798</v>
      </c>
      <c r="C581" s="20">
        <v>8.4458242398253205</v>
      </c>
      <c r="D581" s="20">
        <v>353.10290391667797</v>
      </c>
      <c r="E581" s="20">
        <v>-0.106772933109236</v>
      </c>
      <c r="F581" s="20">
        <v>-1.8602510392021501</v>
      </c>
      <c r="G581" s="20">
        <v>1.8633127456488401</v>
      </c>
      <c r="H581" s="20">
        <v>2.6962184220005701E-3</v>
      </c>
      <c r="I581" s="20">
        <v>95.383232584358495</v>
      </c>
      <c r="J581" s="20">
        <v>291.65206365574647</v>
      </c>
      <c r="K581" s="20">
        <v>3.7039812084279804</v>
      </c>
      <c r="L581" s="20">
        <f t="shared" si="22"/>
        <v>291.65147667648398</v>
      </c>
      <c r="M581" s="20">
        <f t="shared" si="23"/>
        <v>-3.7039737538061628</v>
      </c>
    </row>
    <row r="582" spans="1:13" x14ac:dyDescent="0.2">
      <c r="A582" s="23">
        <v>138.75</v>
      </c>
      <c r="B582" s="20">
        <v>292.31387535642301</v>
      </c>
      <c r="C582" s="20">
        <v>8.4952875756285309</v>
      </c>
      <c r="D582" s="20">
        <v>353.08178556074898</v>
      </c>
      <c r="E582" s="20">
        <v>-0.10712888337636001</v>
      </c>
      <c r="F582" s="20">
        <v>-1.8604288679230401</v>
      </c>
      <c r="G582" s="20">
        <v>1.86351071106524</v>
      </c>
      <c r="H582" s="20">
        <v>2.6766697319380701E-3</v>
      </c>
      <c r="I582" s="20">
        <v>95.374631127069605</v>
      </c>
      <c r="J582" s="20">
        <v>292.43788378301713</v>
      </c>
      <c r="K582" s="20">
        <v>3.7139611240443173</v>
      </c>
      <c r="L582" s="20">
        <f t="shared" si="22"/>
        <v>292.43729522221173</v>
      </c>
      <c r="M582" s="20">
        <f t="shared" si="23"/>
        <v>-3.7139536493369452</v>
      </c>
    </row>
    <row r="583" spans="1:13" x14ac:dyDescent="0.2">
      <c r="A583" s="23">
        <v>139</v>
      </c>
      <c r="B583" s="20">
        <v>293.098662219461</v>
      </c>
      <c r="C583" s="20">
        <v>8.5448998402652201</v>
      </c>
      <c r="D583" s="20">
        <v>353.06064438032797</v>
      </c>
      <c r="E583" s="20">
        <v>-0.107485120353326</v>
      </c>
      <c r="F583" s="20">
        <v>-1.86059965889031</v>
      </c>
      <c r="G583" s="20">
        <v>1.86370173090013</v>
      </c>
      <c r="H583" s="20">
        <v>2.65791549231682E-3</v>
      </c>
      <c r="I583" s="20">
        <v>95.366530159684302</v>
      </c>
      <c r="J583" s="20">
        <v>293.22378347502331</v>
      </c>
      <c r="K583" s="20">
        <v>3.7239420501327962</v>
      </c>
      <c r="L583" s="20">
        <f t="shared" si="22"/>
        <v>293.22319333251568</v>
      </c>
      <c r="M583" s="20">
        <f t="shared" si="23"/>
        <v>-3.7239345553378449</v>
      </c>
    </row>
    <row r="584" spans="1:13" x14ac:dyDescent="0.2">
      <c r="A584" s="23">
        <v>139.25</v>
      </c>
      <c r="B584" s="20">
        <v>293.88351896097902</v>
      </c>
      <c r="C584" s="20">
        <v>8.5946609293836698</v>
      </c>
      <c r="D584" s="20">
        <v>353.03948042291199</v>
      </c>
      <c r="E584" s="20">
        <v>-0.10784164137977401</v>
      </c>
      <c r="F584" s="20">
        <v>-1.86076344668422</v>
      </c>
      <c r="G584" s="20">
        <v>1.8638858398870899</v>
      </c>
      <c r="H584" s="20">
        <v>2.6399596439600501E-3</v>
      </c>
      <c r="I584" s="20">
        <v>95.358927610759594</v>
      </c>
      <c r="J584" s="20">
        <v>294.00975980144887</v>
      </c>
      <c r="K584" s="20">
        <v>3.7339239494784007</v>
      </c>
      <c r="L584" s="20">
        <f t="shared" si="22"/>
        <v>294.00916807708427</v>
      </c>
      <c r="M584" s="20">
        <f t="shared" si="23"/>
        <v>-3.7339164345939055</v>
      </c>
    </row>
    <row r="585" spans="1:13" x14ac:dyDescent="0.2">
      <c r="A585" s="23">
        <v>139.5</v>
      </c>
      <c r="B585" s="20">
        <v>294.66844264659301</v>
      </c>
      <c r="C585" s="20">
        <v>8.6445707377232903</v>
      </c>
      <c r="D585" s="20">
        <v>353.01829373604198</v>
      </c>
      <c r="E585" s="20">
        <v>-0.10819844379518299</v>
      </c>
      <c r="F585" s="20">
        <v>-1.86092026575745</v>
      </c>
      <c r="G585" s="20">
        <v>1.8640630726309799</v>
      </c>
      <c r="H585" s="20">
        <v>2.6228056327626298E-3</v>
      </c>
      <c r="I585" s="20">
        <v>95.351821404868303</v>
      </c>
      <c r="J585" s="20">
        <v>294.79580984661152</v>
      </c>
      <c r="K585" s="20">
        <v>3.7439067850519669</v>
      </c>
      <c r="L585" s="20">
        <f t="shared" si="22"/>
        <v>294.79521654024165</v>
      </c>
      <c r="M585" s="20">
        <f t="shared" si="23"/>
        <v>-3.7438992500760446</v>
      </c>
    </row>
    <row r="586" spans="1:13" x14ac:dyDescent="0.2">
      <c r="A586" s="23">
        <v>139.75</v>
      </c>
      <c r="B586" s="20">
        <v>295.45343035654298</v>
      </c>
      <c r="C586" s="20">
        <v>8.6946291591217797</v>
      </c>
      <c r="D586" s="20">
        <v>352.99708436730498</v>
      </c>
      <c r="E586" s="20">
        <v>-0.10855552493892399</v>
      </c>
      <c r="F586" s="20">
        <v>-1.8610701504348</v>
      </c>
      <c r="G586" s="20">
        <v>1.8642334636075399</v>
      </c>
      <c r="H586" s="20">
        <v>2.6064563815582898E-3</v>
      </c>
      <c r="I586" s="20">
        <v>95.345209462816797</v>
      </c>
      <c r="J586" s="20">
        <v>295.58193070941093</v>
      </c>
      <c r="K586" s="20">
        <v>3.7538905200095187</v>
      </c>
      <c r="L586" s="20">
        <f t="shared" si="22"/>
        <v>295.58133582089255</v>
      </c>
      <c r="M586" s="20">
        <f t="shared" si="23"/>
        <v>-3.7538829649403511</v>
      </c>
    </row>
    <row r="587" spans="1:13" x14ac:dyDescent="0.2">
      <c r="A587" s="23">
        <v>140</v>
      </c>
      <c r="B587" s="20">
        <v>296.23847918564098</v>
      </c>
      <c r="C587" s="20">
        <v>8.7448360865223194</v>
      </c>
      <c r="D587" s="20">
        <v>352.975852364334</v>
      </c>
      <c r="E587" s="20">
        <v>-0.108912882150318</v>
      </c>
      <c r="F587" s="20">
        <v>-1.86121313491283</v>
      </c>
      <c r="G587" s="20">
        <v>1.86439704716306</v>
      </c>
      <c r="H587" s="20">
        <v>2.5909142632196602E-3</v>
      </c>
      <c r="I587" s="20">
        <v>95.339089701859805</v>
      </c>
      <c r="J587" s="20">
        <v>296.36811950327206</v>
      </c>
      <c r="K587" s="20">
        <v>3.7638751176915557</v>
      </c>
      <c r="L587" s="20">
        <f t="shared" si="22"/>
        <v>296.36752303246993</v>
      </c>
      <c r="M587" s="20">
        <f t="shared" si="23"/>
        <v>-3.7638675425274237</v>
      </c>
    </row>
    <row r="588" spans="1:13" x14ac:dyDescent="0.2">
      <c r="A588" s="23">
        <v>140.25</v>
      </c>
      <c r="B588" s="20">
        <v>297.023586243213</v>
      </c>
      <c r="C588" s="20">
        <v>8.7951914119805998</v>
      </c>
      <c r="D588" s="20">
        <v>352.95459777480897</v>
      </c>
      <c r="E588" s="20">
        <v>-0.109270512768692</v>
      </c>
      <c r="F588" s="20">
        <v>-1.8613492532595299</v>
      </c>
      <c r="G588" s="20">
        <v>1.8645538575140601</v>
      </c>
      <c r="H588" s="20">
        <v>2.5761810752462102E-3</v>
      </c>
      <c r="I588" s="20">
        <v>95.333460035911898</v>
      </c>
      <c r="J588" s="20">
        <v>297.15437335609448</v>
      </c>
      <c r="K588" s="20">
        <v>3.7738605416224003</v>
      </c>
      <c r="L588" s="20">
        <f t="shared" si="22"/>
        <v>297.15377530287714</v>
      </c>
      <c r="M588" s="20">
        <f t="shared" si="23"/>
        <v>-3.7738529463616355</v>
      </c>
    </row>
    <row r="589" spans="1:13" x14ac:dyDescent="0.2">
      <c r="A589" s="23">
        <v>140.5</v>
      </c>
      <c r="B589" s="20">
        <v>297.80874865304497</v>
      </c>
      <c r="C589" s="20">
        <v>8.8456950266718408</v>
      </c>
      <c r="D589" s="20">
        <v>352.93332064645602</v>
      </c>
      <c r="E589" s="20">
        <v>-0.109628414133428</v>
      </c>
      <c r="F589" s="20">
        <v>-1.8614785394140301</v>
      </c>
      <c r="G589" s="20">
        <v>1.86470392874697</v>
      </c>
      <c r="H589" s="20">
        <v>2.5622580160929E-3</v>
      </c>
      <c r="I589" s="20">
        <v>95.328318375756297</v>
      </c>
      <c r="J589" s="20">
        <v>297.94068941019196</v>
      </c>
      <c r="K589" s="20">
        <v>3.7838467555094382</v>
      </c>
      <c r="L589" s="20">
        <f t="shared" si="22"/>
        <v>297.94008977443332</v>
      </c>
      <c r="M589" s="20">
        <f t="shared" si="23"/>
        <v>-3.7838391401504383</v>
      </c>
    </row>
    <row r="590" spans="1:13" x14ac:dyDescent="0.2">
      <c r="A590" s="23">
        <v>140.75</v>
      </c>
      <c r="B590" s="20">
        <v>298.59396355333303</v>
      </c>
      <c r="C590" s="20">
        <v>8.8963468208977297</v>
      </c>
      <c r="D590" s="20">
        <v>352.91202102704602</v>
      </c>
      <c r="E590" s="20">
        <v>-0.109986583584019</v>
      </c>
      <c r="F590" s="20">
        <v>-1.86160102718628</v>
      </c>
      <c r="G590" s="20">
        <v>1.86484729481786</v>
      </c>
      <c r="H590" s="20">
        <v>2.5491456634861099E-3</v>
      </c>
      <c r="I590" s="20">
        <v>95.323662629251501</v>
      </c>
      <c r="J590" s="20">
        <v>298.72706482224271</v>
      </c>
      <c r="K590" s="20">
        <v>3.7938337232424826</v>
      </c>
      <c r="L590" s="20">
        <f t="shared" si="22"/>
        <v>298.72646360382413</v>
      </c>
      <c r="M590" s="20">
        <f t="shared" si="23"/>
        <v>-3.7938260877837413</v>
      </c>
    </row>
    <row r="591" spans="1:13" x14ac:dyDescent="0.2">
      <c r="A591" s="23">
        <v>141</v>
      </c>
      <c r="B591" s="20">
        <v>299.379228096622</v>
      </c>
      <c r="C591" s="20">
        <v>8.9471466840933704</v>
      </c>
      <c r="D591" s="20">
        <v>352.89069896439798</v>
      </c>
      <c r="E591" s="20">
        <v>-0.11034501846012899</v>
      </c>
      <c r="F591" s="20">
        <v>-1.8617167502568099</v>
      </c>
      <c r="G591" s="20">
        <v>1.8649839895521201</v>
      </c>
      <c r="H591" s="20">
        <v>2.5368439549631398E-3</v>
      </c>
      <c r="I591" s="20">
        <v>95.319490701533596</v>
      </c>
      <c r="J591" s="20">
        <v>299.51349676323099</v>
      </c>
      <c r="K591" s="20">
        <v>3.8038214088930338</v>
      </c>
      <c r="L591" s="20">
        <f t="shared" si="22"/>
        <v>299.51289396203947</v>
      </c>
      <c r="M591" s="20">
        <f t="shared" si="23"/>
        <v>-3.8038137533331162</v>
      </c>
    </row>
    <row r="592" spans="1:13" x14ac:dyDescent="0.2">
      <c r="A592" s="23">
        <v>141.25</v>
      </c>
      <c r="B592" s="20">
        <v>300.164539449752</v>
      </c>
      <c r="C592" s="20">
        <v>8.9980945048340608</v>
      </c>
      <c r="D592" s="20">
        <v>352.86935450637498</v>
      </c>
      <c r="E592" s="20">
        <v>-0.110703716101638</v>
      </c>
      <c r="F592" s="20">
        <v>-1.8618257421764299</v>
      </c>
      <c r="G592" s="20">
        <v>1.86511404664421</v>
      </c>
      <c r="H592" s="20">
        <v>2.5253521708578099E-3</v>
      </c>
      <c r="I592" s="20">
        <v>95.315800495216806</v>
      </c>
      <c r="J592" s="20">
        <v>300.29998241839439</v>
      </c>
      <c r="K592" s="20">
        <v>3.8138097767136094</v>
      </c>
      <c r="L592" s="20">
        <f t="shared" si="22"/>
        <v>300.29937803432034</v>
      </c>
      <c r="M592" s="20">
        <f t="shared" si="23"/>
        <v>-3.8138021010511238</v>
      </c>
    </row>
    <row r="593" spans="1:13" x14ac:dyDescent="0.2">
      <c r="A593" s="23">
        <v>141.5</v>
      </c>
      <c r="B593" s="20">
        <v>300.949894793807</v>
      </c>
      <c r="C593" s="20">
        <v>9.0491901708420706</v>
      </c>
      <c r="D593" s="20">
        <v>352.84798770088798</v>
      </c>
      <c r="E593" s="20">
        <v>-0.111062673848702</v>
      </c>
      <c r="F593" s="20">
        <v>-1.861928036366</v>
      </c>
      <c r="G593" s="20">
        <v>1.8652374996573899</v>
      </c>
      <c r="H593" s="20">
        <v>2.5146689199359099E-3</v>
      </c>
      <c r="I593" s="20">
        <v>95.312589910590702</v>
      </c>
      <c r="J593" s="20">
        <v>301.0865189871655</v>
      </c>
      <c r="K593" s="20">
        <v>3.8237987911370022</v>
      </c>
      <c r="L593" s="20">
        <f t="shared" si="22"/>
        <v>301.08591302010723</v>
      </c>
      <c r="M593" s="20">
        <f t="shared" si="23"/>
        <v>-3.8237910953706571</v>
      </c>
    </row>
    <row r="594" spans="1:13" x14ac:dyDescent="0.2">
      <c r="A594" s="23">
        <v>141.75</v>
      </c>
      <c r="B594" s="20">
        <v>301.73529132405599</v>
      </c>
      <c r="C594" s="20">
        <v>9.1004335689934006</v>
      </c>
      <c r="D594" s="20">
        <v>352.82659859589302</v>
      </c>
      <c r="E594" s="20">
        <v>-0.111421889041805</v>
      </c>
      <c r="F594" s="20">
        <v>-1.86202366611619</v>
      </c>
      <c r="G594" s="20">
        <v>1.8653543820235401</v>
      </c>
      <c r="H594" s="20">
        <v>2.50479212786325E-3</v>
      </c>
      <c r="I594" s="20">
        <v>95.309856845814707</v>
      </c>
      <c r="J594" s="20">
        <v>301.87310368312075</v>
      </c>
      <c r="K594" s="20">
        <v>3.8337884167756338</v>
      </c>
      <c r="L594" s="20">
        <f t="shared" si="22"/>
        <v>301.87249613298093</v>
      </c>
      <c r="M594" s="20">
        <f t="shared" si="23"/>
        <v>-3.8337807009041929</v>
      </c>
    </row>
    <row r="595" spans="1:13" x14ac:dyDescent="0.2">
      <c r="A595" s="23">
        <v>142</v>
      </c>
      <c r="B595" s="20">
        <v>302.52072624989802</v>
      </c>
      <c r="C595" s="20">
        <v>9.1518245853243894</v>
      </c>
      <c r="D595" s="20">
        <v>352.80518723939099</v>
      </c>
      <c r="E595" s="20">
        <v>-0.111781359021809</v>
      </c>
      <c r="F595" s="20">
        <v>-1.8621126645872501</v>
      </c>
      <c r="G595" s="20">
        <v>1.86546472704283</v>
      </c>
      <c r="H595" s="20">
        <v>2.4957190286626399E-3</v>
      </c>
      <c r="I595" s="20">
        <v>95.307599197109994</v>
      </c>
      <c r="J595" s="20">
        <v>302.6597337339204</v>
      </c>
      <c r="K595" s="20">
        <v>3.8437786184207892</v>
      </c>
      <c r="L595" s="20">
        <f t="shared" si="22"/>
        <v>302.65912460060787</v>
      </c>
      <c r="M595" s="20">
        <f t="shared" si="23"/>
        <v>-3.8437708824430947</v>
      </c>
    </row>
    <row r="596" spans="1:13" x14ac:dyDescent="0.2">
      <c r="A596" s="23">
        <v>142.25</v>
      </c>
      <c r="B596" s="20">
        <v>303.30619679480799</v>
      </c>
      <c r="C596" s="20">
        <v>9.2033631050383402</v>
      </c>
      <c r="D596" s="20">
        <v>352.78375367943198</v>
      </c>
      <c r="E596" s="20">
        <v>-0.112141081130013</v>
      </c>
      <c r="F596" s="20">
        <v>-1.8621950648088099</v>
      </c>
      <c r="G596" s="20">
        <v>1.86556856788361</v>
      </c>
      <c r="H596" s="20">
        <v>2.4874461592888802E-3</v>
      </c>
      <c r="I596" s="20">
        <v>95.305814858948096</v>
      </c>
      <c r="J596" s="20">
        <v>303.44640638125577</v>
      </c>
      <c r="K596" s="20">
        <v>3.8537693610419486</v>
      </c>
      <c r="L596" s="20">
        <f t="shared" si="22"/>
        <v>303.44579566468531</v>
      </c>
      <c r="M596" s="20">
        <f t="shared" si="23"/>
        <v>-3.8537616049569188</v>
      </c>
    </row>
    <row r="597" spans="1:13" x14ac:dyDescent="0.2">
      <c r="A597" s="23">
        <v>142.5</v>
      </c>
      <c r="B597" s="20">
        <v>304.09170019628101</v>
      </c>
      <c r="C597" s="20">
        <v>9.2550490125120408</v>
      </c>
      <c r="D597" s="20">
        <v>352.762297964109</v>
      </c>
      <c r="E597" s="20">
        <v>-0.112501052708203</v>
      </c>
      <c r="F597" s="20">
        <v>-1.86227089967968</v>
      </c>
      <c r="G597" s="20">
        <v>1.8656659375821301</v>
      </c>
      <c r="H597" s="20">
        <v>2.4799693574182502E-3</v>
      </c>
      <c r="I597" s="20">
        <v>95.304501724237397</v>
      </c>
      <c r="J597" s="20">
        <v>304.2331188807949</v>
      </c>
      <c r="K597" s="20">
        <v>3.8637606097860955</v>
      </c>
      <c r="L597" s="20">
        <f t="shared" si="22"/>
        <v>304.23250658088602</v>
      </c>
      <c r="M597" s="20">
        <f t="shared" si="23"/>
        <v>-3.8637528335927076</v>
      </c>
    </row>
    <row r="598" spans="1:13" x14ac:dyDescent="0.2">
      <c r="A598" s="23">
        <v>142.75</v>
      </c>
      <c r="B598" s="20">
        <v>304.87723370577498</v>
      </c>
      <c r="C598" s="20">
        <v>9.3068821913022592</v>
      </c>
      <c r="D598" s="20">
        <v>352.74082014156301</v>
      </c>
      <c r="E598" s="20">
        <v>-0.112861271098702</v>
      </c>
      <c r="F598" s="20">
        <v>-1.86234020196767</v>
      </c>
      <c r="G598" s="20">
        <v>1.86575686904242</v>
      </c>
      <c r="H598" s="20">
        <v>2.4732837625167101E-3</v>
      </c>
      <c r="I598" s="20">
        <v>95.303657684506305</v>
      </c>
      <c r="J598" s="20">
        <v>305.01986850212205</v>
      </c>
      <c r="K598" s="20">
        <v>3.8737523299769503</v>
      </c>
      <c r="L598" s="20">
        <f t="shared" si="22"/>
        <v>305.01925461880029</v>
      </c>
      <c r="M598" s="20">
        <f t="shared" si="23"/>
        <v>-3.8737445336742589</v>
      </c>
    </row>
    <row r="599" spans="1:13" x14ac:dyDescent="0.2">
      <c r="A599" s="23">
        <v>143</v>
      </c>
      <c r="B599" s="20">
        <v>305.66279458865699</v>
      </c>
      <c r="C599" s="20">
        <v>9.3588625241521495</v>
      </c>
      <c r="D599" s="20">
        <v>352.71932025998001</v>
      </c>
      <c r="E599" s="20">
        <v>-0.113221733644428</v>
      </c>
      <c r="F599" s="20">
        <v>-1.8624030043094</v>
      </c>
      <c r="G599" s="20">
        <v>1.8658413950360599</v>
      </c>
      <c r="H599" s="20">
        <v>2.46738382021541E-3</v>
      </c>
      <c r="I599" s="20">
        <v>95.303280630083904</v>
      </c>
      <c r="J599" s="20">
        <v>305.8066525286867</v>
      </c>
      <c r="K599" s="20">
        <v>3.8837444871143214</v>
      </c>
      <c r="L599" s="20">
        <f t="shared" si="22"/>
        <v>305.80603706188253</v>
      </c>
      <c r="M599" s="20">
        <f t="shared" si="23"/>
        <v>-3.8837366707014431</v>
      </c>
    </row>
    <row r="600" spans="1:13" x14ac:dyDescent="0.2">
      <c r="A600" s="23">
        <v>143.25</v>
      </c>
      <c r="B600" s="20">
        <v>306.448380124148</v>
      </c>
      <c r="C600" s="20">
        <v>9.4109898929975895</v>
      </c>
      <c r="D600" s="20">
        <v>352.69779836759199</v>
      </c>
      <c r="E600" s="20">
        <v>-0.11358243768894299</v>
      </c>
      <c r="F600" s="20">
        <v>-1.86245933921018</v>
      </c>
      <c r="G600" s="20">
        <v>1.8659195482020601</v>
      </c>
      <c r="H600" s="20">
        <v>2.4622632899867799E-3</v>
      </c>
      <c r="I600" s="20">
        <v>95.303368450278199</v>
      </c>
      <c r="J600" s="20">
        <v>306.59346825774611</v>
      </c>
      <c r="K600" s="20">
        <v>3.8937370468733761</v>
      </c>
      <c r="L600" s="20">
        <f t="shared" si="22"/>
        <v>306.59285120739594</v>
      </c>
      <c r="M600" s="20">
        <f t="shared" si="23"/>
        <v>-3.8937292103495036</v>
      </c>
    </row>
    <row r="601" spans="1:13" x14ac:dyDescent="0.2">
      <c r="A601" s="23">
        <v>143.5</v>
      </c>
      <c r="B601" s="20">
        <v>307.233987605263</v>
      </c>
      <c r="C601" s="20">
        <v>9.4632641789735601</v>
      </c>
      <c r="D601" s="20">
        <v>352.676254512676</v>
      </c>
      <c r="E601" s="20">
        <v>-0.11394338057650701</v>
      </c>
      <c r="F601" s="20">
        <v>-1.86250923904383</v>
      </c>
      <c r="G601" s="20">
        <v>1.8659913610466701</v>
      </c>
      <c r="H601" s="20">
        <v>2.45791525607821E-3</v>
      </c>
      <c r="I601" s="20">
        <v>95.303919033551495</v>
      </c>
      <c r="J601" s="20">
        <v>307.3803130003069</v>
      </c>
      <c r="K601" s="20">
        <v>3.9037299751038979</v>
      </c>
      <c r="L601" s="20">
        <f t="shared" si="22"/>
        <v>307.37969436635194</v>
      </c>
      <c r="M601" s="20">
        <f t="shared" si="23"/>
        <v>-3.9037221184682851</v>
      </c>
    </row>
    <row r="602" spans="1:13" x14ac:dyDescent="0.2">
      <c r="A602" s="23">
        <v>143.75</v>
      </c>
      <c r="B602" s="20">
        <v>308.01961433876102</v>
      </c>
      <c r="C602" s="20">
        <v>9.5156852624202894</v>
      </c>
      <c r="D602" s="20">
        <v>352.65468874355702</v>
      </c>
      <c r="E602" s="20">
        <v>-0.11430455965212701</v>
      </c>
      <c r="F602" s="20">
        <v>-1.86255273605255</v>
      </c>
      <c r="G602" s="20">
        <v>1.8660568659432999</v>
      </c>
      <c r="H602" s="20">
        <v>2.45433214162465E-3</v>
      </c>
      <c r="I602" s="20">
        <v>95.304930267692697</v>
      </c>
      <c r="J602" s="20">
        <v>308.16718408107295</v>
      </c>
      <c r="K602" s="20">
        <v>3.9137232378296263</v>
      </c>
      <c r="L602" s="20">
        <f t="shared" si="22"/>
        <v>308.16656386346091</v>
      </c>
      <c r="M602" s="20">
        <f t="shared" si="23"/>
        <v>-3.9137153610816084</v>
      </c>
    </row>
    <row r="603" spans="1:13" x14ac:dyDescent="0.2">
      <c r="A603" s="23">
        <v>144</v>
      </c>
      <c r="B603" s="20">
        <v>308.805257645084</v>
      </c>
      <c r="C603" s="20">
        <v>9.5682530228895093</v>
      </c>
      <c r="D603" s="20">
        <v>352.63310110860402</v>
      </c>
      <c r="E603" s="20">
        <v>-0.114665972261615</v>
      </c>
      <c r="F603" s="20">
        <v>-1.86258986234684</v>
      </c>
      <c r="G603" s="20">
        <v>1.8661160951323299</v>
      </c>
      <c r="H603" s="20">
        <v>2.4515057258278298E-3</v>
      </c>
      <c r="I603" s="20">
        <v>95.306400039987594</v>
      </c>
      <c r="J603" s="20">
        <v>308.95407883838817</v>
      </c>
      <c r="K603" s="20">
        <v>3.9237168012475303</v>
      </c>
      <c r="L603" s="20">
        <f t="shared" si="22"/>
        <v>308.95345703707011</v>
      </c>
      <c r="M603" s="20">
        <f t="shared" si="23"/>
        <v>-3.9237089043864852</v>
      </c>
    </row>
    <row r="604" spans="1:13" x14ac:dyDescent="0.2">
      <c r="A604" s="23">
        <v>144.25</v>
      </c>
      <c r="B604" s="20">
        <v>309.59091485830402</v>
      </c>
      <c r="C604" s="20">
        <v>9.6209673391505692</v>
      </c>
      <c r="D604" s="20">
        <v>352.61149165623101</v>
      </c>
      <c r="E604" s="20">
        <v>-0.11502761575163099</v>
      </c>
      <c r="F604" s="20">
        <v>-1.8626206499053299</v>
      </c>
      <c r="G604" s="20">
        <v>1.86616908072105</v>
      </c>
      <c r="H604" s="20">
        <v>2.4494271640563502E-3</v>
      </c>
      <c r="I604" s="20">
        <v>95.308326237386197</v>
      </c>
      <c r="J604" s="20">
        <v>309.74099462417786</v>
      </c>
      <c r="K604" s="20">
        <v>3.9337106317270587</v>
      </c>
      <c r="L604" s="20">
        <f t="shared" ref="L604:L667" si="24">SQRT(B604^2+C604^2)</f>
        <v>309.74037123911154</v>
      </c>
      <c r="M604" s="20">
        <f t="shared" ref="M604:M667" si="25">-L604/A$25*100</f>
        <v>-3.9337027147524517</v>
      </c>
    </row>
    <row r="605" spans="1:13" x14ac:dyDescent="0.2">
      <c r="A605" s="23">
        <v>144.5</v>
      </c>
      <c r="B605" s="20">
        <v>310.37658332606799</v>
      </c>
      <c r="C605" s="20">
        <v>9.6738280891964692</v>
      </c>
      <c r="D605" s="20">
        <v>352.58986043490103</v>
      </c>
      <c r="E605" s="20">
        <v>-0.11538948746974299</v>
      </c>
      <c r="F605" s="20">
        <v>-1.86264513057472</v>
      </c>
      <c r="G605" s="20">
        <v>1.8662158546835499</v>
      </c>
      <c r="H605" s="20">
        <v>2.4480870106920599E-3</v>
      </c>
      <c r="I605" s="20">
        <v>95.310706746668004</v>
      </c>
      <c r="J605" s="20">
        <v>310.52792880389535</v>
      </c>
      <c r="K605" s="20">
        <v>3.9437046958094713</v>
      </c>
      <c r="L605" s="20">
        <f t="shared" si="24"/>
        <v>310.52730383504598</v>
      </c>
      <c r="M605" s="20">
        <f t="shared" si="25"/>
        <v>-3.9436967587208591</v>
      </c>
    </row>
    <row r="606" spans="1:13" x14ac:dyDescent="0.2">
      <c r="A606" s="23">
        <v>144.75</v>
      </c>
      <c r="B606" s="20">
        <v>311.16226040953501</v>
      </c>
      <c r="C606" s="20">
        <v>9.7268351502499293</v>
      </c>
      <c r="D606" s="20">
        <v>352.568207493118</v>
      </c>
      <c r="E606" s="20">
        <v>-0.115751584764473</v>
      </c>
      <c r="F606" s="20">
        <v>-1.8626633360697</v>
      </c>
      <c r="G606" s="20">
        <v>1.8662564488605999</v>
      </c>
      <c r="H606" s="20">
        <v>2.4474752445201599E-3</v>
      </c>
      <c r="I606" s="20">
        <v>95.313539454603699</v>
      </c>
      <c r="J606" s="20">
        <v>311.31487875646752</v>
      </c>
      <c r="K606" s="20">
        <v>3.953698960207138</v>
      </c>
      <c r="L606" s="20">
        <f t="shared" si="24"/>
        <v>311.31425220380032</v>
      </c>
      <c r="M606" s="20">
        <f t="shared" si="25"/>
        <v>-3.9536910030040793</v>
      </c>
    </row>
    <row r="607" spans="1:13" x14ac:dyDescent="0.2">
      <c r="A607" s="23">
        <v>145</v>
      </c>
      <c r="B607" s="20">
        <v>311.94794348333102</v>
      </c>
      <c r="C607" s="20">
        <v>9.7799883987692802</v>
      </c>
      <c r="D607" s="20">
        <v>352.54653287943597</v>
      </c>
      <c r="E607" s="20">
        <v>-0.11611390498535</v>
      </c>
      <c r="F607" s="20">
        <v>-1.86267529797284</v>
      </c>
      <c r="G607" s="20">
        <v>1.86629089495961</v>
      </c>
      <c r="H607" s="20">
        <v>2.4475812964376E-3</v>
      </c>
      <c r="I607" s="20">
        <v>95.316822248115002</v>
      </c>
      <c r="J607" s="20">
        <v>312.10184187423187</v>
      </c>
      <c r="K607" s="20">
        <v>3.963693391802745</v>
      </c>
      <c r="L607" s="20">
        <f t="shared" si="24"/>
        <v>312.1012137377225</v>
      </c>
      <c r="M607" s="20">
        <f t="shared" si="25"/>
        <v>-3.9636854144849307</v>
      </c>
    </row>
    <row r="608" spans="1:13" x14ac:dyDescent="0.2">
      <c r="A608" s="23">
        <v>145.25</v>
      </c>
      <c r="B608" s="20">
        <v>312.73362993548199</v>
      </c>
      <c r="C608" s="20">
        <v>9.8332877104544103</v>
      </c>
      <c r="D608" s="20">
        <v>352.52483664245102</v>
      </c>
      <c r="E608" s="20">
        <v>-0.116476445482963</v>
      </c>
      <c r="F608" s="20">
        <v>-1.8626810477345701</v>
      </c>
      <c r="G608" s="20">
        <v>1.8663192245545499</v>
      </c>
      <c r="H608" s="20">
        <v>2.4483940792344801E-3</v>
      </c>
      <c r="I608" s="20">
        <v>95.320553014432306</v>
      </c>
      <c r="J608" s="20">
        <v>312.88881556288675</v>
      </c>
      <c r="K608" s="20">
        <v>3.9736879576486617</v>
      </c>
      <c r="L608" s="20">
        <f t="shared" si="24"/>
        <v>312.88818584251396</v>
      </c>
      <c r="M608" s="20">
        <f t="shared" si="25"/>
        <v>-3.9736799602158221</v>
      </c>
    </row>
    <row r="609" spans="1:13" x14ac:dyDescent="0.2">
      <c r="A609" s="23">
        <v>145.5</v>
      </c>
      <c r="B609" s="20">
        <v>313.51931716736402</v>
      </c>
      <c r="C609" s="20">
        <v>9.8867329602525693</v>
      </c>
      <c r="D609" s="20">
        <v>352.50311883080599</v>
      </c>
      <c r="E609" s="20">
        <v>-0.116839203609005</v>
      </c>
      <c r="F609" s="20">
        <v>-1.86268061667309</v>
      </c>
      <c r="G609" s="20">
        <v>1.86634146908587</v>
      </c>
      <c r="H609" s="20">
        <v>2.4499020191875E-3</v>
      </c>
      <c r="I609" s="20">
        <v>95.324729641249107</v>
      </c>
      <c r="J609" s="20">
        <v>313.675797241434</v>
      </c>
      <c r="K609" s="20">
        <v>3.9836826249662125</v>
      </c>
      <c r="L609" s="20">
        <f t="shared" si="24"/>
        <v>313.67516593718022</v>
      </c>
      <c r="M609" s="20">
        <f t="shared" si="25"/>
        <v>-3.9836746074181235</v>
      </c>
    </row>
    <row r="610" spans="1:13" x14ac:dyDescent="0.2">
      <c r="A610" s="23">
        <v>145.75</v>
      </c>
      <c r="B610" s="20">
        <v>314.305002593648</v>
      </c>
      <c r="C610" s="20">
        <v>9.9403240223641909</v>
      </c>
      <c r="D610" s="20">
        <v>352.481379493188</v>
      </c>
      <c r="E610" s="20">
        <v>-0.117202176716334</v>
      </c>
      <c r="F610" s="20">
        <v>-1.8626740359743601</v>
      </c>
      <c r="G610" s="20">
        <v>1.86635765986052</v>
      </c>
      <c r="H610" s="20">
        <v>2.4520930891934701E-3</v>
      </c>
      <c r="I610" s="20">
        <v>95.329350016874301</v>
      </c>
      <c r="J610" s="20">
        <v>314.46278434211962</v>
      </c>
      <c r="K610" s="20">
        <v>3.9936773611449192</v>
      </c>
      <c r="L610" s="20">
        <f t="shared" si="24"/>
        <v>314.46215145397497</v>
      </c>
      <c r="M610" s="20">
        <f t="shared" si="25"/>
        <v>-3.9936693234814564</v>
      </c>
    </row>
    <row r="611" spans="1:13" x14ac:dyDescent="0.2">
      <c r="A611" s="23">
        <v>146</v>
      </c>
      <c r="B611" s="20">
        <v>315.09068364223799</v>
      </c>
      <c r="C611" s="20">
        <v>9.9940607702485593</v>
      </c>
      <c r="D611" s="20">
        <v>352.45961867833199</v>
      </c>
      <c r="E611" s="20">
        <v>-0.117565362159013</v>
      </c>
      <c r="F611" s="20">
        <v>-1.8626613366920499</v>
      </c>
      <c r="G611" s="20">
        <v>1.8663678280518501</v>
      </c>
      <c r="H611" s="20">
        <v>2.4549548431633799E-3</v>
      </c>
      <c r="I611" s="20">
        <v>95.334412030381998</v>
      </c>
      <c r="J611" s="20">
        <v>315.24977431037968</v>
      </c>
      <c r="K611" s="20">
        <v>4.003672133741822</v>
      </c>
      <c r="L611" s="20">
        <f t="shared" si="24"/>
        <v>315.24913983833852</v>
      </c>
      <c r="M611" s="20">
        <f t="shared" si="25"/>
        <v>-4.0036640759629138</v>
      </c>
    </row>
    <row r="612" spans="1:13" x14ac:dyDescent="0.2">
      <c r="A612" s="23">
        <v>146.25</v>
      </c>
      <c r="B612" s="20">
        <v>315.87635775421899</v>
      </c>
      <c r="C612" s="20">
        <v>10.047943076629499</v>
      </c>
      <c r="D612" s="20">
        <v>352.43783643501502</v>
      </c>
      <c r="E612" s="20">
        <v>-0.117928757292368</v>
      </c>
      <c r="F612" s="20">
        <v>-1.8626425497475101</v>
      </c>
      <c r="G612" s="20">
        <v>1.86637200469961</v>
      </c>
      <c r="H612" s="20">
        <v>2.45847445139513E-3</v>
      </c>
      <c r="I612" s="20">
        <v>95.3399135717588</v>
      </c>
      <c r="J612" s="20">
        <v>316.03676460478476</v>
      </c>
      <c r="K612" s="20">
        <v>4.013666910480767</v>
      </c>
      <c r="L612" s="20">
        <f t="shared" si="24"/>
        <v>316.03612854884568</v>
      </c>
      <c r="M612" s="20">
        <f t="shared" si="25"/>
        <v>-4.0136588325863949</v>
      </c>
    </row>
    <row r="613" spans="1:13" x14ac:dyDescent="0.2">
      <c r="A613" s="23">
        <v>146.5</v>
      </c>
      <c r="B613" s="20">
        <v>316.662022383801</v>
      </c>
      <c r="C613" s="20">
        <v>10.101970813501101</v>
      </c>
      <c r="D613" s="20">
        <v>352.41603281206102</v>
      </c>
      <c r="E613" s="20">
        <v>-0.118292359473034</v>
      </c>
      <c r="F613" s="20">
        <v>-1.8626177059298199</v>
      </c>
      <c r="G613" s="20">
        <v>1.8663702207099599</v>
      </c>
      <c r="H613" s="20">
        <v>2.46263873664441E-3</v>
      </c>
      <c r="I613" s="20">
        <v>95.345852532048895</v>
      </c>
      <c r="J613" s="20">
        <v>316.82375269698156</v>
      </c>
      <c r="K613" s="20">
        <v>4.0236616592516663</v>
      </c>
      <c r="L613" s="20">
        <f t="shared" si="24"/>
        <v>316.82311505714938</v>
      </c>
      <c r="M613" s="20">
        <f t="shared" si="25"/>
        <v>-4.0236535612418916</v>
      </c>
    </row>
    <row r="614" spans="1:13" x14ac:dyDescent="0.2">
      <c r="A614" s="23">
        <v>146.75</v>
      </c>
      <c r="B614" s="20">
        <v>317.44767499826003</v>
      </c>
      <c r="C614" s="20">
        <v>10.156143852132899</v>
      </c>
      <c r="D614" s="20">
        <v>352.39420785833698</v>
      </c>
      <c r="E614" s="20">
        <v>-0.118656166059006</v>
      </c>
      <c r="F614" s="20">
        <v>-1.8625868358956801</v>
      </c>
      <c r="G614" s="20">
        <v>1.8663625068554399</v>
      </c>
      <c r="H614" s="20">
        <v>2.46743421061736E-3</v>
      </c>
      <c r="I614" s="20">
        <v>95.352226803496805</v>
      </c>
      <c r="J614" s="20">
        <v>317.61073607163695</v>
      </c>
      <c r="K614" s="20">
        <v>4.0336563481097896</v>
      </c>
      <c r="L614" s="20">
        <f t="shared" si="24"/>
        <v>317.61009684792162</v>
      </c>
      <c r="M614" s="20">
        <f t="shared" si="25"/>
        <v>-4.0336482299847392</v>
      </c>
    </row>
    <row r="615" spans="1:13" x14ac:dyDescent="0.2">
      <c r="A615" s="23">
        <v>147</v>
      </c>
      <c r="B615" s="20">
        <v>318.23331307788402</v>
      </c>
      <c r="C615" s="20">
        <v>10.2104620630761</v>
      </c>
      <c r="D615" s="20">
        <v>352.37236162275701</v>
      </c>
      <c r="E615" s="20">
        <v>-0.119020174409689</v>
      </c>
      <c r="F615" s="20">
        <v>-1.86254997016955</v>
      </c>
      <c r="G615" s="20">
        <v>1.8663488937749899</v>
      </c>
      <c r="H615" s="20">
        <v>2.4728471106188498E-3</v>
      </c>
      <c r="I615" s="20">
        <v>95.359034279687293</v>
      </c>
      <c r="J615" s="20">
        <v>318.39771222638478</v>
      </c>
      <c r="K615" s="20">
        <v>4.0436509452750871</v>
      </c>
      <c r="L615" s="20">
        <f t="shared" si="24"/>
        <v>318.39707141879944</v>
      </c>
      <c r="M615" s="20">
        <f t="shared" si="25"/>
        <v>-4.043642807034928</v>
      </c>
    </row>
    <row r="616" spans="1:13" x14ac:dyDescent="0.2">
      <c r="A616" s="23">
        <v>147.25</v>
      </c>
      <c r="B616" s="20">
        <v>319.018934115918</v>
      </c>
      <c r="C616" s="20">
        <v>10.264925316168</v>
      </c>
      <c r="D616" s="20">
        <v>352.35049415427801</v>
      </c>
      <c r="E616" s="20">
        <v>-0.11938438188594799</v>
      </c>
      <c r="F616" s="20">
        <v>-1.8625071391435699</v>
      </c>
      <c r="G616" s="20">
        <v>1.86632941197396</v>
      </c>
      <c r="H616" s="20">
        <v>2.4788634361004999E-3</v>
      </c>
      <c r="I616" s="20">
        <v>95.366272855683206</v>
      </c>
      <c r="J616" s="20">
        <v>319.18467867176446</v>
      </c>
      <c r="K616" s="20">
        <v>4.0536454191314091</v>
      </c>
      <c r="L616" s="20">
        <f t="shared" si="24"/>
        <v>319.18403628032991</v>
      </c>
      <c r="M616" s="20">
        <f t="shared" si="25"/>
        <v>-4.0536372607764042</v>
      </c>
    </row>
    <row r="617" spans="1:13" x14ac:dyDescent="0.2">
      <c r="A617" s="23">
        <v>147.5</v>
      </c>
      <c r="B617" s="20">
        <v>319.804535618503</v>
      </c>
      <c r="C617" s="20">
        <v>10.319533480538301</v>
      </c>
      <c r="D617" s="20">
        <v>352.32860550190298</v>
      </c>
      <c r="E617" s="20">
        <v>-0.119748785850156</v>
      </c>
      <c r="F617" s="20">
        <v>-1.8624583730776401</v>
      </c>
      <c r="G617" s="20">
        <v>1.86630409182416</v>
      </c>
      <c r="H617" s="20">
        <v>2.4854689848677301E-3</v>
      </c>
      <c r="I617" s="20">
        <v>95.373940428161404</v>
      </c>
      <c r="J617" s="20">
        <v>319.97163293116813</v>
      </c>
      <c r="K617" s="20">
        <v>4.0636397382258354</v>
      </c>
      <c r="L617" s="20">
        <f t="shared" si="24"/>
        <v>319.97098895590875</v>
      </c>
      <c r="M617" s="20">
        <f t="shared" si="25"/>
        <v>-4.0636315597562955</v>
      </c>
    </row>
    <row r="618" spans="1:13" x14ac:dyDescent="0.2">
      <c r="A618" s="23">
        <v>147.75</v>
      </c>
      <c r="B618" s="20">
        <v>320.59011510462398</v>
      </c>
      <c r="C618" s="20">
        <v>10.3742864246141</v>
      </c>
      <c r="D618" s="20">
        <v>352.30669571467899</v>
      </c>
      <c r="E618" s="20">
        <v>-0.12011338366624399</v>
      </c>
      <c r="F618" s="20">
        <v>-1.86240370209944</v>
      </c>
      <c r="G618" s="20">
        <v>1.86627296356386</v>
      </c>
      <c r="H618" s="20">
        <v>2.4926493887223902E-3</v>
      </c>
      <c r="I618" s="20">
        <v>95.3820348955458</v>
      </c>
      <c r="J618" s="20">
        <v>320.75857254078375</v>
      </c>
      <c r="K618" s="20">
        <v>4.0736338712679538</v>
      </c>
      <c r="L618" s="20">
        <f t="shared" si="24"/>
        <v>320.7579269817287</v>
      </c>
      <c r="M618" s="20">
        <f t="shared" si="25"/>
        <v>-4.0736256726842495</v>
      </c>
    </row>
    <row r="619" spans="1:13" x14ac:dyDescent="0.2">
      <c r="A619" s="23">
        <v>148</v>
      </c>
      <c r="B619" s="20">
        <v>321.37567010605301</v>
      </c>
      <c r="C619" s="20">
        <v>10.4291840161249</v>
      </c>
      <c r="D619" s="20">
        <v>352.28476484169698</v>
      </c>
      <c r="E619" s="20">
        <v>-0.120478172699751</v>
      </c>
      <c r="F619" s="20">
        <v>-1.8623431562044901</v>
      </c>
      <c r="G619" s="20">
        <v>1.86623605729789</v>
      </c>
      <c r="H619" s="20">
        <v>2.5003901483351501E-3</v>
      </c>
      <c r="I619" s="20">
        <v>95.390554158138499</v>
      </c>
      <c r="J619" s="20">
        <v>321.54549504953786</v>
      </c>
      <c r="K619" s="20">
        <v>4.0836277871291315</v>
      </c>
      <c r="L619" s="20">
        <f t="shared" si="24"/>
        <v>321.54484790672171</v>
      </c>
      <c r="M619" s="20">
        <f t="shared" si="25"/>
        <v>-4.0836195684317005</v>
      </c>
    </row>
    <row r="620" spans="1:13" x14ac:dyDescent="0.2">
      <c r="A620" s="23">
        <v>148.25</v>
      </c>
      <c r="B620" s="20">
        <v>322.161198167294</v>
      </c>
      <c r="C620" s="20">
        <v>10.4842261221083</v>
      </c>
      <c r="D620" s="20">
        <v>352.262812932092</v>
      </c>
      <c r="E620" s="20">
        <v>-0.120843150317871</v>
      </c>
      <c r="F620" s="20">
        <v>-1.8622767652562</v>
      </c>
      <c r="G620" s="20">
        <v>1.8661934029976199</v>
      </c>
      <c r="H620" s="20">
        <v>2.5086766671626902E-3</v>
      </c>
      <c r="I620" s="20">
        <v>95.399496118248095</v>
      </c>
      <c r="J620" s="20">
        <v>322.3323980190417</v>
      </c>
      <c r="K620" s="20">
        <v>4.0936214548418297</v>
      </c>
      <c r="L620" s="20">
        <f t="shared" si="24"/>
        <v>322.33174929250447</v>
      </c>
      <c r="M620" s="20">
        <f t="shared" si="25"/>
        <v>-4.0936132160311809</v>
      </c>
    </row>
    <row r="621" spans="1:13" x14ac:dyDescent="0.2">
      <c r="A621" s="23">
        <v>148.5</v>
      </c>
      <c r="B621" s="20">
        <v>322.94669684552201</v>
      </c>
      <c r="C621" s="20">
        <v>10.5394126089147</v>
      </c>
      <c r="D621" s="20">
        <v>352.24084003504402</v>
      </c>
      <c r="E621" s="20">
        <v>-0.121208313889504</v>
      </c>
      <c r="F621" s="20">
        <v>-1.8622045589859599</v>
      </c>
      <c r="G621" s="20">
        <v>1.86614503050112</v>
      </c>
      <c r="H621" s="20">
        <v>2.51749428424512E-3</v>
      </c>
      <c r="I621" s="20">
        <v>95.408858680316698</v>
      </c>
      <c r="J621" s="20">
        <v>323.11927902353165</v>
      </c>
      <c r="K621" s="20">
        <v>4.1036148435988524</v>
      </c>
      <c r="L621" s="20">
        <f t="shared" si="24"/>
        <v>323.11862871331704</v>
      </c>
      <c r="M621" s="20">
        <f t="shared" si="25"/>
        <v>-4.103606584675541</v>
      </c>
    </row>
    <row r="622" spans="1:13" x14ac:dyDescent="0.2">
      <c r="A622" s="23">
        <v>148.75</v>
      </c>
      <c r="B622" s="20">
        <v>323.73216371053201</v>
      </c>
      <c r="C622" s="20">
        <v>10.5947433422127</v>
      </c>
      <c r="D622" s="20">
        <v>352.21884619977698</v>
      </c>
      <c r="E622" s="20">
        <v>-0.121573660785301</v>
      </c>
      <c r="F622" s="20">
        <v>-1.8621265669931699</v>
      </c>
      <c r="G622" s="20">
        <v>1.86609096951314</v>
      </c>
      <c r="H622" s="20">
        <v>2.5268283057409201E-3</v>
      </c>
      <c r="I622" s="20">
        <v>95.418639751044395</v>
      </c>
      <c r="J622" s="20">
        <v>323.90613564981533</v>
      </c>
      <c r="K622" s="20">
        <v>4.1136079227526556</v>
      </c>
      <c r="L622" s="20">
        <f t="shared" si="24"/>
        <v>323.90548375597172</v>
      </c>
      <c r="M622" s="20">
        <f t="shared" si="25"/>
        <v>-4.1135996437172953</v>
      </c>
    </row>
    <row r="623" spans="1:13" x14ac:dyDescent="0.2">
      <c r="A623" s="23">
        <v>149</v>
      </c>
      <c r="B623" s="20">
        <v>324.51759634468198</v>
      </c>
      <c r="C623" s="20">
        <v>10.6502181869943</v>
      </c>
      <c r="D623" s="20">
        <v>352.19683147555799</v>
      </c>
      <c r="E623" s="20">
        <v>-0.121939188377716</v>
      </c>
      <c r="F623" s="20">
        <v>-1.8620428187453799</v>
      </c>
      <c r="G623" s="20">
        <v>1.86603124960528</v>
      </c>
      <c r="H623" s="20">
        <v>2.5366640350778101E-3</v>
      </c>
      <c r="I623" s="20">
        <v>95.428837239510401</v>
      </c>
      <c r="J623" s="20">
        <v>324.69296549721435</v>
      </c>
      <c r="K623" s="20">
        <v>4.1236006618146224</v>
      </c>
      <c r="L623" s="20">
        <f t="shared" si="24"/>
        <v>324.69231201979596</v>
      </c>
      <c r="M623" s="20">
        <f t="shared" si="25"/>
        <v>-4.1235923626679032</v>
      </c>
    </row>
    <row r="624" spans="1:13" x14ac:dyDescent="0.2">
      <c r="A624" s="23">
        <v>149.25</v>
      </c>
      <c r="B624" s="20">
        <v>325.30299234283501</v>
      </c>
      <c r="C624" s="20">
        <v>10.7058370075793</v>
      </c>
      <c r="D624" s="20">
        <v>352.17479591169803</v>
      </c>
      <c r="E624" s="20">
        <v>-0.12230489404105301</v>
      </c>
      <c r="F624" s="20">
        <v>-1.86195334357833</v>
      </c>
      <c r="G624" s="20">
        <v>1.8659659002160101</v>
      </c>
      <c r="H624" s="20">
        <v>2.5469868016195301E-3</v>
      </c>
      <c r="I624" s="20">
        <v>95.439449057294297</v>
      </c>
      <c r="J624" s="20">
        <v>325.47976617750891</v>
      </c>
      <c r="K624" s="20">
        <v>4.1335930304543638</v>
      </c>
      <c r="L624" s="20">
        <f t="shared" si="24"/>
        <v>325.47911111657447</v>
      </c>
      <c r="M624" s="20">
        <f t="shared" si="25"/>
        <v>-4.1335847111970301</v>
      </c>
    </row>
    <row r="625" spans="1:13" x14ac:dyDescent="0.2">
      <c r="A625" s="23">
        <v>149.5</v>
      </c>
      <c r="B625" s="20">
        <v>326.08834931230501</v>
      </c>
      <c r="C625" s="20">
        <v>10.761599667621001</v>
      </c>
      <c r="D625" s="20">
        <v>352.15273955755299</v>
      </c>
      <c r="E625" s="20">
        <v>-0.12267077515151401</v>
      </c>
      <c r="F625" s="20">
        <v>-1.8618581706961199</v>
      </c>
      <c r="G625" s="20">
        <v>1.8658949506508</v>
      </c>
      <c r="H625" s="20">
        <v>2.5577819877687399E-3</v>
      </c>
      <c r="I625" s="20">
        <v>95.450473118592697</v>
      </c>
      <c r="J625" s="20">
        <v>326.26653531488131</v>
      </c>
      <c r="K625" s="20">
        <v>4.1435849984989925</v>
      </c>
      <c r="L625" s="20">
        <f t="shared" si="24"/>
        <v>326.26587867049471</v>
      </c>
      <c r="M625" s="20">
        <f t="shared" si="25"/>
        <v>-4.1435766591318579</v>
      </c>
    </row>
    <row r="626" spans="1:13" x14ac:dyDescent="0.2">
      <c r="A626" s="23">
        <v>149.75</v>
      </c>
      <c r="B626" s="20">
        <v>326.87366487280002</v>
      </c>
      <c r="C626" s="20">
        <v>10.817506030110501</v>
      </c>
      <c r="D626" s="20">
        <v>352.13066246251998</v>
      </c>
      <c r="E626" s="20">
        <v>-0.123036829087244</v>
      </c>
      <c r="F626" s="20">
        <v>-1.8617573291712299</v>
      </c>
      <c r="G626" s="20">
        <v>1.86581843008226</v>
      </c>
      <c r="H626" s="20">
        <v>2.56903505444691E-3</v>
      </c>
      <c r="I626" s="20">
        <v>95.461907340335898</v>
      </c>
      <c r="J626" s="20">
        <v>327.05327054586132</v>
      </c>
      <c r="K626" s="20">
        <v>4.153576535932439</v>
      </c>
      <c r="L626" s="20">
        <f t="shared" si="24"/>
        <v>327.05261231809027</v>
      </c>
      <c r="M626" s="20">
        <f t="shared" si="25"/>
        <v>-4.1535681764563606</v>
      </c>
    </row>
    <row r="627" spans="1:13" x14ac:dyDescent="0.2">
      <c r="A627" s="23">
        <v>150</v>
      </c>
      <c r="B627" s="20">
        <v>327.658936656366</v>
      </c>
      <c r="C627" s="20">
        <v>10.8735559573819</v>
      </c>
      <c r="D627" s="20">
        <v>352.108564676041</v>
      </c>
      <c r="E627" s="20">
        <v>-0.123403053228385</v>
      </c>
      <c r="F627" s="20">
        <v>-1.86165084794472</v>
      </c>
      <c r="G627" s="20">
        <v>1.8657363675501899</v>
      </c>
      <c r="H627" s="20">
        <v>2.5807315649095902E-3</v>
      </c>
      <c r="I627" s="20">
        <v>95.473749642300803</v>
      </c>
      <c r="J627" s="20">
        <v>327.83996951926667</v>
      </c>
      <c r="K627" s="20">
        <v>4.1635676128946875</v>
      </c>
      <c r="L627" s="20">
        <f t="shared" si="24"/>
        <v>327.83930970818426</v>
      </c>
      <c r="M627" s="20">
        <f t="shared" si="25"/>
        <v>-4.1635592333105942</v>
      </c>
    </row>
    <row r="628" spans="1:13" x14ac:dyDescent="0.2">
      <c r="A628" s="23">
        <v>150.25</v>
      </c>
      <c r="B628" s="20">
        <v>328.44416230733202</v>
      </c>
      <c r="C628" s="20">
        <v>10.9297493111167</v>
      </c>
      <c r="D628" s="20">
        <v>352.08644624760097</v>
      </c>
      <c r="E628" s="20">
        <v>-0.123769444957117</v>
      </c>
      <c r="F628" s="20">
        <v>-1.8615387558263199</v>
      </c>
      <c r="G628" s="20">
        <v>1.8656487919617699</v>
      </c>
      <c r="H628" s="20">
        <v>2.5928572068741099E-3</v>
      </c>
      <c r="I628" s="20">
        <v>95.485997947222899</v>
      </c>
      <c r="J628" s="20">
        <v>328.6266298961504</v>
      </c>
      <c r="K628" s="20">
        <v>4.1735581996811106</v>
      </c>
      <c r="L628" s="20">
        <f t="shared" si="24"/>
        <v>328.62596850183479</v>
      </c>
      <c r="M628" s="20">
        <f t="shared" si="25"/>
        <v>-4.1735497999899964</v>
      </c>
    </row>
    <row r="629" spans="1:13" x14ac:dyDescent="0.2">
      <c r="A629" s="23">
        <v>150.5</v>
      </c>
      <c r="B629" s="20">
        <v>329.22933948225398</v>
      </c>
      <c r="C629" s="20">
        <v>10.9860859523491</v>
      </c>
      <c r="D629" s="20">
        <v>352.06430722672798</v>
      </c>
      <c r="E629" s="20">
        <v>-0.12413600165770899</v>
      </c>
      <c r="F629" s="20">
        <v>-1.86142108149458</v>
      </c>
      <c r="G629" s="20">
        <v>1.86555573209165</v>
      </c>
      <c r="H629" s="20">
        <v>2.60539781295224E-3</v>
      </c>
      <c r="I629" s="20">
        <v>95.498650180905699</v>
      </c>
      <c r="J629" s="20">
        <v>329.413249349745</v>
      </c>
      <c r="K629" s="20">
        <v>4.1835482667417612</v>
      </c>
      <c r="L629" s="20">
        <f t="shared" si="24"/>
        <v>329.41258637227821</v>
      </c>
      <c r="M629" s="20">
        <f t="shared" si="25"/>
        <v>-4.1835398469446679</v>
      </c>
    </row>
    <row r="630" spans="1:13" x14ac:dyDescent="0.2">
      <c r="A630" s="23">
        <v>150.75</v>
      </c>
      <c r="B630" s="20">
        <v>330.01446584985803</v>
      </c>
      <c r="C630" s="20">
        <v>11.042565741470201</v>
      </c>
      <c r="D630" s="20">
        <v>352.042147662991</v>
      </c>
      <c r="E630" s="20">
        <v>-0.124502720716566</v>
      </c>
      <c r="F630" s="20">
        <v>-1.86129785349698</v>
      </c>
      <c r="G630" s="20">
        <v>1.8654572165821099</v>
      </c>
      <c r="H630" s="20">
        <v>2.6183393793950101E-3</v>
      </c>
      <c r="I630" s="20">
        <v>95.511704272327506</v>
      </c>
      <c r="J630" s="20">
        <v>330.19982556540322</v>
      </c>
      <c r="K630" s="20">
        <v>4.193537784680621</v>
      </c>
      <c r="L630" s="20">
        <f t="shared" si="24"/>
        <v>330.19916100487262</v>
      </c>
      <c r="M630" s="20">
        <f t="shared" si="25"/>
        <v>-4.1935293447786561</v>
      </c>
    </row>
    <row r="631" spans="1:13" x14ac:dyDescent="0.2">
      <c r="A631" s="23">
        <v>151</v>
      </c>
      <c r="B631" s="20">
        <v>330.799539090986</v>
      </c>
      <c r="C631" s="20">
        <v>11.0991885382326</v>
      </c>
      <c r="D631" s="20">
        <v>352.01996760600503</v>
      </c>
      <c r="E631" s="20">
        <v>-0.124869599522273</v>
      </c>
      <c r="F631" s="20">
        <v>-1.8611691002501101</v>
      </c>
      <c r="G631" s="20">
        <v>1.8653532739432199</v>
      </c>
      <c r="H631" s="20">
        <v>2.63166808316991E-3</v>
      </c>
      <c r="I631" s="20">
        <v>95.525158153748094</v>
      </c>
      <c r="J631" s="20">
        <v>330.9863562405468</v>
      </c>
      <c r="K631" s="20">
        <v>4.203526724254945</v>
      </c>
      <c r="L631" s="20">
        <f t="shared" si="24"/>
        <v>330.98569009704335</v>
      </c>
      <c r="M631" s="20">
        <f t="shared" si="25"/>
        <v>-4.203518264249265</v>
      </c>
    </row>
    <row r="632" spans="1:13" x14ac:dyDescent="0.2">
      <c r="A632" s="23">
        <v>151.25</v>
      </c>
      <c r="B632" s="20">
        <v>331.584556898541</v>
      </c>
      <c r="C632" s="20">
        <v>11.155954201755501</v>
      </c>
      <c r="D632" s="20">
        <v>351.99776710542397</v>
      </c>
      <c r="E632" s="20">
        <v>-0.12523663546564601</v>
      </c>
      <c r="F632" s="20">
        <v>-1.8610348500398499</v>
      </c>
      <c r="G632" s="20">
        <v>1.86524393255295</v>
      </c>
      <c r="H632" s="20">
        <v>2.6453702974030399E-3</v>
      </c>
      <c r="I632" s="20">
        <v>95.539009760810799</v>
      </c>
      <c r="J632" s="20">
        <v>331.77283908460754</v>
      </c>
      <c r="K632" s="20">
        <v>4.2135150563745158</v>
      </c>
      <c r="L632" s="20">
        <f t="shared" si="24"/>
        <v>331.77217135822804</v>
      </c>
      <c r="M632" s="20">
        <f t="shared" si="25"/>
        <v>-4.2135065762663499</v>
      </c>
    </row>
    <row r="633" spans="1:13" x14ac:dyDescent="0.2">
      <c r="A633" s="23">
        <v>151.5</v>
      </c>
      <c r="B633" s="20">
        <v>332.36951697742802</v>
      </c>
      <c r="C633" s="20">
        <v>11.2128625905285</v>
      </c>
      <c r="D633" s="20">
        <v>351.97554621094702</v>
      </c>
      <c r="E633" s="20">
        <v>-0.12560382593977701</v>
      </c>
      <c r="F633" s="20">
        <v>-1.8608951310214701</v>
      </c>
      <c r="G633" s="20">
        <v>1.8651292206574099</v>
      </c>
      <c r="H633" s="20">
        <v>2.6594326052273199E-3</v>
      </c>
      <c r="I633" s="20">
        <v>95.553257032645305</v>
      </c>
      <c r="J633" s="20">
        <v>332.5592718189726</v>
      </c>
      <c r="K633" s="20">
        <v>4.2235027521009521</v>
      </c>
      <c r="L633" s="20">
        <f t="shared" si="24"/>
        <v>332.55860250981766</v>
      </c>
      <c r="M633" s="20">
        <f t="shared" si="25"/>
        <v>-4.2234942518915783</v>
      </c>
    </row>
    <row r="634" spans="1:13" x14ac:dyDescent="0.2">
      <c r="A634" s="23">
        <v>151.75</v>
      </c>
      <c r="B634" s="20">
        <v>333.154417044502</v>
      </c>
      <c r="C634" s="20">
        <v>11.2699135624168</v>
      </c>
      <c r="D634" s="20">
        <v>351.95330497231299</v>
      </c>
      <c r="E634" s="20">
        <v>-0.12597116834007799</v>
      </c>
      <c r="F634" s="20">
        <v>-1.8607499712198401</v>
      </c>
      <c r="G634" s="20">
        <v>1.8650091663709401</v>
      </c>
      <c r="H634" s="20">
        <v>2.6738418120876798E-3</v>
      </c>
      <c r="I634" s="20">
        <v>95.567897911966298</v>
      </c>
      <c r="J634" s="20">
        <v>333.34565217692921</v>
      </c>
      <c r="K634" s="20">
        <v>4.233489782647001</v>
      </c>
      <c r="L634" s="20">
        <f t="shared" si="24"/>
        <v>333.34498128510398</v>
      </c>
      <c r="M634" s="20">
        <f t="shared" si="25"/>
        <v>-4.2334812623377545</v>
      </c>
    </row>
    <row r="635" spans="1:13" x14ac:dyDescent="0.2">
      <c r="A635" s="23">
        <v>152</v>
      </c>
      <c r="B635" s="20">
        <v>333.93925482851199</v>
      </c>
      <c r="C635" s="20">
        <v>11.3271069746649</v>
      </c>
      <c r="D635" s="20">
        <v>351.93104343930497</v>
      </c>
      <c r="E635" s="20">
        <v>-0.126338660064332</v>
      </c>
      <c r="F635" s="20">
        <v>-1.8605993985296401</v>
      </c>
      <c r="G635" s="20">
        <v>1.8648837976763299</v>
      </c>
      <c r="H635" s="20">
        <v>2.6885849565609298E-3</v>
      </c>
      <c r="I635" s="20">
        <v>95.582930345171107</v>
      </c>
      <c r="J635" s="20">
        <v>334.13197790360857</v>
      </c>
      <c r="K635" s="20">
        <v>4.2434761193758286</v>
      </c>
      <c r="L635" s="20">
        <f t="shared" si="24"/>
        <v>334.13130542922403</v>
      </c>
      <c r="M635" s="20">
        <f t="shared" si="25"/>
        <v>-4.2434675789681195</v>
      </c>
    </row>
    <row r="636" spans="1:13" x14ac:dyDescent="0.2">
      <c r="A636" s="23">
        <v>152.25</v>
      </c>
      <c r="B636" s="20">
        <v>334.724028070043</v>
      </c>
      <c r="C636" s="20">
        <v>11.3844426839016</v>
      </c>
      <c r="D636" s="20">
        <v>351.90876166174598</v>
      </c>
      <c r="E636" s="20">
        <v>-0.12670629851273499</v>
      </c>
      <c r="F636" s="20">
        <v>-1.86044344071547</v>
      </c>
      <c r="G636" s="20">
        <v>1.8647531424250301</v>
      </c>
      <c r="H636" s="20">
        <v>2.7036493197532198E-3</v>
      </c>
      <c r="I636" s="20">
        <v>95.598352282436096</v>
      </c>
      <c r="J636" s="20">
        <v>334.91824675593301</v>
      </c>
      <c r="K636" s="20">
        <v>4.25346173380035</v>
      </c>
      <c r="L636" s="20">
        <f t="shared" si="24"/>
        <v>334.91757269910158</v>
      </c>
      <c r="M636" s="20">
        <f t="shared" si="25"/>
        <v>-4.253453173295604</v>
      </c>
    </row>
    <row r="637" spans="1:13" x14ac:dyDescent="0.2">
      <c r="A637" s="23">
        <v>152.5</v>
      </c>
      <c r="B637" s="20">
        <v>335.50873452146601</v>
      </c>
      <c r="C637" s="20">
        <v>11.4419205461438</v>
      </c>
      <c r="D637" s="20">
        <v>351.88645968950198</v>
      </c>
      <c r="E637" s="20">
        <v>-0.12707408108794299</v>
      </c>
      <c r="F637" s="20">
        <v>-1.86028212541213</v>
      </c>
      <c r="G637" s="20">
        <v>1.8646172283372799</v>
      </c>
      <c r="H637" s="20">
        <v>2.7190224333430201E-3</v>
      </c>
      <c r="I637" s="20">
        <v>95.614161677809903</v>
      </c>
      <c r="J637" s="20">
        <v>335.70445650255419</v>
      </c>
      <c r="K637" s="20">
        <v>4.2634465975824387</v>
      </c>
      <c r="L637" s="20">
        <f t="shared" si="24"/>
        <v>335.70378086339724</v>
      </c>
      <c r="M637" s="20">
        <f t="shared" si="25"/>
        <v>-4.2634380169821986</v>
      </c>
    </row>
    <row r="638" spans="1:13" x14ac:dyDescent="0.2">
      <c r="A638" s="23">
        <v>152.75</v>
      </c>
      <c r="B638" s="20">
        <v>336.29337194687702</v>
      </c>
      <c r="C638" s="20">
        <v>11.499540416801199</v>
      </c>
      <c r="D638" s="20">
        <v>351.864137572478</v>
      </c>
      <c r="E638" s="20">
        <v>-0.127442005195121</v>
      </c>
      <c r="F638" s="20">
        <v>-1.8601154801247399</v>
      </c>
      <c r="G638" s="20">
        <v>1.8644760830023701</v>
      </c>
      <c r="H638" s="20">
        <v>2.7346920863407101E-3</v>
      </c>
      <c r="I638" s="20">
        <v>95.630356489305399</v>
      </c>
      <c r="J638" s="20">
        <v>336.49060492380761</v>
      </c>
      <c r="K638" s="20">
        <v>4.2734306825323563</v>
      </c>
      <c r="L638" s="20">
        <f t="shared" si="24"/>
        <v>336.48992770244729</v>
      </c>
      <c r="M638" s="20">
        <f t="shared" si="25"/>
        <v>-4.2734220818381736</v>
      </c>
    </row>
    <row r="639" spans="1:13" x14ac:dyDescent="0.2">
      <c r="A639" s="23">
        <v>153</v>
      </c>
      <c r="B639" s="20">
        <v>337.077938122045</v>
      </c>
      <c r="C639" s="20">
        <v>11.55730215068</v>
      </c>
      <c r="D639" s="20">
        <v>351.841795360623</v>
      </c>
      <c r="E639" s="20">
        <v>-0.12781006824198299</v>
      </c>
      <c r="F639" s="20">
        <v>-1.8599435322290101</v>
      </c>
      <c r="G639" s="20">
        <v>1.8643297338787801</v>
      </c>
      <c r="H639" s="20">
        <v>2.75064633063795E-3</v>
      </c>
      <c r="I639" s="20">
        <v>95.646934678990206</v>
      </c>
      <c r="J639" s="20">
        <v>337.27668981164709</v>
      </c>
      <c r="K639" s="20">
        <v>4.283413960607918</v>
      </c>
      <c r="L639" s="20">
        <f t="shared" si="24"/>
        <v>337.2760110082117</v>
      </c>
      <c r="M639" s="20">
        <f t="shared" si="25"/>
        <v>-4.2834053398214227</v>
      </c>
    </row>
    <row r="640" spans="1:13" x14ac:dyDescent="0.2">
      <c r="A640" s="23">
        <v>153.25</v>
      </c>
      <c r="B640" s="20">
        <v>337.86243083435801</v>
      </c>
      <c r="C640" s="20">
        <v>11.6152056019878</v>
      </c>
      <c r="D640" s="20">
        <v>351.81943310392597</v>
      </c>
      <c r="E640" s="20">
        <v>-0.12817826763884299</v>
      </c>
      <c r="F640" s="20">
        <v>-1.8597663089714001</v>
      </c>
      <c r="G640" s="20">
        <v>1.86417820829447</v>
      </c>
      <c r="H640" s="20">
        <v>2.7668734854214101E-3</v>
      </c>
      <c r="I640" s="20">
        <v>95.663894213074897</v>
      </c>
      <c r="J640" s="20">
        <v>338.06270896959791</v>
      </c>
      <c r="K640" s="20">
        <v>4.293396403913893</v>
      </c>
      <c r="L640" s="20">
        <f t="shared" si="24"/>
        <v>338.06202858421972</v>
      </c>
      <c r="M640" s="20">
        <f t="shared" si="25"/>
        <v>-4.2933877630367645</v>
      </c>
    </row>
    <row r="641" spans="1:13" x14ac:dyDescent="0.2">
      <c r="A641" s="23">
        <v>153.5</v>
      </c>
      <c r="B641" s="20">
        <v>338.64684788276497</v>
      </c>
      <c r="C641" s="20">
        <v>11.673250624336699</v>
      </c>
      <c r="D641" s="20">
        <v>351.79705085241397</v>
      </c>
      <c r="E641" s="20">
        <v>-0.12854660079865601</v>
      </c>
      <c r="F641" s="20">
        <v>-1.85958383746939</v>
      </c>
      <c r="G641" s="20">
        <v>1.86402153344704</v>
      </c>
      <c r="H641" s="20">
        <v>2.7833621405256399E-3</v>
      </c>
      <c r="I641" s="20">
        <v>95.681233061998995</v>
      </c>
      <c r="J641" s="20">
        <v>338.84866021269767</v>
      </c>
      <c r="K641" s="20">
        <v>4.3033779847012603</v>
      </c>
      <c r="L641" s="20">
        <f t="shared" si="24"/>
        <v>338.84797824551225</v>
      </c>
      <c r="M641" s="20">
        <f t="shared" si="25"/>
        <v>-4.3033693237352191</v>
      </c>
    </row>
    <row r="642" spans="1:13" x14ac:dyDescent="0.2">
      <c r="A642" s="23">
        <v>153.75</v>
      </c>
      <c r="B642" s="20">
        <v>339.43118707772601</v>
      </c>
      <c r="C642" s="20">
        <v>11.731437070748401</v>
      </c>
      <c r="D642" s="20">
        <v>351.774648656159</v>
      </c>
      <c r="E642" s="20">
        <v>-0.12891506513706599</v>
      </c>
      <c r="F642" s="20">
        <v>-1.85939614471166</v>
      </c>
      <c r="G642" s="20">
        <v>1.86385973640397</v>
      </c>
      <c r="H642" s="20">
        <v>2.8001011588001902E-3</v>
      </c>
      <c r="I642" s="20">
        <v>95.698949200516694</v>
      </c>
      <c r="J642" s="20">
        <v>339.63454136744207</v>
      </c>
      <c r="K642" s="20">
        <v>4.3133586753665147</v>
      </c>
      <c r="L642" s="20">
        <f t="shared" si="24"/>
        <v>339.63385781859137</v>
      </c>
      <c r="M642" s="20">
        <f t="shared" si="25"/>
        <v>-4.3133499943133637</v>
      </c>
    </row>
    <row r="643" spans="1:13" x14ac:dyDescent="0.2">
      <c r="A643" s="23">
        <v>154</v>
      </c>
      <c r="B643" s="20">
        <v>340.21544624115103</v>
      </c>
      <c r="C643" s="20">
        <v>11.789764793657501</v>
      </c>
      <c r="D643" s="20">
        <v>351.75222656527001</v>
      </c>
      <c r="E643" s="20">
        <v>-0.12928365807244899</v>
      </c>
      <c r="F643" s="20">
        <v>-1.8592032575583599</v>
      </c>
      <c r="G643" s="20">
        <v>1.86369284410286</v>
      </c>
      <c r="H643" s="20">
        <v>2.81707967756375E-3</v>
      </c>
      <c r="I643" s="20">
        <v>95.717040607778898</v>
      </c>
      <c r="J643" s="20">
        <v>340.42035027172989</v>
      </c>
      <c r="K643" s="20">
        <v>4.3233384484509694</v>
      </c>
      <c r="L643" s="20">
        <f t="shared" si="24"/>
        <v>340.41966514135942</v>
      </c>
      <c r="M643" s="20">
        <f t="shared" si="25"/>
        <v>-4.3233297473125578</v>
      </c>
    </row>
    <row r="644" spans="1:13" x14ac:dyDescent="0.2">
      <c r="A644" s="23">
        <v>154.25</v>
      </c>
      <c r="B644" s="20">
        <v>340.99962320635098</v>
      </c>
      <c r="C644" s="20">
        <v>11.848233644915799</v>
      </c>
      <c r="D644" s="20">
        <v>351.72978462989698</v>
      </c>
      <c r="E644" s="20">
        <v>-0.12965237702596</v>
      </c>
      <c r="F644" s="20">
        <v>-1.85900520274132</v>
      </c>
      <c r="G644" s="20">
        <v>1.8635208833516601</v>
      </c>
      <c r="H644" s="20">
        <v>2.8342871092184199E-3</v>
      </c>
      <c r="I644" s="20">
        <v>95.735505267415107</v>
      </c>
      <c r="J644" s="20">
        <v>341.20608477480988</v>
      </c>
      <c r="K644" s="20">
        <v>4.3333172766400851</v>
      </c>
      <c r="L644" s="20">
        <f t="shared" si="24"/>
        <v>341.20539806306971</v>
      </c>
      <c r="M644" s="20">
        <f t="shared" si="25"/>
        <v>-4.3333085554183182</v>
      </c>
    </row>
    <row r="645" spans="1:13" x14ac:dyDescent="0.2">
      <c r="A645" s="23">
        <v>154.5</v>
      </c>
      <c r="B645" s="20">
        <v>341.78371581797899</v>
      </c>
      <c r="C645" s="20">
        <v>11.906843475795901</v>
      </c>
      <c r="D645" s="20">
        <v>351.70732290023102</v>
      </c>
      <c r="E645" s="20">
        <v>-0.13002121942157599</v>
      </c>
      <c r="F645" s="20">
        <v>-1.8588020068642901</v>
      </c>
      <c r="G645" s="20">
        <v>1.86334388082892</v>
      </c>
      <c r="H645" s="20">
        <v>2.8517131410932999E-3</v>
      </c>
      <c r="I645" s="20">
        <v>95.754341167612594</v>
      </c>
      <c r="J645" s="20">
        <v>341.99174273722377</v>
      </c>
      <c r="K645" s="20">
        <v>4.3432951327627425</v>
      </c>
      <c r="L645" s="20">
        <f t="shared" si="24"/>
        <v>341.99105444426777</v>
      </c>
      <c r="M645" s="20">
        <f t="shared" si="25"/>
        <v>-4.3432863914595741</v>
      </c>
    </row>
    <row r="646" spans="1:13" x14ac:dyDescent="0.2">
      <c r="A646" s="23">
        <v>154.75</v>
      </c>
      <c r="B646" s="20">
        <v>342.56772193197997</v>
      </c>
      <c r="C646" s="20">
        <v>11.9655941369956</v>
      </c>
      <c r="D646" s="20">
        <v>351.68484142649902</v>
      </c>
      <c r="E646" s="20">
        <v>-0.130390182686139</v>
      </c>
      <c r="F646" s="20">
        <v>-1.8585936964032299</v>
      </c>
      <c r="G646" s="20">
        <v>1.8631618630840301</v>
      </c>
      <c r="H646" s="20">
        <v>2.86934773458586E-3</v>
      </c>
      <c r="I646" s="20">
        <v>95.773546301194401</v>
      </c>
      <c r="J646" s="20">
        <v>342.77732203075539</v>
      </c>
      <c r="K646" s="20">
        <v>4.3532719897905938</v>
      </c>
      <c r="L646" s="20">
        <f t="shared" si="24"/>
        <v>342.7766321567409</v>
      </c>
      <c r="M646" s="20">
        <f t="shared" si="25"/>
        <v>-4.3532632284080224</v>
      </c>
    </row>
    <row r="647" spans="1:13" x14ac:dyDescent="0.2">
      <c r="A647" s="23">
        <v>155</v>
      </c>
      <c r="B647" s="20">
        <v>343.35163941553401</v>
      </c>
      <c r="C647" s="20">
        <v>12.024485478640999</v>
      </c>
      <c r="D647" s="20">
        <v>351.66234025897302</v>
      </c>
      <c r="E647" s="20">
        <v>-0.13075926424940501</v>
      </c>
      <c r="F647" s="20">
        <v>-1.8583802977065</v>
      </c>
      <c r="G647" s="20">
        <v>1.86297485653746</v>
      </c>
      <c r="H647" s="20">
        <v>2.8871811236656198E-3</v>
      </c>
      <c r="I647" s="20">
        <v>95.793118665695502</v>
      </c>
      <c r="J647" s="20">
        <v>343.56282053837072</v>
      </c>
      <c r="K647" s="20">
        <v>4.3632478208373087</v>
      </c>
      <c r="L647" s="20">
        <f t="shared" si="24"/>
        <v>343.56212908346129</v>
      </c>
      <c r="M647" s="20">
        <f t="shared" si="25"/>
        <v>-4.3632390393774108</v>
      </c>
    </row>
    <row r="648" spans="1:13" x14ac:dyDescent="0.2">
      <c r="A648" s="23">
        <v>155.25</v>
      </c>
      <c r="B648" s="20">
        <v>344.13546614700101</v>
      </c>
      <c r="C648" s="20">
        <v>12.083517350290901</v>
      </c>
      <c r="D648" s="20">
        <v>351.63981944795802</v>
      </c>
      <c r="E648" s="20">
        <v>-0.131128461544083</v>
      </c>
      <c r="F648" s="20">
        <v>-1.85816183699519</v>
      </c>
      <c r="G648" s="20">
        <v>1.8627828874810599</v>
      </c>
      <c r="H648" s="20">
        <v>2.90520381280288E-3</v>
      </c>
      <c r="I648" s="20">
        <v>95.813056263437105</v>
      </c>
      <c r="J648" s="20">
        <v>344.34823615416894</v>
      </c>
      <c r="K648" s="20">
        <v>4.3732225991579456</v>
      </c>
      <c r="L648" s="20">
        <f t="shared" si="24"/>
        <v>344.34754311853084</v>
      </c>
      <c r="M648" s="20">
        <f t="shared" si="25"/>
        <v>-4.3732137976228342</v>
      </c>
    </row>
    <row r="649" spans="1:13" x14ac:dyDescent="0.2">
      <c r="A649" s="23">
        <v>155.5</v>
      </c>
      <c r="B649" s="20">
        <v>344.91920001587198</v>
      </c>
      <c r="C649" s="20">
        <v>12.1426896009402</v>
      </c>
      <c r="D649" s="20">
        <v>351.617279043802</v>
      </c>
      <c r="E649" s="20">
        <v>-0.131497772005883</v>
      </c>
      <c r="F649" s="20">
        <v>-1.8579383403633301</v>
      </c>
      <c r="G649" s="20">
        <v>1.86258598207829</v>
      </c>
      <c r="H649" s="20">
        <v>2.9234065743810101E-3</v>
      </c>
      <c r="I649" s="20">
        <v>95.833357101599802</v>
      </c>
      <c r="J649" s="20">
        <v>345.13356678332639</v>
      </c>
      <c r="K649" s="20">
        <v>4.3831962981482455</v>
      </c>
      <c r="L649" s="20">
        <f t="shared" si="24"/>
        <v>345.13287216713201</v>
      </c>
      <c r="M649" s="20">
        <f t="shared" si="25"/>
        <v>-4.38318747654011</v>
      </c>
    </row>
    <row r="650" spans="1:13" x14ac:dyDescent="0.2">
      <c r="A650" s="23">
        <v>155.75</v>
      </c>
      <c r="B650" s="20">
        <v>345.70283892270601</v>
      </c>
      <c r="C650" s="20">
        <v>12.202002079023501</v>
      </c>
      <c r="D650" s="20">
        <v>351.59471909689</v>
      </c>
      <c r="E650" s="20">
        <v>-0.13186719307355699</v>
      </c>
      <c r="F650" s="20">
        <v>-1.8577098337781801</v>
      </c>
      <c r="G650" s="20">
        <v>1.86238416636451</v>
      </c>
      <c r="H650" s="20">
        <v>2.9417804456489099E-3</v>
      </c>
      <c r="I650" s="20">
        <v>95.854019192294899</v>
      </c>
      <c r="J650" s="20">
        <v>345.91881034204232</v>
      </c>
      <c r="K650" s="20">
        <v>4.3931688913439375</v>
      </c>
      <c r="L650" s="20">
        <f t="shared" si="24"/>
        <v>345.91811414546493</v>
      </c>
      <c r="M650" s="20">
        <f t="shared" si="25"/>
        <v>-4.393160049664977</v>
      </c>
    </row>
    <row r="651" spans="1:13" x14ac:dyDescent="0.2">
      <c r="A651" s="23">
        <v>156</v>
      </c>
      <c r="B651" s="20">
        <v>346.48638077908601</v>
      </c>
      <c r="C651" s="20">
        <v>12.261454632418999</v>
      </c>
      <c r="D651" s="20">
        <v>351.57213965764498</v>
      </c>
      <c r="E651" s="20">
        <v>-0.132236722188944</v>
      </c>
      <c r="F651" s="20">
        <v>-1.8574763430805099</v>
      </c>
      <c r="G651" s="20">
        <v>1.8621774662472499</v>
      </c>
      <c r="H651" s="20">
        <v>2.9603167252657599E-3</v>
      </c>
      <c r="I651" s="20">
        <v>95.875040552633607</v>
      </c>
      <c r="J651" s="20">
        <v>346.70396475748305</v>
      </c>
      <c r="K651" s="20">
        <v>4.403140352420035</v>
      </c>
      <c r="L651" s="20">
        <f t="shared" si="24"/>
        <v>346.70326698070306</v>
      </c>
      <c r="M651" s="20">
        <f t="shared" si="25"/>
        <v>-4.4031314906725409</v>
      </c>
    </row>
    <row r="652" spans="1:13" x14ac:dyDescent="0.2">
      <c r="A652" s="23">
        <v>156.25</v>
      </c>
      <c r="B652" s="20">
        <v>347.26982350755998</v>
      </c>
      <c r="C652" s="20">
        <v>12.321047108451801</v>
      </c>
      <c r="D652" s="20">
        <v>351.54954077653002</v>
      </c>
      <c r="E652" s="20">
        <v>-0.13260635679701399</v>
      </c>
      <c r="F652" s="20">
        <v>-1.8572378939848899</v>
      </c>
      <c r="G652" s="20">
        <v>1.8619659075064701</v>
      </c>
      <c r="H652" s="20">
        <v>2.9790069694882902E-3</v>
      </c>
      <c r="I652" s="20">
        <v>95.896419204795507</v>
      </c>
      <c r="J652" s="20">
        <v>347.48902796773257</v>
      </c>
      <c r="K652" s="20">
        <v>4.413110655190204</v>
      </c>
      <c r="L652" s="20">
        <f t="shared" si="24"/>
        <v>347.48832861093416</v>
      </c>
      <c r="M652" s="20">
        <f t="shared" si="25"/>
        <v>-4.4131017733765159</v>
      </c>
    </row>
    <row r="653" spans="1:13" x14ac:dyDescent="0.2">
      <c r="A653" s="23">
        <v>156.5</v>
      </c>
      <c r="B653" s="20">
        <v>348.053165041586</v>
      </c>
      <c r="C653" s="20">
        <v>12.3807793538976</v>
      </c>
      <c r="D653" s="20">
        <v>351.526922504043</v>
      </c>
      <c r="E653" s="20">
        <v>-0.13297609434590901</v>
      </c>
      <c r="F653" s="20">
        <v>-1.85699451207995</v>
      </c>
      <c r="G653" s="20">
        <v>1.8617495157949</v>
      </c>
      <c r="H653" s="20">
        <v>2.9978429880458302E-3</v>
      </c>
      <c r="I653" s="20">
        <v>95.918153176094805</v>
      </c>
      <c r="J653" s="20">
        <v>348.27399792173588</v>
      </c>
      <c r="K653" s="20">
        <v>4.4230797736060454</v>
      </c>
      <c r="L653" s="20">
        <f t="shared" si="24"/>
        <v>348.27329698510533</v>
      </c>
      <c r="M653" s="20">
        <f t="shared" si="25"/>
        <v>-4.4230708717285303</v>
      </c>
    </row>
    <row r="654" spans="1:13" x14ac:dyDescent="0.2">
      <c r="A654" s="23">
        <v>156.75</v>
      </c>
      <c r="B654" s="20">
        <v>348.83640332548401</v>
      </c>
      <c r="C654" s="20">
        <v>12.440651214986</v>
      </c>
      <c r="D654" s="20">
        <v>351.50428489072101</v>
      </c>
      <c r="E654" s="20">
        <v>-0.13334593228698899</v>
      </c>
      <c r="F654" s="20">
        <v>-1.85674622282869</v>
      </c>
      <c r="G654" s="20">
        <v>1.8615283166382699</v>
      </c>
      <c r="H654" s="20">
        <v>3.01681683974702E-3</v>
      </c>
      <c r="I654" s="20">
        <v>95.940240499045998</v>
      </c>
      <c r="J654" s="20">
        <v>349.05887257924428</v>
      </c>
      <c r="K654" s="20">
        <v>4.4330476817564026</v>
      </c>
      <c r="L654" s="20">
        <f t="shared" si="24"/>
        <v>349.05817006297485</v>
      </c>
      <c r="M654" s="20">
        <f t="shared" si="25"/>
        <v>-4.4330387598175127</v>
      </c>
    </row>
    <row r="655" spans="1:13" x14ac:dyDescent="0.2">
      <c r="A655" s="23">
        <v>157</v>
      </c>
      <c r="B655" s="20">
        <v>349.61953631437598</v>
      </c>
      <c r="C655" s="20">
        <v>12.500662537404301</v>
      </c>
      <c r="D655" s="20">
        <v>351.48162798713798</v>
      </c>
      <c r="E655" s="20">
        <v>-0.13371586807487301</v>
      </c>
      <c r="F655" s="20">
        <v>-1.8564930515687701</v>
      </c>
      <c r="G655" s="20">
        <v>1.86130233543563</v>
      </c>
      <c r="H655" s="20">
        <v>3.0359208278579802E-3</v>
      </c>
      <c r="I655" s="20">
        <v>95.962679211426206</v>
      </c>
      <c r="J655" s="20">
        <v>349.84364991076609</v>
      </c>
      <c r="K655" s="20">
        <v>4.4430143538667295</v>
      </c>
      <c r="L655" s="20">
        <f t="shared" si="24"/>
        <v>349.84294581505185</v>
      </c>
      <c r="M655" s="20">
        <f t="shared" si="25"/>
        <v>-4.4430054118689304</v>
      </c>
    </row>
    <row r="656" spans="1:13" x14ac:dyDescent="0.2">
      <c r="A656" s="23">
        <v>157.25</v>
      </c>
      <c r="B656" s="20">
        <v>350.40256197414101</v>
      </c>
      <c r="C656" s="20">
        <v>12.560813166300299</v>
      </c>
      <c r="D656" s="20">
        <v>351.45895184390599</v>
      </c>
      <c r="E656" s="20">
        <v>-0.13408589916748501</v>
      </c>
      <c r="F656" s="20">
        <v>-1.85623502351279</v>
      </c>
      <c r="G656" s="20">
        <v>1.8610715974596701</v>
      </c>
      <c r="H656" s="20">
        <v>3.0551474952882399E-3</v>
      </c>
      <c r="I656" s="20">
        <v>95.985467356338205</v>
      </c>
      <c r="J656" s="20">
        <v>350.6283278975082</v>
      </c>
      <c r="K656" s="20">
        <v>4.4529797642983544</v>
      </c>
      <c r="L656" s="20">
        <f t="shared" si="24"/>
        <v>350.62762222255168</v>
      </c>
      <c r="M656" s="20">
        <f t="shared" si="25"/>
        <v>-4.4529708022442183</v>
      </c>
    </row>
    <row r="657" spans="1:13" x14ac:dyDescent="0.2">
      <c r="A657" s="23">
        <v>157.5</v>
      </c>
      <c r="B657" s="20">
        <v>351.18547828135098</v>
      </c>
      <c r="C657" s="20">
        <v>12.6211029462863</v>
      </c>
      <c r="D657" s="20">
        <v>351.43625651167201</v>
      </c>
      <c r="E657" s="20">
        <v>-0.13445602302609</v>
      </c>
      <c r="F657" s="20">
        <v>-1.8559721637486599</v>
      </c>
      <c r="G657" s="20">
        <v>1.86083612785701</v>
      </c>
      <c r="H657" s="20">
        <v>3.0744896196192202E-3</v>
      </c>
      <c r="I657" s="20">
        <v>96.008602982270105</v>
      </c>
      <c r="J657" s="20">
        <v>351.41290453132848</v>
      </c>
      <c r="K657" s="20">
        <v>4.4629438875478717</v>
      </c>
      <c r="L657" s="20">
        <f t="shared" si="24"/>
        <v>351.4121972773313</v>
      </c>
      <c r="M657" s="20">
        <f t="shared" si="25"/>
        <v>-4.4629349054399592</v>
      </c>
    </row>
    <row r="658" spans="1:13" x14ac:dyDescent="0.2">
      <c r="A658" s="23">
        <v>157.75</v>
      </c>
      <c r="B658" s="20">
        <v>351.96828322323103</v>
      </c>
      <c r="C658" s="20">
        <v>12.681531721441701</v>
      </c>
      <c r="D658" s="20">
        <v>351.413542041119</v>
      </c>
      <c r="E658" s="20">
        <v>-0.134826237115344</v>
      </c>
      <c r="F658" s="20">
        <v>-1.8557044972398</v>
      </c>
      <c r="G658" s="20">
        <v>1.86059595164848</v>
      </c>
      <c r="H658" s="20">
        <v>3.0939402080057501E-3</v>
      </c>
      <c r="I658" s="20">
        <v>96.032084143155203</v>
      </c>
      <c r="J658" s="20">
        <v>352.19737781467802</v>
      </c>
      <c r="K658" s="20">
        <v>4.472906698246411</v>
      </c>
      <c r="L658" s="20">
        <f t="shared" si="24"/>
        <v>352.19666898184954</v>
      </c>
      <c r="M658" s="20">
        <f t="shared" si="25"/>
        <v>-4.4728976960873812</v>
      </c>
    </row>
    <row r="659" spans="1:13" x14ac:dyDescent="0.2">
      <c r="A659" s="23">
        <v>158</v>
      </c>
      <c r="B659" s="20">
        <v>352.75097479759302</v>
      </c>
      <c r="C659" s="20">
        <v>12.742099335316899</v>
      </c>
      <c r="D659" s="20">
        <v>351.39080848296902</v>
      </c>
      <c r="E659" s="20">
        <v>-0.135196538903332</v>
      </c>
      <c r="F659" s="20">
        <v>-1.85543204882557</v>
      </c>
      <c r="G659" s="20">
        <v>1.86035109372949</v>
      </c>
      <c r="H659" s="20">
        <v>3.1134924919797098E-3</v>
      </c>
      <c r="I659" s="20">
        <v>96.055908898428598</v>
      </c>
      <c r="J659" s="20">
        <v>352.98174576054919</v>
      </c>
      <c r="K659" s="20">
        <v>4.4828681711589748</v>
      </c>
      <c r="L659" s="20">
        <f t="shared" si="24"/>
        <v>352.98103534910086</v>
      </c>
      <c r="M659" s="20">
        <f t="shared" si="25"/>
        <v>-4.4828591489515119</v>
      </c>
    </row>
    <row r="660" spans="1:13" x14ac:dyDescent="0.2">
      <c r="A660" s="23">
        <v>158.25</v>
      </c>
      <c r="B660" s="20">
        <v>353.53355101279402</v>
      </c>
      <c r="C660" s="20">
        <v>12.8028056309362</v>
      </c>
      <c r="D660" s="20">
        <v>351.36805588797603</v>
      </c>
      <c r="E660" s="20">
        <v>-0.13556692586161201</v>
      </c>
      <c r="F660" s="20">
        <v>-1.8551548432214999</v>
      </c>
      <c r="G660" s="20">
        <v>1.8601015788702999</v>
      </c>
      <c r="H660" s="20">
        <v>3.133139922181E-3</v>
      </c>
      <c r="I660" s="20">
        <v>96.080075313084194</v>
      </c>
      <c r="J660" s="20">
        <v>353.76600639242594</v>
      </c>
      <c r="K660" s="20">
        <v>4.4928282811838098</v>
      </c>
      <c r="L660" s="20">
        <f t="shared" si="24"/>
        <v>353.76529440257332</v>
      </c>
      <c r="M660" s="20">
        <f t="shared" si="25"/>
        <v>-4.492819238930652</v>
      </c>
    </row>
    <row r="661" spans="1:13" x14ac:dyDescent="0.2">
      <c r="A661" s="23">
        <v>158.5</v>
      </c>
      <c r="B661" s="20">
        <v>354.31600988767798</v>
      </c>
      <c r="C661" s="20">
        <v>12.863650450800799</v>
      </c>
      <c r="D661" s="20">
        <v>351.345284306932</v>
      </c>
      <c r="E661" s="20">
        <v>-0.13593739546525699</v>
      </c>
      <c r="F661" s="20">
        <v>-1.85487290501966</v>
      </c>
      <c r="G661" s="20">
        <v>1.85984743171637</v>
      </c>
      <c r="H661" s="20">
        <v>3.1528761630401098E-3</v>
      </c>
      <c r="I661" s="20">
        <v>96.104581457728898</v>
      </c>
      <c r="J661" s="20">
        <v>354.55015774422623</v>
      </c>
      <c r="K661" s="20">
        <v>4.5027870033516733</v>
      </c>
      <c r="L661" s="20">
        <f t="shared" si="24"/>
        <v>354.54944417619032</v>
      </c>
      <c r="M661" s="20">
        <f t="shared" si="25"/>
        <v>-4.5027779410556281</v>
      </c>
    </row>
    <row r="662" spans="1:13" x14ac:dyDescent="0.2">
      <c r="A662" s="23">
        <v>158.75</v>
      </c>
      <c r="B662" s="20">
        <v>355.09834945152301</v>
      </c>
      <c r="C662" s="20">
        <v>12.924633636892199</v>
      </c>
      <c r="D662" s="20">
        <v>351.322493790664</v>
      </c>
      <c r="E662" s="20">
        <v>-0.13630794519289299</v>
      </c>
      <c r="F662" s="20">
        <v>-1.8545862586889601</v>
      </c>
      <c r="G662" s="20">
        <v>1.85958867678867</v>
      </c>
      <c r="H662" s="20">
        <v>3.1726950874331199E-3</v>
      </c>
      <c r="I662" s="20">
        <v>96.129425408636394</v>
      </c>
      <c r="J662" s="20">
        <v>355.33419786025485</v>
      </c>
      <c r="K662" s="20">
        <v>4.5127443128252374</v>
      </c>
      <c r="L662" s="20">
        <f t="shared" si="24"/>
        <v>355.33348271425791</v>
      </c>
      <c r="M662" s="20">
        <f t="shared" si="25"/>
        <v>-4.5127352304891266</v>
      </c>
    </row>
    <row r="663" spans="1:13" x14ac:dyDescent="0.2">
      <c r="A663" s="23">
        <v>159</v>
      </c>
      <c r="B663" s="20">
        <v>355.88056774399399</v>
      </c>
      <c r="C663" s="20">
        <v>12.985755030675101</v>
      </c>
      <c r="D663" s="20">
        <v>351.29968439003198</v>
      </c>
      <c r="E663" s="20">
        <v>-0.136678572526748</v>
      </c>
      <c r="F663" s="20">
        <v>-1.8542949285754899</v>
      </c>
      <c r="G663" s="20">
        <v>1.85932533848403</v>
      </c>
      <c r="H663" s="20">
        <v>3.1925907713283102E-3</v>
      </c>
      <c r="I663" s="20">
        <v>96.154605247798798</v>
      </c>
      <c r="J663" s="20">
        <v>356.11812479514572</v>
      </c>
      <c r="K663" s="20">
        <v>4.5227001848983512</v>
      </c>
      <c r="L663" s="20">
        <f t="shared" si="24"/>
        <v>356.11740807141712</v>
      </c>
      <c r="M663" s="20">
        <f t="shared" si="25"/>
        <v>-4.5226910825250881</v>
      </c>
    </row>
    <row r="664" spans="1:13" x14ac:dyDescent="0.2">
      <c r="A664" s="23">
        <v>159.25</v>
      </c>
      <c r="B664" s="20">
        <v>356.66266281508399</v>
      </c>
      <c r="C664" s="20">
        <v>13.0470144731005</v>
      </c>
      <c r="D664" s="20">
        <v>351.27685615593299</v>
      </c>
      <c r="E664" s="20">
        <v>-0.13704927495268701</v>
      </c>
      <c r="F664" s="20">
        <v>-1.8539989389028599</v>
      </c>
      <c r="G664" s="20">
        <v>1.8590574410754499</v>
      </c>
      <c r="H664" s="20">
        <v>3.2125574884417198E-3</v>
      </c>
      <c r="I664" s="20">
        <v>96.180119062977397</v>
      </c>
      <c r="J664" s="20">
        <v>356.9019366138138</v>
      </c>
      <c r="K664" s="20">
        <v>4.5326545949954351</v>
      </c>
      <c r="L664" s="20">
        <f t="shared" si="24"/>
        <v>356.90121831258517</v>
      </c>
      <c r="M664" s="20">
        <f t="shared" si="25"/>
        <v>-4.5326454725879621</v>
      </c>
    </row>
    <row r="665" spans="1:13" x14ac:dyDescent="0.2">
      <c r="A665" s="23">
        <v>159.5</v>
      </c>
      <c r="B665" s="20">
        <v>357.44463272506601</v>
      </c>
      <c r="C665" s="20">
        <v>13.1084118046087</v>
      </c>
      <c r="D665" s="20">
        <v>351.25400913929599</v>
      </c>
      <c r="E665" s="20">
        <v>-0.137420049960257</v>
      </c>
      <c r="F665" s="20">
        <v>-1.85369831377251</v>
      </c>
      <c r="G665" s="20">
        <v>1.85878500871245</v>
      </c>
      <c r="H665" s="20">
        <v>3.2325897049167202E-3</v>
      </c>
      <c r="I665" s="20">
        <v>96.205964947751895</v>
      </c>
      <c r="J665" s="20">
        <v>357.68563139140167</v>
      </c>
      <c r="K665" s="20">
        <v>4.5426075186708017</v>
      </c>
      <c r="L665" s="20">
        <f t="shared" si="24"/>
        <v>357.6849115129076</v>
      </c>
      <c r="M665" s="20">
        <f t="shared" si="25"/>
        <v>-4.5425983762320969</v>
      </c>
    </row>
    <row r="666" spans="1:13" x14ac:dyDescent="0.2">
      <c r="A666" s="23">
        <v>159.75</v>
      </c>
      <c r="B666" s="20">
        <v>358.226475544442</v>
      </c>
      <c r="C666" s="20">
        <v>13.169946865132101</v>
      </c>
      <c r="D666" s="20">
        <v>351.23114339108503</v>
      </c>
      <c r="E666" s="20">
        <v>-0.13779089504272701</v>
      </c>
      <c r="F666" s="20">
        <v>-1.8533930771641001</v>
      </c>
      <c r="G666" s="20">
        <v>1.8585080654214201</v>
      </c>
      <c r="H666" s="20">
        <v>3.2526820740414698E-3</v>
      </c>
      <c r="I666" s="20">
        <v>96.232141001568706</v>
      </c>
      <c r="J666" s="20">
        <v>358.46920721322584</v>
      </c>
      <c r="K666" s="20">
        <v>4.552558931607968</v>
      </c>
      <c r="L666" s="20">
        <f t="shared" si="24"/>
        <v>358.46848575770662</v>
      </c>
      <c r="M666" s="20">
        <f t="shared" si="25"/>
        <v>-4.5525497691410841</v>
      </c>
    </row>
    <row r="667" spans="1:13" x14ac:dyDescent="0.2">
      <c r="A667" s="23">
        <v>160</v>
      </c>
      <c r="B667" s="20">
        <v>359.00818935388799</v>
      </c>
      <c r="C667" s="20">
        <v>13.231619494098201</v>
      </c>
      <c r="D667" s="20">
        <v>351.20825896229701</v>
      </c>
      <c r="E667" s="20">
        <v>-0.13816180769712999</v>
      </c>
      <c r="F667" s="20">
        <v>-1.8530832529357799</v>
      </c>
      <c r="G667" s="20">
        <v>1.85822663510595</v>
      </c>
      <c r="H667" s="20">
        <v>3.2728294310156898E-3</v>
      </c>
      <c r="I667" s="20">
        <v>96.2586453297872</v>
      </c>
      <c r="J667" s="20">
        <v>359.25266217472824</v>
      </c>
      <c r="K667" s="20">
        <v>4.5625088096190485</v>
      </c>
      <c r="L667" s="20">
        <f t="shared" si="24"/>
        <v>359.25193914242647</v>
      </c>
      <c r="M667" s="20">
        <f t="shared" si="25"/>
        <v>-4.5624996271270657</v>
      </c>
    </row>
    <row r="668" spans="1:13" x14ac:dyDescent="0.2">
      <c r="A668" s="23">
        <v>160.25</v>
      </c>
      <c r="B668" s="20">
        <v>359.78977224420601</v>
      </c>
      <c r="C668" s="20">
        <v>13.293429530432601</v>
      </c>
      <c r="D668" s="20">
        <v>351.185355903963</v>
      </c>
      <c r="E668" s="20">
        <v>-0.1385327854243</v>
      </c>
      <c r="F668" s="20">
        <v>-1.8527688648246201</v>
      </c>
      <c r="G668" s="20">
        <v>1.85794074154719</v>
      </c>
      <c r="H668" s="20">
        <v>3.2930267877781501E-3</v>
      </c>
      <c r="I668" s="20">
        <v>96.285476043725296</v>
      </c>
      <c r="J668" s="20">
        <v>360.03599438142186</v>
      </c>
      <c r="K668" s="20">
        <v>4.5724571286440581</v>
      </c>
      <c r="L668" s="20">
        <f t="shared" ref="L668:L731" si="26">SQRT(B668^2+C668^2)</f>
        <v>360.0352697725852</v>
      </c>
      <c r="M668" s="20">
        <f t="shared" ref="M668:M731" si="27">-L668/A$25*100</f>
        <v>-4.5724479261301223</v>
      </c>
    </row>
    <row r="669" spans="1:13" x14ac:dyDescent="0.2">
      <c r="A669" s="23">
        <v>160.5</v>
      </c>
      <c r="B669" s="20">
        <v>360.57122231626801</v>
      </c>
      <c r="C669" s="20">
        <v>13.3553768125615</v>
      </c>
      <c r="D669" s="20">
        <v>351.16243426714601</v>
      </c>
      <c r="E669" s="20">
        <v>-0.13890382572892099</v>
      </c>
      <c r="F669" s="20">
        <v>-1.85244993644691</v>
      </c>
      <c r="G669" s="20">
        <v>1.8576504084042</v>
      </c>
      <c r="H669" s="20">
        <v>3.3132693279031701E-3</v>
      </c>
      <c r="I669" s="20">
        <v>96.312631260703796</v>
      </c>
      <c r="J669" s="20">
        <v>360.81920194884037</v>
      </c>
      <c r="K669" s="20">
        <v>4.5824038647502725</v>
      </c>
      <c r="L669" s="20">
        <f t="shared" si="26"/>
        <v>360.81847576371842</v>
      </c>
      <c r="M669" s="20">
        <f t="shared" si="27"/>
        <v>-4.5823946422175537</v>
      </c>
    </row>
    <row r="670" spans="1:13" x14ac:dyDescent="0.2">
      <c r="A670" s="23">
        <v>160.75</v>
      </c>
      <c r="B670" s="20">
        <v>361.35253768097101</v>
      </c>
      <c r="C670" s="20">
        <v>13.4174611784146</v>
      </c>
      <c r="D670" s="20">
        <v>351.139494102941</v>
      </c>
      <c r="E670" s="20">
        <v>-0.139274926119558</v>
      </c>
      <c r="F670" s="20">
        <v>-1.85212649129851</v>
      </c>
      <c r="G670" s="20">
        <v>1.8573556592142799</v>
      </c>
      <c r="H670" s="20">
        <v>3.3335524015744699E-3</v>
      </c>
      <c r="I670" s="20">
        <v>96.340109104088896</v>
      </c>
      <c r="J670" s="20">
        <v>361.60228300248627</v>
      </c>
      <c r="K670" s="20">
        <v>4.5923489941315756</v>
      </c>
      <c r="L670" s="20">
        <f t="shared" si="26"/>
        <v>361.60155524133444</v>
      </c>
      <c r="M670" s="20">
        <f t="shared" si="27"/>
        <v>-4.5923397515833164</v>
      </c>
    </row>
    <row r="671" spans="1:13" x14ac:dyDescent="0.2">
      <c r="A671" s="23">
        <v>161</v>
      </c>
      <c r="B671" s="20">
        <v>362.13371645917999</v>
      </c>
      <c r="C671" s="20">
        <v>13.4796824654278</v>
      </c>
      <c r="D671" s="20">
        <v>351.11653546247697</v>
      </c>
      <c r="E671" s="20">
        <v>-0.13964608410870399</v>
      </c>
      <c r="F671" s="20">
        <v>-1.8517985527552301</v>
      </c>
      <c r="G671" s="20">
        <v>1.8570565173933899</v>
      </c>
      <c r="H671" s="20">
        <v>3.3538715206431701E-3</v>
      </c>
      <c r="I671" s="20">
        <v>96.367907703334097</v>
      </c>
      <c r="J671" s="20">
        <v>362.38523567777992</v>
      </c>
      <c r="K671" s="20">
        <v>4.6022924931078055</v>
      </c>
      <c r="L671" s="20">
        <f t="shared" si="26"/>
        <v>362.38450634085683</v>
      </c>
      <c r="M671" s="20">
        <f t="shared" si="27"/>
        <v>-4.6022832305472914</v>
      </c>
    </row>
    <row r="672" spans="1:13" x14ac:dyDescent="0.2">
      <c r="A672" s="23">
        <v>161.25</v>
      </c>
      <c r="B672" s="20">
        <v>362.91475678168001</v>
      </c>
      <c r="C672" s="20">
        <v>13.5420405105461</v>
      </c>
      <c r="D672" s="20">
        <v>351.09355839691199</v>
      </c>
      <c r="E672" s="20">
        <v>-0.140017297212818</v>
      </c>
      <c r="F672" s="20">
        <v>-1.8514661440732101</v>
      </c>
      <c r="G672" s="20">
        <v>1.8567530062364499</v>
      </c>
      <c r="H672" s="20">
        <v>3.37422235377561E-3</v>
      </c>
      <c r="I672" s="20">
        <v>96.396025194020694</v>
      </c>
      <c r="J672" s="20">
        <v>363.16805812000939</v>
      </c>
      <c r="K672" s="20">
        <v>4.6122343381241198</v>
      </c>
      <c r="L672" s="20">
        <f t="shared" si="26"/>
        <v>363.16732720757688</v>
      </c>
      <c r="M672" s="20">
        <f t="shared" si="27"/>
        <v>-4.6122250555546751</v>
      </c>
    </row>
    <row r="673" spans="1:13" x14ac:dyDescent="0.2">
      <c r="A673" s="23">
        <v>161.5</v>
      </c>
      <c r="B673" s="20">
        <v>363.69565678912602</v>
      </c>
      <c r="C673" s="20">
        <v>13.6045351502259</v>
      </c>
      <c r="D673" s="20">
        <v>351.07056295743803</v>
      </c>
      <c r="E673" s="20">
        <v>-0.14038856295236701</v>
      </c>
      <c r="F673" s="20">
        <v>-1.8511292883892101</v>
      </c>
      <c r="G673" s="20">
        <v>1.85644514891773</v>
      </c>
      <c r="H673" s="20">
        <v>3.39460072169567E-3</v>
      </c>
      <c r="I673" s="20">
        <v>96.424459717896895</v>
      </c>
      <c r="J673" s="20">
        <v>363.95074848427794</v>
      </c>
      <c r="K673" s="20">
        <v>4.6221745057503298</v>
      </c>
      <c r="L673" s="20">
        <f t="shared" si="26"/>
        <v>363.95001599660281</v>
      </c>
      <c r="M673" s="20">
        <f t="shared" si="27"/>
        <v>-4.622165203175344</v>
      </c>
    </row>
    <row r="674" spans="1:13" x14ac:dyDescent="0.2">
      <c r="A674" s="23">
        <v>161.75</v>
      </c>
      <c r="B674" s="20">
        <v>364.47641463198801</v>
      </c>
      <c r="C674" s="20">
        <v>13.667166220437799</v>
      </c>
      <c r="D674" s="20">
        <v>351.04754919527699</v>
      </c>
      <c r="E674" s="20">
        <v>-0.14075987885186</v>
      </c>
      <c r="F674" s="20">
        <v>-1.85078800872105</v>
      </c>
      <c r="G674" s="20">
        <v>1.85613296849122</v>
      </c>
      <c r="H674" s="20">
        <v>3.4150025925258399E-3</v>
      </c>
      <c r="I674" s="20">
        <v>96.453209422915606</v>
      </c>
      <c r="J674" s="20">
        <v>364.73330493545438</v>
      </c>
      <c r="K674" s="20">
        <v>4.6321129726802708</v>
      </c>
      <c r="L674" s="20">
        <f t="shared" si="26"/>
        <v>364.73257087280524</v>
      </c>
      <c r="M674" s="20">
        <f t="shared" si="27"/>
        <v>-4.6321036501031552</v>
      </c>
    </row>
    <row r="675" spans="1:13" x14ac:dyDescent="0.2">
      <c r="A675" s="23">
        <v>162</v>
      </c>
      <c r="B675" s="20">
        <v>365.25702847050701</v>
      </c>
      <c r="C675" s="20">
        <v>13.7299335566692</v>
      </c>
      <c r="D675" s="20">
        <v>351.02451716168099</v>
      </c>
      <c r="E675" s="20">
        <v>-0.141131242439898</v>
      </c>
      <c r="F675" s="20">
        <v>-1.85044232796796</v>
      </c>
      <c r="G675" s="20">
        <v>1.8558164878910099</v>
      </c>
      <c r="H675" s="20">
        <v>3.4354240772297802E-3</v>
      </c>
      <c r="I675" s="20">
        <v>96.482272463272196</v>
      </c>
      <c r="J675" s="20">
        <v>365.51572564812318</v>
      </c>
      <c r="K675" s="20">
        <v>4.6420497157311651</v>
      </c>
      <c r="L675" s="20">
        <f t="shared" si="26"/>
        <v>365.51499001077275</v>
      </c>
      <c r="M675" s="20">
        <f t="shared" si="27"/>
        <v>-4.6420403731553828</v>
      </c>
    </row>
    <row r="676" spans="1:13" x14ac:dyDescent="0.2">
      <c r="A676" s="23">
        <v>162.25</v>
      </c>
      <c r="B676" s="20">
        <v>366.037496474639</v>
      </c>
      <c r="C676" s="20">
        <v>13.792836993926599</v>
      </c>
      <c r="D676" s="20">
        <v>351.001466907934</v>
      </c>
      <c r="E676" s="20">
        <v>-0.141502651249202</v>
      </c>
      <c r="F676" s="20">
        <v>-1.85009226891093</v>
      </c>
      <c r="G676" s="20">
        <v>1.8554957299316399</v>
      </c>
      <c r="H676" s="20">
        <v>3.4558614251592899E-3</v>
      </c>
      <c r="I676" s="20">
        <v>96.511646999439193</v>
      </c>
      <c r="J676" s="20">
        <v>366.29800880653011</v>
      </c>
      <c r="K676" s="20">
        <v>4.6519847118429327</v>
      </c>
      <c r="L676" s="20">
        <f t="shared" si="26"/>
        <v>366.29727159475595</v>
      </c>
      <c r="M676" s="20">
        <f t="shared" si="27"/>
        <v>-4.6519753492720088</v>
      </c>
    </row>
    <row r="677" spans="1:13" x14ac:dyDescent="0.2">
      <c r="A677" s="23">
        <v>162.5</v>
      </c>
      <c r="B677" s="20">
        <v>366.81781682400799</v>
      </c>
      <c r="C677" s="20">
        <v>13.8558763667383</v>
      </c>
      <c r="D677" s="20">
        <v>350.97839848534801</v>
      </c>
      <c r="E677" s="20">
        <v>-0.14187410281666299</v>
      </c>
      <c r="F677" s="20">
        <v>-1.8497378542131</v>
      </c>
      <c r="G677" s="20">
        <v>1.8551707173084899</v>
      </c>
      <c r="H677" s="20">
        <v>3.47631101970719E-3</v>
      </c>
      <c r="I677" s="20">
        <v>96.541331198201604</v>
      </c>
      <c r="J677" s="20">
        <v>367.08015260453749</v>
      </c>
      <c r="K677" s="20">
        <v>4.6619179380776261</v>
      </c>
      <c r="L677" s="20">
        <f t="shared" si="26"/>
        <v>367.0794138186202</v>
      </c>
      <c r="M677" s="20">
        <f t="shared" si="27"/>
        <v>-4.6619085555151241</v>
      </c>
    </row>
    <row r="678" spans="1:13" x14ac:dyDescent="0.2">
      <c r="A678" s="23">
        <v>162.75</v>
      </c>
      <c r="B678" s="20">
        <v>367.597987707855</v>
      </c>
      <c r="C678" s="20">
        <v>13.9190515091567</v>
      </c>
      <c r="D678" s="20">
        <v>350.95531194526501</v>
      </c>
      <c r="E678" s="20">
        <v>-0.142245594683373</v>
      </c>
      <c r="F678" s="20">
        <v>-1.8493791064201299</v>
      </c>
      <c r="G678" s="20">
        <v>1.8548414725981699</v>
      </c>
      <c r="H678" s="20">
        <v>3.4967693740675901E-3</v>
      </c>
      <c r="I678" s="20">
        <v>96.571323232690304</v>
      </c>
      <c r="J678" s="20">
        <v>367.86215524557184</v>
      </c>
      <c r="K678" s="20">
        <v>4.6718493716187632</v>
      </c>
      <c r="L678" s="20">
        <f t="shared" si="26"/>
        <v>367.86141488579483</v>
      </c>
      <c r="M678" s="20">
        <f t="shared" si="27"/>
        <v>-4.6718399690682819</v>
      </c>
    </row>
    <row r="679" spans="1:13" x14ac:dyDescent="0.2">
      <c r="A679" s="23">
        <v>163</v>
      </c>
      <c r="B679" s="20">
        <v>368.37800732498698</v>
      </c>
      <c r="C679" s="20">
        <v>13.9823622547607</v>
      </c>
      <c r="D679" s="20">
        <v>350.93220733905702</v>
      </c>
      <c r="E679" s="20">
        <v>-0.142617124394671</v>
      </c>
      <c r="F679" s="20">
        <v>-1.8490160479606099</v>
      </c>
      <c r="G679" s="20">
        <v>1.85450801825888</v>
      </c>
      <c r="H679" s="20">
        <v>3.5172331271040602E-3</v>
      </c>
      <c r="I679" s="20">
        <v>96.601621282414399</v>
      </c>
      <c r="J679" s="20">
        <v>368.64401494257066</v>
      </c>
      <c r="K679" s="20">
        <v>4.6817789897706481</v>
      </c>
      <c r="L679" s="20">
        <f t="shared" si="26"/>
        <v>368.64327300922162</v>
      </c>
      <c r="M679" s="20">
        <f t="shared" si="27"/>
        <v>-4.6817695672358415</v>
      </c>
    </row>
    <row r="680" spans="1:13" x14ac:dyDescent="0.2">
      <c r="A680" s="23">
        <v>163.25</v>
      </c>
      <c r="B680" s="20">
        <v>369.15787388373201</v>
      </c>
      <c r="C680" s="20">
        <v>14.0458084366583</v>
      </c>
      <c r="D680" s="20">
        <v>350.90908471812298</v>
      </c>
      <c r="E680" s="20">
        <v>-0.14298868950017801</v>
      </c>
      <c r="F680" s="20">
        <v>-1.8486487011463899</v>
      </c>
      <c r="G680" s="20">
        <v>1.8541703766308</v>
      </c>
      <c r="H680" s="20">
        <v>3.5376990393263899E-3</v>
      </c>
      <c r="I680" s="20">
        <v>96.632223533292205</v>
      </c>
      <c r="J680" s="20">
        <v>369.42572991793918</v>
      </c>
      <c r="K680" s="20">
        <v>4.6917067699578281</v>
      </c>
      <c r="L680" s="20">
        <f t="shared" si="26"/>
        <v>369.42498641131016</v>
      </c>
      <c r="M680" s="20">
        <f t="shared" si="27"/>
        <v>-4.6916973274424061</v>
      </c>
    </row>
    <row r="681" spans="1:13" x14ac:dyDescent="0.2">
      <c r="A681" s="23">
        <v>163.5</v>
      </c>
      <c r="B681" s="20">
        <v>369.93758560188098</v>
      </c>
      <c r="C681" s="20">
        <v>14.1093898874886</v>
      </c>
      <c r="D681" s="20">
        <v>350.88594413389302</v>
      </c>
      <c r="E681" s="20">
        <v>-0.14336028755383401</v>
      </c>
      <c r="F681" s="20">
        <v>-1.84827708817301</v>
      </c>
      <c r="G681" s="20">
        <v>1.8538285699365</v>
      </c>
      <c r="H681" s="20">
        <v>3.5581639889755499E-3</v>
      </c>
      <c r="I681" s="20">
        <v>96.663128177682296</v>
      </c>
      <c r="J681" s="20">
        <v>370.2072984034935</v>
      </c>
      <c r="K681" s="20">
        <v>4.7016326897243683</v>
      </c>
      <c r="L681" s="20">
        <f t="shared" si="26"/>
        <v>370.20655332387918</v>
      </c>
      <c r="M681" s="20">
        <f t="shared" si="27"/>
        <v>-4.7016232272320719</v>
      </c>
    </row>
    <row r="682" spans="1:13" x14ac:dyDescent="0.2">
      <c r="A682" s="23">
        <v>163.75</v>
      </c>
      <c r="B682" s="20">
        <v>370.717140706647</v>
      </c>
      <c r="C682" s="20">
        <v>14.1731064394241</v>
      </c>
      <c r="D682" s="20">
        <v>350.86278563782298</v>
      </c>
      <c r="E682" s="20">
        <v>-0.14373191611394401</v>
      </c>
      <c r="F682" s="20">
        <v>-1.84790123112006</v>
      </c>
      <c r="G682" s="20">
        <v>1.8534826202813</v>
      </c>
      <c r="H682" s="20">
        <v>3.57862496821646E-3</v>
      </c>
      <c r="I682" s="20">
        <v>96.694333414411801</v>
      </c>
      <c r="J682" s="20">
        <v>370.98871864041831</v>
      </c>
      <c r="K682" s="20">
        <v>4.7115567267333134</v>
      </c>
      <c r="L682" s="20">
        <f t="shared" si="26"/>
        <v>370.98797198811604</v>
      </c>
      <c r="M682" s="20">
        <f t="shared" si="27"/>
        <v>-4.71154724426792</v>
      </c>
    </row>
    <row r="683" spans="1:13" x14ac:dyDescent="0.2">
      <c r="A683" s="23">
        <v>164</v>
      </c>
      <c r="B683" s="20">
        <v>371.496537434613</v>
      </c>
      <c r="C683" s="20">
        <v>14.2369579241732</v>
      </c>
      <c r="D683" s="20">
        <v>350.83960928139601</v>
      </c>
      <c r="E683" s="20">
        <v>-0.14410357274320801</v>
      </c>
      <c r="F683" s="20">
        <v>-1.8475211519515999</v>
      </c>
      <c r="G683" s="20">
        <v>1.8531325496536699</v>
      </c>
      <c r="H683" s="20">
        <v>3.5990790794381599E-3</v>
      </c>
      <c r="I683" s="20">
        <v>96.725837448805294</v>
      </c>
      <c r="J683" s="20">
        <v>371.76998887921121</v>
      </c>
      <c r="K683" s="20">
        <v>4.7214788587659822</v>
      </c>
      <c r="L683" s="20">
        <f t="shared" si="26"/>
        <v>371.76924065452414</v>
      </c>
      <c r="M683" s="20">
        <f t="shared" si="27"/>
        <v>-4.7214693563313421</v>
      </c>
    </row>
    <row r="684" spans="1:13" x14ac:dyDescent="0.2">
      <c r="A684" s="23">
        <v>164.25</v>
      </c>
      <c r="B684" s="20">
        <v>372.27577403167999</v>
      </c>
      <c r="C684" s="20">
        <v>14.3009441729823</v>
      </c>
      <c r="D684" s="20">
        <v>350.81641511612298</v>
      </c>
      <c r="E684" s="20">
        <v>-0.14447525500876601</v>
      </c>
      <c r="F684" s="20">
        <v>-1.84713687251651</v>
      </c>
      <c r="G684" s="20">
        <v>1.8527783799256501</v>
      </c>
      <c r="H684" s="20">
        <v>3.6195235316595501E-3</v>
      </c>
      <c r="I684" s="20">
        <v>96.757638492711607</v>
      </c>
      <c r="J684" s="20">
        <v>372.55110737963832</v>
      </c>
      <c r="K684" s="20">
        <v>4.7313990637214074</v>
      </c>
      <c r="L684" s="20">
        <f t="shared" si="26"/>
        <v>372.55035758287124</v>
      </c>
      <c r="M684" s="20">
        <f t="shared" si="27"/>
        <v>-4.7313895413213904</v>
      </c>
    </row>
    <row r="685" spans="1:13" x14ac:dyDescent="0.2">
      <c r="A685" s="23">
        <v>164.5</v>
      </c>
      <c r="B685" s="20">
        <v>373.05484875302199</v>
      </c>
      <c r="C685" s="20">
        <v>14.365065016637701</v>
      </c>
      <c r="D685" s="20">
        <v>350.79320319354201</v>
      </c>
      <c r="E685" s="20">
        <v>-0.144846960482233</v>
      </c>
      <c r="F685" s="20">
        <v>-1.8467484145488999</v>
      </c>
      <c r="G685" s="20">
        <v>1.85242013285319</v>
      </c>
      <c r="H685" s="20">
        <v>3.6399556370407802E-3</v>
      </c>
      <c r="I685" s="20">
        <v>96.789734764529797</v>
      </c>
      <c r="J685" s="20">
        <v>373.33207241068231</v>
      </c>
      <c r="K685" s="20">
        <v>4.7413173196156659</v>
      </c>
      <c r="L685" s="20">
        <f t="shared" si="26"/>
        <v>373.33132104214394</v>
      </c>
      <c r="M685" s="20">
        <f t="shared" si="27"/>
        <v>-4.7413077772541934</v>
      </c>
    </row>
    <row r="686" spans="1:13" x14ac:dyDescent="0.2">
      <c r="A686" s="23">
        <v>164.75</v>
      </c>
      <c r="B686" s="20">
        <v>373.83375986303599</v>
      </c>
      <c r="C686" s="20">
        <v>14.4293202854681</v>
      </c>
      <c r="D686" s="20">
        <v>350.76997356521701</v>
      </c>
      <c r="E686" s="20">
        <v>-0.14521868673973701</v>
      </c>
      <c r="F686" s="20">
        <v>-1.84635579966854</v>
      </c>
      <c r="G686" s="20">
        <v>1.85205783007661</v>
      </c>
      <c r="H686" s="20">
        <v>3.66037280749723E-3</v>
      </c>
      <c r="I686" s="20">
        <v>96.822124489234696</v>
      </c>
      <c r="J686" s="20">
        <v>374.11288225049486</v>
      </c>
      <c r="K686" s="20">
        <v>4.7512336045812846</v>
      </c>
      <c r="L686" s="20">
        <f t="shared" si="26"/>
        <v>374.11212931049789</v>
      </c>
      <c r="M686" s="20">
        <f t="shared" si="27"/>
        <v>-4.7512240422623284</v>
      </c>
    </row>
    <row r="687" spans="1:13" x14ac:dyDescent="0.2">
      <c r="A687" s="23">
        <v>165</v>
      </c>
      <c r="B687" s="20">
        <v>374.61250563529302</v>
      </c>
      <c r="C687" s="20">
        <v>14.493709809346401</v>
      </c>
      <c r="D687" s="20">
        <v>350.74672628273697</v>
      </c>
      <c r="E687" s="20">
        <v>-0.14559043136195901</v>
      </c>
      <c r="F687" s="20">
        <v>-1.8459590493811999</v>
      </c>
      <c r="G687" s="20">
        <v>1.85169149312095</v>
      </c>
      <c r="H687" s="20">
        <v>3.6807725514158601E-3</v>
      </c>
      <c r="I687" s="20">
        <v>96.854805898400897</v>
      </c>
      <c r="J687" s="20">
        <v>374.89353518634817</v>
      </c>
      <c r="K687" s="20">
        <v>4.7611478968666221</v>
      </c>
      <c r="L687" s="20">
        <f t="shared" si="26"/>
        <v>374.89278067520848</v>
      </c>
      <c r="M687" s="20">
        <f t="shared" si="27"/>
        <v>-4.7611383145941923</v>
      </c>
    </row>
    <row r="688" spans="1:13" x14ac:dyDescent="0.2">
      <c r="A688" s="23">
        <v>165.25</v>
      </c>
      <c r="B688" s="20">
        <v>375.39108435249</v>
      </c>
      <c r="C688" s="20">
        <v>14.5582334176922</v>
      </c>
      <c r="D688" s="20">
        <v>350.72346139771599</v>
      </c>
      <c r="E688" s="20">
        <v>-0.14596219193416901</v>
      </c>
      <c r="F688" s="20">
        <v>-1.8455581850790901</v>
      </c>
      <c r="G688" s="20">
        <v>1.8513211433964201</v>
      </c>
      <c r="H688" s="20">
        <v>3.7011524704713599E-3</v>
      </c>
      <c r="I688" s="20">
        <v>96.887777230225893</v>
      </c>
      <c r="J688" s="20">
        <v>375.67402951458666</v>
      </c>
      <c r="K688" s="20">
        <v>4.7710601748352506</v>
      </c>
      <c r="L688" s="20">
        <f t="shared" si="26"/>
        <v>375.67327343262292</v>
      </c>
      <c r="M688" s="20">
        <f t="shared" si="27"/>
        <v>-4.7710505726133956</v>
      </c>
    </row>
    <row r="689" spans="1:13" x14ac:dyDescent="0.2">
      <c r="A689" s="23">
        <v>165.5</v>
      </c>
      <c r="B689" s="20">
        <v>376.16949430640199</v>
      </c>
      <c r="C689" s="20">
        <v>14.6228909394731</v>
      </c>
      <c r="D689" s="20">
        <v>350.70017896179598</v>
      </c>
      <c r="E689" s="20">
        <v>-0.146333966046263</v>
      </c>
      <c r="F689" s="20">
        <v>-1.8451532280412399</v>
      </c>
      <c r="G689" s="20">
        <v>1.8509468021987601</v>
      </c>
      <c r="H689" s="20">
        <v>3.7215102565404498E-3</v>
      </c>
      <c r="I689" s="20">
        <v>96.921036729552199</v>
      </c>
      <c r="J689" s="20">
        <v>376.45436354057688</v>
      </c>
      <c r="K689" s="20">
        <v>4.7809704169653262</v>
      </c>
      <c r="L689" s="20">
        <f t="shared" si="26"/>
        <v>376.45360588811201</v>
      </c>
      <c r="M689" s="20">
        <f t="shared" si="27"/>
        <v>-4.7809607947981467</v>
      </c>
    </row>
    <row r="690" spans="1:13" x14ac:dyDescent="0.2">
      <c r="A690" s="23">
        <v>165.75</v>
      </c>
      <c r="B690" s="20">
        <v>376.94773379783499</v>
      </c>
      <c r="C690" s="20">
        <v>14.6876822032073</v>
      </c>
      <c r="D690" s="20">
        <v>350.67687902663999</v>
      </c>
      <c r="E690" s="20">
        <v>-0.146705751292803</v>
      </c>
      <c r="F690" s="20">
        <v>-1.84474419943392</v>
      </c>
      <c r="G690" s="20">
        <v>1.85056849070967</v>
      </c>
      <c r="H690" s="20">
        <v>3.7418436887122499E-3</v>
      </c>
      <c r="I690" s="20">
        <v>96.954582647889296</v>
      </c>
      <c r="J690" s="20">
        <v>377.23453557866333</v>
      </c>
      <c r="K690" s="20">
        <v>4.790878601849025</v>
      </c>
      <c r="L690" s="20">
        <f t="shared" si="26"/>
        <v>377.23377635602287</v>
      </c>
      <c r="M690" s="20">
        <f t="shared" si="27"/>
        <v>-4.7908689597406537</v>
      </c>
    </row>
    <row r="691" spans="1:13" x14ac:dyDescent="0.2">
      <c r="A691" s="23">
        <v>166</v>
      </c>
      <c r="B691" s="20">
        <v>377.725801136575</v>
      </c>
      <c r="C691" s="20">
        <v>14.752607036965401</v>
      </c>
      <c r="D691" s="20">
        <v>350.65356164393597</v>
      </c>
      <c r="E691" s="20">
        <v>-0.147077545273053</v>
      </c>
      <c r="F691" s="20">
        <v>-1.84433112031103</v>
      </c>
      <c r="G691" s="20">
        <v>1.8501862299972101</v>
      </c>
      <c r="H691" s="20">
        <v>3.7621506303928301E-3</v>
      </c>
      <c r="I691" s="20">
        <v>96.988413243433001</v>
      </c>
      <c r="J691" s="20">
        <v>378.01454395211476</v>
      </c>
      <c r="K691" s="20">
        <v>4.8007847081918573</v>
      </c>
      <c r="L691" s="20">
        <f t="shared" si="26"/>
        <v>378.01378315962836</v>
      </c>
      <c r="M691" s="20">
        <f t="shared" si="27"/>
        <v>-4.8007750461464838</v>
      </c>
    </row>
    <row r="692" spans="1:13" x14ac:dyDescent="0.2">
      <c r="A692" s="23">
        <v>166.25</v>
      </c>
      <c r="B692" s="20">
        <v>378.50369464134502</v>
      </c>
      <c r="C692" s="20">
        <v>14.817665268372</v>
      </c>
      <c r="D692" s="20">
        <v>350.63022686539699</v>
      </c>
      <c r="E692" s="20">
        <v>-0.147449345591016</v>
      </c>
      <c r="F692" s="20">
        <v>-1.8439140116145301</v>
      </c>
      <c r="G692" s="20">
        <v>1.8498000410162201</v>
      </c>
      <c r="H692" s="20">
        <v>3.78242902650153E-3</v>
      </c>
      <c r="I692" s="20">
        <v>97.0225267810861</v>
      </c>
      <c r="J692" s="20">
        <v>378.79438699308156</v>
      </c>
      <c r="K692" s="20">
        <v>4.8106887148121364</v>
      </c>
      <c r="L692" s="20">
        <f t="shared" si="26"/>
        <v>378.79362463108333</v>
      </c>
      <c r="M692" s="20">
        <f t="shared" si="27"/>
        <v>-4.8106790328340008</v>
      </c>
    </row>
    <row r="693" spans="1:13" x14ac:dyDescent="0.2">
      <c r="A693" s="23">
        <v>166.5</v>
      </c>
      <c r="B693" s="20">
        <v>379.28141263975101</v>
      </c>
      <c r="C693" s="20">
        <v>14.882856724608001</v>
      </c>
      <c r="D693" s="20">
        <v>350.60687474275699</v>
      </c>
      <c r="E693" s="20">
        <v>-0.14782114985547001</v>
      </c>
      <c r="F693" s="20">
        <v>-1.8434928941747999</v>
      </c>
      <c r="G693" s="20">
        <v>1.8494099446087</v>
      </c>
      <c r="H693" s="20">
        <v>3.8026769007570298E-3</v>
      </c>
      <c r="I693" s="20">
        <v>97.056921532476196</v>
      </c>
      <c r="J693" s="20">
        <v>379.57406304254704</v>
      </c>
      <c r="K693" s="20">
        <v>4.8205906006403474</v>
      </c>
      <c r="L693" s="20">
        <f t="shared" si="26"/>
        <v>379.57329911137094</v>
      </c>
      <c r="M693" s="20">
        <f t="shared" si="27"/>
        <v>-4.8205808987336933</v>
      </c>
    </row>
    <row r="694" spans="1:13" x14ac:dyDescent="0.2">
      <c r="A694" s="23">
        <v>166.75</v>
      </c>
      <c r="B694" s="20">
        <v>380.058953468244</v>
      </c>
      <c r="C694" s="20">
        <v>14.9481812324121</v>
      </c>
      <c r="D694" s="20">
        <v>350.58350532777501</v>
      </c>
      <c r="E694" s="20">
        <v>-0.14819295568000701</v>
      </c>
      <c r="F694" s="20">
        <v>-1.8430677887111</v>
      </c>
      <c r="G694" s="20">
        <v>1.84901596150428</v>
      </c>
      <c r="H694" s="20">
        <v>3.8228923530509401E-3</v>
      </c>
      <c r="I694" s="20">
        <v>97.091595775973403</v>
      </c>
      <c r="J694" s="20">
        <v>380.35357045027695</v>
      </c>
      <c r="K694" s="20">
        <v>4.830490344718517</v>
      </c>
      <c r="L694" s="20">
        <f t="shared" si="26"/>
        <v>380.35280495026444</v>
      </c>
      <c r="M694" s="20">
        <f t="shared" si="27"/>
        <v>-4.8304806228876807</v>
      </c>
    </row>
    <row r="695" spans="1:13" x14ac:dyDescent="0.2">
      <c r="A695" s="23">
        <v>167</v>
      </c>
      <c r="B695" s="20">
        <v>380.83631547206198</v>
      </c>
      <c r="C695" s="20">
        <v>15.013638618082799</v>
      </c>
      <c r="D695" s="20">
        <v>350.56011867222901</v>
      </c>
      <c r="E695" s="20">
        <v>-0.14856476068306801</v>
      </c>
      <c r="F695" s="20">
        <v>-1.8426387158319599</v>
      </c>
      <c r="G695" s="20">
        <v>1.8486181123205701</v>
      </c>
      <c r="H695" s="20">
        <v>3.84307355690662E-3</v>
      </c>
      <c r="I695" s="20">
        <v>97.126547796708095</v>
      </c>
      <c r="J695" s="20">
        <v>381.13290757477677</v>
      </c>
      <c r="K695" s="20">
        <v>4.8403879261996652</v>
      </c>
      <c r="L695" s="20">
        <f t="shared" si="26"/>
        <v>381.13214050626891</v>
      </c>
      <c r="M695" s="20">
        <f t="shared" si="27"/>
        <v>-4.8403781844489773</v>
      </c>
    </row>
    <row r="696" spans="1:13" x14ac:dyDescent="0.2">
      <c r="A696" s="23">
        <v>167.25</v>
      </c>
      <c r="B696" s="20">
        <v>381.61349700519298</v>
      </c>
      <c r="C696" s="20">
        <v>15.079228707480199</v>
      </c>
      <c r="D696" s="20">
        <v>350.53671482792203</v>
      </c>
      <c r="E696" s="20">
        <v>-0.14893656248798201</v>
      </c>
      <c r="F696" s="20">
        <v>-1.8422056960355999</v>
      </c>
      <c r="G696" s="20">
        <v>1.84821641756363</v>
      </c>
      <c r="H696" s="20">
        <v>3.8632187570207801E-3</v>
      </c>
      <c r="I696" s="20">
        <v>97.161775886585403</v>
      </c>
      <c r="J696" s="20">
        <v>381.91207278324111</v>
      </c>
      <c r="K696" s="20">
        <v>4.8502833243471626</v>
      </c>
      <c r="L696" s="20">
        <f t="shared" si="26"/>
        <v>381.91130414658443</v>
      </c>
      <c r="M696" s="20">
        <f t="shared" si="27"/>
        <v>-4.8502735626810232</v>
      </c>
    </row>
    <row r="697" spans="1:13" x14ac:dyDescent="0.2">
      <c r="A697" s="23">
        <v>167.5</v>
      </c>
      <c r="B697" s="20">
        <v>382.39049643032098</v>
      </c>
      <c r="C697" s="20">
        <v>15.1449513260276</v>
      </c>
      <c r="D697" s="20">
        <v>350.51329384667702</v>
      </c>
      <c r="E697" s="20">
        <v>-0.149308358722999</v>
      </c>
      <c r="F697" s="20">
        <v>-1.8417687497103199</v>
      </c>
      <c r="G697" s="20">
        <v>1.84781089762835</v>
      </c>
      <c r="H697" s="20">
        <v>3.8833262668861298E-3</v>
      </c>
      <c r="I697" s="20">
        <v>97.197278344301907</v>
      </c>
      <c r="J697" s="20">
        <v>382.69106445150777</v>
      </c>
      <c r="K697" s="20">
        <v>4.860176518534149</v>
      </c>
      <c r="L697" s="20">
        <f t="shared" si="26"/>
        <v>382.69029424705178</v>
      </c>
      <c r="M697" s="20">
        <f t="shared" si="27"/>
        <v>-4.860166736956999</v>
      </c>
    </row>
    <row r="698" spans="1:13" x14ac:dyDescent="0.2">
      <c r="A698" s="23">
        <v>167.75</v>
      </c>
      <c r="B698" s="20">
        <v>383.16731211878403</v>
      </c>
      <c r="C698" s="20">
        <v>15.2108062987131</v>
      </c>
      <c r="D698" s="20">
        <v>350.48985578033597</v>
      </c>
      <c r="E698" s="20">
        <v>-0.14968014702132801</v>
      </c>
      <c r="F698" s="20">
        <v>-1.8413278971349401</v>
      </c>
      <c r="G698" s="20">
        <v>1.84740157279886</v>
      </c>
      <c r="H698" s="20">
        <v>3.9033944664920001E-3</v>
      </c>
      <c r="I698" s="20">
        <v>97.233053475359299</v>
      </c>
      <c r="J698" s="20">
        <v>383.46988096401321</v>
      </c>
      <c r="K698" s="20">
        <v>4.8700674882429684</v>
      </c>
      <c r="L698" s="20">
        <f t="shared" si="26"/>
        <v>383.46910919211035</v>
      </c>
      <c r="M698" s="20">
        <f t="shared" si="27"/>
        <v>-4.8700576867592815</v>
      </c>
    </row>
    <row r="699" spans="1:13" x14ac:dyDescent="0.2">
      <c r="A699" s="23">
        <v>168</v>
      </c>
      <c r="B699" s="20">
        <v>383.94394245052399</v>
      </c>
      <c r="C699" s="20">
        <v>15.2767934500915</v>
      </c>
      <c r="D699" s="20">
        <v>350.46640068076402</v>
      </c>
      <c r="E699" s="20">
        <v>-0.15005192502117401</v>
      </c>
      <c r="F699" s="20">
        <v>-1.84088315847922</v>
      </c>
      <c r="G699" s="20">
        <v>1.8469884632490201</v>
      </c>
      <c r="H699" s="20">
        <v>3.9234218001014398E-3</v>
      </c>
      <c r="I699" s="20">
        <v>97.269099592077595</v>
      </c>
      <c r="J699" s="20">
        <v>384.24852071374238</v>
      </c>
      <c r="K699" s="20">
        <v>4.8799562130645286</v>
      </c>
      <c r="L699" s="20">
        <f t="shared" si="26"/>
        <v>384.2477473747478</v>
      </c>
      <c r="M699" s="20">
        <f t="shared" si="27"/>
        <v>-4.8799463916788168</v>
      </c>
    </row>
    <row r="700" spans="1:13" x14ac:dyDescent="0.2">
      <c r="A700" s="23">
        <v>168.25</v>
      </c>
      <c r="B700" s="20">
        <v>384.72038581404399</v>
      </c>
      <c r="C700" s="20">
        <v>15.3429126042859</v>
      </c>
      <c r="D700" s="20">
        <v>350.442928599845</v>
      </c>
      <c r="E700" s="20">
        <v>-0.15042369036577199</v>
      </c>
      <c r="F700" s="20">
        <v>-1.8404345538042399</v>
      </c>
      <c r="G700" s="20">
        <v>1.8465715890427501</v>
      </c>
      <c r="H700" s="20">
        <v>3.9434067741023803E-3</v>
      </c>
      <c r="I700" s="20">
        <v>97.305415013608396</v>
      </c>
      <c r="J700" s="20">
        <v>385.02698210218477</v>
      </c>
      <c r="K700" s="20">
        <v>4.8898426726977462</v>
      </c>
      <c r="L700" s="20">
        <f t="shared" si="26"/>
        <v>385.02620719645779</v>
      </c>
      <c r="M700" s="20">
        <f t="shared" si="27"/>
        <v>-4.8898328314145738</v>
      </c>
    </row>
    <row r="701" spans="1:13" x14ac:dyDescent="0.2">
      <c r="A701" s="23">
        <v>168.5</v>
      </c>
      <c r="B701" s="20">
        <v>385.49664060636002</v>
      </c>
      <c r="C701" s="20">
        <v>15.4091635849891</v>
      </c>
      <c r="D701" s="20">
        <v>350.41943958948002</v>
      </c>
      <c r="E701" s="20">
        <v>-0.15079544070342399</v>
      </c>
      <c r="F701" s="20">
        <v>-1.83998210306286</v>
      </c>
      <c r="G701" s="20">
        <v>1.8461509701345</v>
      </c>
      <c r="H701" s="20">
        <v>3.9633479549300403E-3</v>
      </c>
      <c r="I701" s="20">
        <v>97.341998065946896</v>
      </c>
      <c r="J701" s="20">
        <v>385.80526353928775</v>
      </c>
      <c r="K701" s="20">
        <v>4.8997268469489548</v>
      </c>
      <c r="L701" s="20">
        <f t="shared" si="26"/>
        <v>385.80448706719062</v>
      </c>
      <c r="M701" s="20">
        <f t="shared" si="27"/>
        <v>-4.8997169857729199</v>
      </c>
    </row>
    <row r="702" spans="1:13" x14ac:dyDescent="0.2">
      <c r="A702" s="23">
        <v>168.75</v>
      </c>
      <c r="B702" s="20">
        <v>386.27270523295601</v>
      </c>
      <c r="C702" s="20">
        <v>15.4755462154654</v>
      </c>
      <c r="D702" s="20">
        <v>350.39593370159298</v>
      </c>
      <c r="E702" s="20">
        <v>-0.15116717368753499</v>
      </c>
      <c r="F702" s="20">
        <v>-1.8395258261001299</v>
      </c>
      <c r="G702" s="20">
        <v>1.8457266263697001</v>
      </c>
      <c r="H702" s="20">
        <v>3.9832439670593103E-3</v>
      </c>
      <c r="I702" s="20">
        <v>97.378847081942794</v>
      </c>
      <c r="J702" s="20">
        <v>386.58336344341035</v>
      </c>
      <c r="K702" s="20">
        <v>4.909608715731312</v>
      </c>
      <c r="L702" s="20">
        <f t="shared" si="26"/>
        <v>386.58258540530915</v>
      </c>
      <c r="M702" s="20">
        <f t="shared" si="27"/>
        <v>-4.9095988346670643</v>
      </c>
    </row>
    <row r="703" spans="1:13" x14ac:dyDescent="0.2">
      <c r="A703" s="23">
        <v>169</v>
      </c>
      <c r="B703" s="20">
        <v>387.048578107737</v>
      </c>
      <c r="C703" s="20">
        <v>15.542060318551901</v>
      </c>
      <c r="D703" s="20">
        <v>350.372410988122</v>
      </c>
      <c r="E703" s="20">
        <v>-0.151538886976646</v>
      </c>
      <c r="F703" s="20">
        <v>-1.8390657426537</v>
      </c>
      <c r="G703" s="20">
        <v>1.8452985774850901</v>
      </c>
      <c r="H703" s="20">
        <v>4.00309349106448E-3</v>
      </c>
      <c r="I703" s="20">
        <v>97.4159604013104</v>
      </c>
      <c r="J703" s="20">
        <v>387.36128024127828</v>
      </c>
      <c r="K703" s="20">
        <v>4.9194882590642344</v>
      </c>
      <c r="L703" s="20">
        <f t="shared" si="26"/>
        <v>387.36050063754112</v>
      </c>
      <c r="M703" s="20">
        <f t="shared" si="27"/>
        <v>-4.9194783581164501</v>
      </c>
    </row>
    <row r="704" spans="1:13" x14ac:dyDescent="0.2">
      <c r="A704" s="23">
        <v>169.25</v>
      </c>
      <c r="B704" s="20">
        <v>387.82425765298501</v>
      </c>
      <c r="C704" s="20">
        <v>15.6087057166603</v>
      </c>
      <c r="D704" s="20">
        <v>350.348871501026</v>
      </c>
      <c r="E704" s="20">
        <v>-0.15191057823447501</v>
      </c>
      <c r="F704" s="20">
        <v>-1.8386018723542199</v>
      </c>
      <c r="G704" s="20">
        <v>1.8448668431092801</v>
      </c>
      <c r="H704" s="20">
        <v>4.0228952617442498E-3</v>
      </c>
      <c r="I704" s="20">
        <v>97.453336370639207</v>
      </c>
      <c r="J704" s="20">
        <v>388.13901236793674</v>
      </c>
      <c r="K704" s="20">
        <v>4.9293654570727972</v>
      </c>
      <c r="L704" s="20">
        <f t="shared" si="26"/>
        <v>388.13823119893539</v>
      </c>
      <c r="M704" s="20">
        <f t="shared" si="27"/>
        <v>-4.9293555362461969</v>
      </c>
    </row>
    <row r="705" spans="1:13" x14ac:dyDescent="0.2">
      <c r="A705" s="23">
        <v>169.5</v>
      </c>
      <c r="B705" s="20">
        <v>388.59974229931203</v>
      </c>
      <c r="C705" s="20">
        <v>15.675482231778</v>
      </c>
      <c r="D705" s="20">
        <v>350.32531529227799</v>
      </c>
      <c r="E705" s="20">
        <v>-0.15228224512994401</v>
      </c>
      <c r="F705" s="20">
        <v>-1.83813423472583</v>
      </c>
      <c r="G705" s="20">
        <v>1.8444314427630299</v>
      </c>
      <c r="H705" s="20">
        <v>4.0426480663097704E-3</v>
      </c>
      <c r="I705" s="20">
        <v>97.490973343402004</v>
      </c>
      <c r="J705" s="20">
        <v>388.91655826670626</v>
      </c>
      <c r="K705" s="20">
        <v>4.9392402899871701</v>
      </c>
      <c r="L705" s="20">
        <f t="shared" si="26"/>
        <v>388.91577553281445</v>
      </c>
      <c r="M705" s="20">
        <f t="shared" si="27"/>
        <v>-4.9392303492865004</v>
      </c>
    </row>
    <row r="706" spans="1:13" x14ac:dyDescent="0.2">
      <c r="A706" s="23">
        <v>169.75</v>
      </c>
      <c r="B706" s="20">
        <v>389.37503048561803</v>
      </c>
      <c r="C706" s="20">
        <v>15.7423896854697</v>
      </c>
      <c r="D706" s="20">
        <v>350.30174241387198</v>
      </c>
      <c r="E706" s="20">
        <v>-0.15265388533722099</v>
      </c>
      <c r="F706" s="20">
        <v>-1.8376628491864999</v>
      </c>
      <c r="G706" s="20">
        <v>1.8439923958598099</v>
      </c>
      <c r="H706" s="20">
        <v>4.06235074263418E-3</v>
      </c>
      <c r="I706" s="20">
        <v>97.528869679963506</v>
      </c>
      <c r="J706" s="20">
        <v>389.69391638913584</v>
      </c>
      <c r="K706" s="20">
        <v>4.9491127381420252</v>
      </c>
      <c r="L706" s="20">
        <f t="shared" si="26"/>
        <v>389.6931320907326</v>
      </c>
      <c r="M706" s="20">
        <f t="shared" si="27"/>
        <v>-4.9491027775721008</v>
      </c>
    </row>
    <row r="707" spans="1:13" x14ac:dyDescent="0.2">
      <c r="A707" s="23">
        <v>170</v>
      </c>
      <c r="B707" s="20">
        <v>390.15012065904301</v>
      </c>
      <c r="C707" s="20">
        <v>15.8094278988792</v>
      </c>
      <c r="D707" s="20">
        <v>350.278152917814</v>
      </c>
      <c r="E707" s="20">
        <v>-0.15302549653575301</v>
      </c>
      <c r="F707" s="20">
        <v>-1.83718773504852</v>
      </c>
      <c r="G707" s="20">
        <v>1.8435497217061201</v>
      </c>
      <c r="H707" s="20">
        <v>4.0820021775613696E-3</v>
      </c>
      <c r="I707" s="20">
        <v>97.567023747587797</v>
      </c>
      <c r="J707" s="20">
        <v>390.47108519496146</v>
      </c>
      <c r="K707" s="20">
        <v>4.9589827819760108</v>
      </c>
      <c r="L707" s="20">
        <f t="shared" si="26"/>
        <v>390.47029933242766</v>
      </c>
      <c r="M707" s="20">
        <f t="shared" si="27"/>
        <v>-4.9589728015416679</v>
      </c>
    </row>
    <row r="708" spans="1:13" x14ac:dyDescent="0.2">
      <c r="A708" s="23">
        <v>170.25</v>
      </c>
      <c r="B708" s="20">
        <v>390.92501127492102</v>
      </c>
      <c r="C708" s="20">
        <v>15.8765966927298</v>
      </c>
      <c r="D708" s="20">
        <v>350.25454685612902</v>
      </c>
      <c r="E708" s="20">
        <v>-0.15339707641029701</v>
      </c>
      <c r="F708" s="20">
        <v>-1.8367089115188899</v>
      </c>
      <c r="G708" s="20">
        <v>1.8431034395020101</v>
      </c>
      <c r="H708" s="20">
        <v>4.1016013052718502E-3</v>
      </c>
      <c r="I708" s="20">
        <v>97.605433920445194</v>
      </c>
      <c r="J708" s="20">
        <v>391.24806315205615</v>
      </c>
      <c r="K708" s="20">
        <v>4.9688504020311139</v>
      </c>
      <c r="L708" s="20">
        <f t="shared" si="26"/>
        <v>391.24727572577513</v>
      </c>
      <c r="M708" s="20">
        <f t="shared" si="27"/>
        <v>-4.9688404017372196</v>
      </c>
    </row>
    <row r="709" spans="1:13" x14ac:dyDescent="0.2">
      <c r="A709" s="23">
        <v>170.5</v>
      </c>
      <c r="B709" s="20">
        <v>391.69970079674101</v>
      </c>
      <c r="C709" s="20">
        <v>15.9438958873268</v>
      </c>
      <c r="D709" s="20">
        <v>350.230924280853</v>
      </c>
      <c r="E709" s="20">
        <v>-0.153768622650961</v>
      </c>
      <c r="F709" s="20">
        <v>-1.8362263976997599</v>
      </c>
      <c r="G709" s="20">
        <v>1.84265356834143</v>
      </c>
      <c r="H709" s="20">
        <v>4.1211471057040396E-3</v>
      </c>
      <c r="I709" s="20">
        <v>97.644098579618003</v>
      </c>
      <c r="J709" s="20">
        <v>392.02484873638969</v>
      </c>
      <c r="K709" s="20">
        <v>4.9787155789521496</v>
      </c>
      <c r="L709" s="20">
        <f t="shared" si="26"/>
        <v>392.02405974674866</v>
      </c>
      <c r="M709" s="20">
        <f t="shared" si="27"/>
        <v>-4.9787055588036226</v>
      </c>
    </row>
    <row r="710" spans="1:13" x14ac:dyDescent="0.2">
      <c r="A710" s="23">
        <v>170.75</v>
      </c>
      <c r="B710" s="20">
        <v>392.47418769609698</v>
      </c>
      <c r="C710" s="20">
        <v>16.0113253025578</v>
      </c>
      <c r="D710" s="20">
        <v>350.207285244042</v>
      </c>
      <c r="E710" s="20">
        <v>-0.15414013295323301</v>
      </c>
      <c r="F710" s="20">
        <v>-1.83574021258884</v>
      </c>
      <c r="G710" s="20">
        <v>1.84220012721272</v>
      </c>
      <c r="H710" s="20">
        <v>4.1406386030293897E-3</v>
      </c>
      <c r="I710" s="20">
        <v>97.683016113106405</v>
      </c>
      <c r="J710" s="20">
        <v>392.80144043198061</v>
      </c>
      <c r="K710" s="20">
        <v>4.988578293486154</v>
      </c>
      <c r="L710" s="20">
        <f t="shared" si="26"/>
        <v>392.8006498793701</v>
      </c>
      <c r="M710" s="20">
        <f t="shared" si="27"/>
        <v>-4.9885682534879541</v>
      </c>
    </row>
    <row r="711" spans="1:13" x14ac:dyDescent="0.2">
      <c r="A711" s="23">
        <v>171</v>
      </c>
      <c r="B711" s="20">
        <v>393.24847045264698</v>
      </c>
      <c r="C711" s="20">
        <v>16.078884757894599</v>
      </c>
      <c r="D711" s="20">
        <v>350.18362979776202</v>
      </c>
      <c r="E711" s="20">
        <v>-0.154511605018018</v>
      </c>
      <c r="F711" s="20">
        <v>-1.8352503750798399</v>
      </c>
      <c r="G711" s="20">
        <v>1.8417431349990001</v>
      </c>
      <c r="H711" s="20">
        <v>4.1600748641789902E-3</v>
      </c>
      <c r="I711" s="20">
        <v>97.722184915833196</v>
      </c>
      <c r="J711" s="20">
        <v>393.57783673085424</v>
      </c>
      <c r="K711" s="20">
        <v>4.9984385264818494</v>
      </c>
      <c r="L711" s="20">
        <f t="shared" si="26"/>
        <v>393.57704461566863</v>
      </c>
      <c r="M711" s="20">
        <f t="shared" si="27"/>
        <v>-4.9984284666389858</v>
      </c>
    </row>
    <row r="712" spans="1:13" x14ac:dyDescent="0.2">
      <c r="A712" s="23">
        <v>171.25</v>
      </c>
      <c r="B712" s="20">
        <v>394.022547554065</v>
      </c>
      <c r="C712" s="20">
        <v>16.146574072394401</v>
      </c>
      <c r="D712" s="20">
        <v>350.15995799409399</v>
      </c>
      <c r="E712" s="20">
        <v>-0.15488303655167099</v>
      </c>
      <c r="F712" s="20">
        <v>-1.8347569039628999</v>
      </c>
      <c r="G712" s="20">
        <v>1.84128261047863</v>
      </c>
      <c r="H712" s="20">
        <v>4.1794549974204396E-3</v>
      </c>
      <c r="I712" s="20">
        <v>97.761603389647703</v>
      </c>
      <c r="J712" s="20">
        <v>394.35403613299803</v>
      </c>
      <c r="K712" s="20">
        <v>5.0082962588890751</v>
      </c>
      <c r="L712" s="20">
        <f t="shared" si="26"/>
        <v>394.35324245563231</v>
      </c>
      <c r="M712" s="20">
        <f t="shared" si="27"/>
        <v>-5.0082861792065634</v>
      </c>
    </row>
    <row r="713" spans="1:13" x14ac:dyDescent="0.2">
      <c r="A713" s="23">
        <v>171.5</v>
      </c>
      <c r="B713" s="20">
        <v>394.79641749600398</v>
      </c>
      <c r="C713" s="20">
        <v>16.214393064700701</v>
      </c>
      <c r="D713" s="20">
        <v>350.13626988513101</v>
      </c>
      <c r="E713" s="20">
        <v>-0.155254425266033</v>
      </c>
      <c r="F713" s="20">
        <v>-1.83425981792501</v>
      </c>
      <c r="G713" s="20">
        <v>1.8408185723256301</v>
      </c>
      <c r="H713" s="20">
        <v>4.1987781509828497E-3</v>
      </c>
      <c r="I713" s="20">
        <v>97.801269943329402</v>
      </c>
      <c r="J713" s="20">
        <v>395.13003714631668</v>
      </c>
      <c r="K713" s="20">
        <v>5.0181514717582223</v>
      </c>
      <c r="L713" s="20">
        <f t="shared" si="26"/>
        <v>395.12924190717104</v>
      </c>
      <c r="M713" s="20">
        <f t="shared" si="27"/>
        <v>-5.0181413722411454</v>
      </c>
    </row>
    <row r="714" spans="1:13" x14ac:dyDescent="0.2">
      <c r="A714" s="23">
        <v>171.75</v>
      </c>
      <c r="B714" s="20">
        <v>395.57007878204502</v>
      </c>
      <c r="C714" s="20">
        <v>16.282341553044699</v>
      </c>
      <c r="D714" s="20">
        <v>350.11256552297999</v>
      </c>
      <c r="E714" s="20">
        <v>-0.155625768878462</v>
      </c>
      <c r="F714" s="20">
        <v>-1.8337591355504199</v>
      </c>
      <c r="G714" s="20">
        <v>1.8403510391100999</v>
      </c>
      <c r="H714" s="20">
        <v>4.21804351172873E-3</v>
      </c>
      <c r="I714" s="20">
        <v>97.841182992590703</v>
      </c>
      <c r="J714" s="20">
        <v>395.90583828658993</v>
      </c>
      <c r="K714" s="20">
        <v>5.0280041462396925</v>
      </c>
      <c r="L714" s="20">
        <f t="shared" si="26"/>
        <v>395.90504148606556</v>
      </c>
      <c r="M714" s="20">
        <f t="shared" si="27"/>
        <v>-5.0279940268931451</v>
      </c>
    </row>
    <row r="715" spans="1:13" x14ac:dyDescent="0.2">
      <c r="A715" s="23">
        <v>172</v>
      </c>
      <c r="B715" s="20">
        <v>396.34352992365802</v>
      </c>
      <c r="C715" s="20">
        <v>16.350419355246402</v>
      </c>
      <c r="D715" s="20">
        <v>350.08884495975798</v>
      </c>
      <c r="E715" s="20">
        <v>-0.155997065111869</v>
      </c>
      <c r="F715" s="20">
        <v>-1.83325487532112</v>
      </c>
      <c r="G715" s="20">
        <v>1.8398800292987001</v>
      </c>
      <c r="H715" s="20">
        <v>4.2372503038708804E-3</v>
      </c>
      <c r="I715" s="20">
        <v>97.8813409600792</v>
      </c>
      <c r="J715" s="20">
        <v>396.68143807742558</v>
      </c>
      <c r="K715" s="20">
        <v>5.0378542635833048</v>
      </c>
      <c r="L715" s="20">
        <f t="shared" si="26"/>
        <v>396.68063971592818</v>
      </c>
      <c r="M715" s="20">
        <f t="shared" si="27"/>
        <v>-5.0378441244124401</v>
      </c>
    </row>
    <row r="716" spans="1:13" x14ac:dyDescent="0.2">
      <c r="A716" s="23">
        <v>172.25</v>
      </c>
      <c r="B716" s="20">
        <v>397.11676944015801</v>
      </c>
      <c r="C716" s="20">
        <v>16.418626288715899</v>
      </c>
      <c r="D716" s="20">
        <v>350.06510824759499</v>
      </c>
      <c r="E716" s="20">
        <v>-0.15636831169474799</v>
      </c>
      <c r="F716" s="20">
        <v>-1.8327470556172101</v>
      </c>
      <c r="G716" s="20">
        <v>1.839405561255</v>
      </c>
      <c r="H716" s="20">
        <v>4.2563977877328601E-3</v>
      </c>
      <c r="I716" s="20">
        <v>97.9217422753796</v>
      </c>
      <c r="J716" s="20">
        <v>397.45683505022129</v>
      </c>
      <c r="K716" s="20">
        <v>5.0477018051378106</v>
      </c>
      <c r="L716" s="20">
        <f t="shared" si="26"/>
        <v>397.4560351281587</v>
      </c>
      <c r="M716" s="20">
        <f t="shared" si="27"/>
        <v>-5.0476916461478059</v>
      </c>
    </row>
    <row r="717" spans="1:13" x14ac:dyDescent="0.2">
      <c r="A717" s="23">
        <v>172.5</v>
      </c>
      <c r="B717" s="20">
        <v>397.88979585866002</v>
      </c>
      <c r="C717" s="20">
        <v>16.486962170454198</v>
      </c>
      <c r="D717" s="20">
        <v>350.04135543862998</v>
      </c>
      <c r="E717" s="20">
        <v>-0.156739506361215</v>
      </c>
      <c r="F717" s="20">
        <v>-1.8322356947173799</v>
      </c>
      <c r="G717" s="20">
        <v>1.8389276532400201</v>
      </c>
      <c r="H717" s="20">
        <v>4.2754852585514301E-3</v>
      </c>
      <c r="I717" s="20">
        <v>97.962385375014193</v>
      </c>
      <c r="J717" s="20">
        <v>398.23202774411527</v>
      </c>
      <c r="K717" s="20">
        <v>5.0575467523502642</v>
      </c>
      <c r="L717" s="20">
        <f t="shared" si="26"/>
        <v>398.23122626189939</v>
      </c>
      <c r="M717" s="20">
        <f t="shared" si="27"/>
        <v>-5.0575365735463524</v>
      </c>
    </row>
    <row r="718" spans="1:13" x14ac:dyDescent="0.2">
      <c r="A718" s="23">
        <v>172.75</v>
      </c>
      <c r="B718" s="20">
        <v>398.66260771403802</v>
      </c>
      <c r="C718" s="20">
        <v>16.555426817054599</v>
      </c>
      <c r="D718" s="20">
        <v>350.01758658501399</v>
      </c>
      <c r="E718" s="20">
        <v>-0.15711064685103701</v>
      </c>
      <c r="F718" s="20">
        <v>-1.83172081079928</v>
      </c>
      <c r="G718" s="20">
        <v>1.8384463234125501</v>
      </c>
      <c r="H718" s="20">
        <v>4.2945120453197899E-3</v>
      </c>
      <c r="I718" s="20">
        <v>98.003268702443805</v>
      </c>
      <c r="J718" s="20">
        <v>399.0070147059489</v>
      </c>
      <c r="K718" s="20">
        <v>5.0673890867655516</v>
      </c>
      <c r="L718" s="20">
        <f t="shared" si="26"/>
        <v>399.00621166399378</v>
      </c>
      <c r="M718" s="20">
        <f t="shared" si="27"/>
        <v>-5.0673788881529909</v>
      </c>
    </row>
    <row r="719" spans="1:13" x14ac:dyDescent="0.2">
      <c r="A719" s="23">
        <v>173</v>
      </c>
      <c r="B719" s="20">
        <v>399.43520354888</v>
      </c>
      <c r="C719" s="20">
        <v>16.6240200447034</v>
      </c>
      <c r="D719" s="20">
        <v>349.99380173890597</v>
      </c>
      <c r="E719" s="20">
        <v>-0.157481730909665</v>
      </c>
      <c r="F719" s="20">
        <v>-1.83120242194002</v>
      </c>
      <c r="G719" s="20">
        <v>1.8379615898296899</v>
      </c>
      <c r="H719" s="20">
        <v>4.3134775096697496E-3</v>
      </c>
      <c r="I719" s="20">
        <v>98.044390708067596</v>
      </c>
      <c r="J719" s="20">
        <v>399.78179449021968</v>
      </c>
      <c r="K719" s="20">
        <v>5.0772287900257904</v>
      </c>
      <c r="L719" s="20">
        <f t="shared" si="26"/>
        <v>399.78098988894141</v>
      </c>
      <c r="M719" s="20">
        <f t="shared" si="27"/>
        <v>-5.0772185716098654</v>
      </c>
    </row>
    <row r="720" spans="1:13" x14ac:dyDescent="0.2">
      <c r="A720" s="23">
        <v>173.25</v>
      </c>
      <c r="B720" s="20">
        <v>400.20758191344999</v>
      </c>
      <c r="C720" s="20">
        <v>16.6927416691811</v>
      </c>
      <c r="D720" s="20">
        <v>349.97000095247398</v>
      </c>
      <c r="E720" s="20">
        <v>-0.157852756288271</v>
      </c>
      <c r="F720" s="20">
        <v>-1.8306805461165401</v>
      </c>
      <c r="G720" s="20">
        <v>1.83747347044722</v>
      </c>
      <c r="H720" s="20">
        <v>4.3323810447919798E-3</v>
      </c>
      <c r="I720" s="20">
        <v>98.085749849221997</v>
      </c>
      <c r="J720" s="20">
        <v>400.55636565904109</v>
      </c>
      <c r="K720" s="20">
        <v>5.087065843869822</v>
      </c>
      <c r="L720" s="20">
        <f t="shared" si="26"/>
        <v>400.55555949886002</v>
      </c>
      <c r="M720" s="20">
        <f t="shared" si="27"/>
        <v>-5.0870556056558707</v>
      </c>
    </row>
    <row r="721" spans="1:13" x14ac:dyDescent="0.2">
      <c r="A721" s="23">
        <v>173.5</v>
      </c>
      <c r="B721" s="20">
        <v>400.97974136564</v>
      </c>
      <c r="C721" s="20">
        <v>16.761591505863599</v>
      </c>
      <c r="D721" s="20">
        <v>349.94618427789499</v>
      </c>
      <c r="E721" s="20">
        <v>-0.158223720743775</v>
      </c>
      <c r="F721" s="20">
        <v>-1.83015520120607</v>
      </c>
      <c r="G721" s="20">
        <v>1.83698198312004</v>
      </c>
      <c r="H721" s="20">
        <v>4.3512220743925096E-3</v>
      </c>
      <c r="I721" s="20">
        <v>98.127344590180002</v>
      </c>
      <c r="J721" s="20">
        <v>401.33072678209754</v>
      </c>
      <c r="K721" s="20">
        <v>5.0969002301326398</v>
      </c>
      <c r="L721" s="20">
        <f t="shared" si="26"/>
        <v>401.3299190634371</v>
      </c>
      <c r="M721" s="20">
        <f t="shared" si="27"/>
        <v>-5.0968899721260392</v>
      </c>
    </row>
    <row r="722" spans="1:13" x14ac:dyDescent="0.2">
      <c r="A722" s="23">
        <v>173.75</v>
      </c>
      <c r="B722" s="20">
        <v>401.75168047093001</v>
      </c>
      <c r="C722" s="20">
        <v>16.830569369722799</v>
      </c>
      <c r="D722" s="20">
        <v>349.92235176735397</v>
      </c>
      <c r="E722" s="20">
        <v>-0.158594622038882</v>
      </c>
      <c r="F722" s="20">
        <v>-1.82962640498657</v>
      </c>
      <c r="G722" s="20">
        <v>1.8364871456026399</v>
      </c>
      <c r="H722" s="20">
        <v>4.3700000516847396E-3</v>
      </c>
      <c r="I722" s="20">
        <v>98.1691734021489</v>
      </c>
      <c r="J722" s="20">
        <v>402.10487643660531</v>
      </c>
      <c r="K722" s="20">
        <v>5.1067319307448882</v>
      </c>
      <c r="L722" s="20">
        <f t="shared" si="26"/>
        <v>402.10406715989001</v>
      </c>
      <c r="M722" s="20">
        <f t="shared" si="27"/>
        <v>-5.1067216529510304</v>
      </c>
    </row>
    <row r="723" spans="1:13" x14ac:dyDescent="0.2">
      <c r="A723" s="23">
        <v>174</v>
      </c>
      <c r="B723" s="20">
        <v>402.523397802349</v>
      </c>
      <c r="C723" s="20">
        <v>16.899675075327401</v>
      </c>
      <c r="D723" s="20">
        <v>349.89850347304298</v>
      </c>
      <c r="E723" s="20">
        <v>-0.158965457942114</v>
      </c>
      <c r="F723" s="20">
        <v>-1.8290941751371199</v>
      </c>
      <c r="G723" s="20">
        <v>1.8359889755495</v>
      </c>
      <c r="H723" s="20">
        <v>4.3887144584150804E-3</v>
      </c>
      <c r="I723" s="20">
        <v>98.211234763268294</v>
      </c>
      <c r="J723" s="20">
        <v>402.87881320726729</v>
      </c>
      <c r="K723" s="20">
        <v>5.1165609277322952</v>
      </c>
      <c r="L723" s="20">
        <f t="shared" si="26"/>
        <v>402.87800237292646</v>
      </c>
      <c r="M723" s="20">
        <f t="shared" si="27"/>
        <v>-5.1165506301566328</v>
      </c>
    </row>
    <row r="724" spans="1:13" x14ac:dyDescent="0.2">
      <c r="A724" s="23">
        <v>174.25</v>
      </c>
      <c r="B724" s="20">
        <v>403.29489194042702</v>
      </c>
      <c r="C724" s="20">
        <v>16.9689084368446</v>
      </c>
      <c r="D724" s="20">
        <v>349.87463944716001</v>
      </c>
      <c r="E724" s="20">
        <v>-0.159336226227839</v>
      </c>
      <c r="F724" s="20">
        <v>-1.8285585292383999</v>
      </c>
      <c r="G724" s="20">
        <v>1.8354874905155401</v>
      </c>
      <c r="H724" s="20">
        <v>4.4073648039217699E-3</v>
      </c>
      <c r="I724" s="20">
        <v>98.253527158607099</v>
      </c>
      <c r="J724" s="20">
        <v>403.65253568623331</v>
      </c>
      <c r="K724" s="20">
        <v>5.1263872032151632</v>
      </c>
      <c r="L724" s="20">
        <f t="shared" si="26"/>
        <v>403.65172329469709</v>
      </c>
      <c r="M724" s="20">
        <f t="shared" si="27"/>
        <v>-5.1263768858631584</v>
      </c>
    </row>
    <row r="725" spans="1:13" x14ac:dyDescent="0.2">
      <c r="A725" s="23">
        <v>174.5</v>
      </c>
      <c r="B725" s="20">
        <v>404.06616147315998</v>
      </c>
      <c r="C725" s="20">
        <v>17.0382692680401</v>
      </c>
      <c r="D725" s="20">
        <v>349.85075974190801</v>
      </c>
      <c r="E725" s="20">
        <v>-0.15970692467630801</v>
      </c>
      <c r="F725" s="20">
        <v>-1.82801948477307</v>
      </c>
      <c r="G725" s="20">
        <v>1.8349827079565499</v>
      </c>
      <c r="H725" s="20">
        <v>4.4259506242252103E-3</v>
      </c>
      <c r="I725" s="20">
        <v>98.296049080160202</v>
      </c>
      <c r="J725" s="20">
        <v>404.42604247305616</v>
      </c>
      <c r="K725" s="20">
        <v>5.1362107394078134</v>
      </c>
      <c r="L725" s="20">
        <f t="shared" si="26"/>
        <v>404.42522852475963</v>
      </c>
      <c r="M725" s="20">
        <f t="shared" si="27"/>
        <v>-5.1362004022849916</v>
      </c>
    </row>
    <row r="726" spans="1:13" x14ac:dyDescent="0.2">
      <c r="A726" s="23">
        <v>174.75</v>
      </c>
      <c r="B726" s="20">
        <v>404.83720499596302</v>
      </c>
      <c r="C726" s="20">
        <v>17.107757382279299</v>
      </c>
      <c r="D726" s="20">
        <v>349.82686440949902</v>
      </c>
      <c r="E726" s="20">
        <v>-0.16007755107368399</v>
      </c>
      <c r="F726" s="20">
        <v>-1.8274770591262399</v>
      </c>
      <c r="G726" s="20">
        <v>1.8344746452296501</v>
      </c>
      <c r="H726" s="20">
        <v>4.4444714811487304E-3</v>
      </c>
      <c r="I726" s="20">
        <v>98.338799026844498</v>
      </c>
      <c r="J726" s="20">
        <v>405.19933217465297</v>
      </c>
      <c r="K726" s="20">
        <v>5.1460315186180932</v>
      </c>
      <c r="L726" s="20">
        <f t="shared" si="26"/>
        <v>405.19851667003218</v>
      </c>
      <c r="M726" s="20">
        <f t="shared" si="27"/>
        <v>-5.1460211617299922</v>
      </c>
    </row>
    <row r="727" spans="1:13" x14ac:dyDescent="0.2">
      <c r="A727" s="23">
        <v>175</v>
      </c>
      <c r="B727" s="20">
        <v>405.60802111163201</v>
      </c>
      <c r="C727" s="20">
        <v>17.1773725925283</v>
      </c>
      <c r="D727" s="20">
        <v>349.80295350214499</v>
      </c>
      <c r="E727" s="20">
        <v>-0.16044810321207401</v>
      </c>
      <c r="F727" s="20">
        <v>-1.8269312695858799</v>
      </c>
      <c r="G727" s="20">
        <v>1.83396331959367</v>
      </c>
      <c r="H727" s="20">
        <v>4.4629269614688801E-3</v>
      </c>
      <c r="I727" s="20">
        <v>98.381775504494698</v>
      </c>
      <c r="J727" s="20">
        <v>405.97240340525968</v>
      </c>
      <c r="K727" s="20">
        <v>5.1558495232467987</v>
      </c>
      <c r="L727" s="20">
        <f t="shared" si="26"/>
        <v>405.97158634475477</v>
      </c>
      <c r="M727" s="20">
        <f t="shared" si="27"/>
        <v>-5.1558391465990088</v>
      </c>
    </row>
    <row r="728" spans="1:13" x14ac:dyDescent="0.2">
      <c r="A728" s="23">
        <v>175.25</v>
      </c>
      <c r="B728" s="20">
        <v>406.37860843030199</v>
      </c>
      <c r="C728" s="20">
        <v>17.247114711354399</v>
      </c>
      <c r="D728" s="20">
        <v>349.77902707206698</v>
      </c>
      <c r="E728" s="20">
        <v>-0.160818578889561</v>
      </c>
      <c r="F728" s="20">
        <v>-1.8263821333432699</v>
      </c>
      <c r="G728" s="20">
        <v>1.83344874820966</v>
      </c>
      <c r="H728" s="20">
        <v>4.4813166760942803E-3</v>
      </c>
      <c r="I728" s="20">
        <v>98.424977025858695</v>
      </c>
      <c r="J728" s="20">
        <v>406.74525478639373</v>
      </c>
      <c r="K728" s="20">
        <v>5.1656647357872014</v>
      </c>
      <c r="L728" s="20">
        <f t="shared" si="26"/>
        <v>406.74443617044761</v>
      </c>
      <c r="M728" s="20">
        <f t="shared" si="27"/>
        <v>-5.1656543393853473</v>
      </c>
    </row>
    <row r="729" spans="1:13" x14ac:dyDescent="0.2">
      <c r="A729" s="23">
        <v>175.5</v>
      </c>
      <c r="B729" s="20">
        <v>407.14896556940499</v>
      </c>
      <c r="C729" s="20">
        <v>17.316983550927102</v>
      </c>
      <c r="D729" s="20">
        <v>349.75508517148398</v>
      </c>
      <c r="E729" s="20">
        <v>-0.16118897591023701</v>
      </c>
      <c r="F729" s="20">
        <v>-1.82582966749338</v>
      </c>
      <c r="G729" s="20">
        <v>1.8329309481412499</v>
      </c>
      <c r="H729" s="20">
        <v>4.4996402592717899E-3</v>
      </c>
      <c r="I729" s="20">
        <v>98.468402110591398</v>
      </c>
      <c r="J729" s="20">
        <v>407.51788494681125</v>
      </c>
      <c r="K729" s="20">
        <v>5.1754771388245029</v>
      </c>
      <c r="L729" s="20">
        <f t="shared" si="26"/>
        <v>407.51706477586873</v>
      </c>
      <c r="M729" s="20">
        <f t="shared" si="27"/>
        <v>-5.1754667226742352</v>
      </c>
    </row>
    <row r="730" spans="1:13" x14ac:dyDescent="0.2">
      <c r="A730" s="23">
        <v>175.75</v>
      </c>
      <c r="B730" s="20">
        <v>407.919091153632</v>
      </c>
      <c r="C730" s="20">
        <v>17.386978923018699</v>
      </c>
      <c r="D730" s="20">
        <v>349.73112785262401</v>
      </c>
      <c r="E730" s="20">
        <v>-0.161559292084234</v>
      </c>
      <c r="F730" s="20">
        <v>-1.8252738890353799</v>
      </c>
      <c r="G730" s="20">
        <v>1.83240993635515</v>
      </c>
      <c r="H730" s="20">
        <v>4.5178973678190902E-3</v>
      </c>
      <c r="I730" s="20">
        <v>98.512049285249901</v>
      </c>
      <c r="J730" s="20">
        <v>408.29029252246642</v>
      </c>
      <c r="K730" s="20">
        <v>5.1852867150353239</v>
      </c>
      <c r="L730" s="20">
        <f t="shared" si="26"/>
        <v>408.28947079697588</v>
      </c>
      <c r="M730" s="20">
        <f t="shared" si="27"/>
        <v>-5.185276279142335</v>
      </c>
    </row>
    <row r="731" spans="1:13" x14ac:dyDescent="0.2">
      <c r="A731" s="23">
        <v>176</v>
      </c>
      <c r="B731" s="20">
        <v>408.68898381488799</v>
      </c>
      <c r="C731" s="20">
        <v>17.457100639005201</v>
      </c>
      <c r="D731" s="20">
        <v>349.70715516771099</v>
      </c>
      <c r="E731" s="20">
        <v>-0.161929525227752</v>
      </c>
      <c r="F731" s="20">
        <v>-1.8247148148729899</v>
      </c>
      <c r="G731" s="20">
        <v>1.8318857297215501</v>
      </c>
      <c r="H731" s="20">
        <v>4.53608768038291E-3</v>
      </c>
      <c r="I731" s="20">
        <v>98.555917083286602</v>
      </c>
      <c r="J731" s="20">
        <v>409.06247615646959</v>
      </c>
      <c r="K731" s="20">
        <v>5.1950934471871646</v>
      </c>
      <c r="L731" s="20">
        <f t="shared" si="26"/>
        <v>409.06165287688128</v>
      </c>
      <c r="M731" s="20">
        <f t="shared" si="27"/>
        <v>-5.1950829915571726</v>
      </c>
    </row>
    <row r="732" spans="1:13" x14ac:dyDescent="0.2">
      <c r="A732" s="23">
        <v>176.25</v>
      </c>
      <c r="B732" s="20">
        <v>409.458642192257</v>
      </c>
      <c r="C732" s="20">
        <v>17.527348509866599</v>
      </c>
      <c r="D732" s="20">
        <v>349.68316716897601</v>
      </c>
      <c r="E732" s="20">
        <v>-0.16229967316309701</v>
      </c>
      <c r="F732" s="20">
        <v>-1.82415246181496</v>
      </c>
      <c r="G732" s="20">
        <v>1.8313583450145501</v>
      </c>
      <c r="H732" s="20">
        <v>4.5542108967218699E-3</v>
      </c>
      <c r="I732" s="20">
        <v>98.600004045042994</v>
      </c>
      <c r="J732" s="20">
        <v>409.83443449904883</v>
      </c>
      <c r="K732" s="20">
        <v>5.2048973181379203</v>
      </c>
      <c r="L732" s="20">
        <f t="shared" ref="L732:L795" si="28">SQRT(B732^2+C732^2)</f>
        <v>409.83360966581677</v>
      </c>
      <c r="M732" s="20">
        <f t="shared" ref="M732:M795" si="29">-L732/A$25*100</f>
        <v>-5.2048868427766921</v>
      </c>
    </row>
    <row r="733" spans="1:13" x14ac:dyDescent="0.2">
      <c r="A733" s="23">
        <v>176.5</v>
      </c>
      <c r="B733" s="20">
        <v>410.22806493195799</v>
      </c>
      <c r="C733" s="20">
        <v>17.5977223461881</v>
      </c>
      <c r="D733" s="20">
        <v>349.65916390864697</v>
      </c>
      <c r="E733" s="20">
        <v>-0.162669733718704</v>
      </c>
      <c r="F733" s="20">
        <v>-1.8235868465754701</v>
      </c>
      <c r="G733" s="20">
        <v>1.83082779891261</v>
      </c>
      <c r="H733" s="20">
        <v>4.5722667370130801E-3</v>
      </c>
      <c r="I733" s="20">
        <v>98.644308717741893</v>
      </c>
      <c r="J733" s="20">
        <v>410.60616620750955</v>
      </c>
      <c r="K733" s="20">
        <v>5.2146983108353719</v>
      </c>
      <c r="L733" s="20">
        <f t="shared" si="28"/>
        <v>410.60533982108933</v>
      </c>
      <c r="M733" s="20">
        <f t="shared" si="29"/>
        <v>-5.2146878157486931</v>
      </c>
    </row>
    <row r="734" spans="1:13" x14ac:dyDescent="0.2">
      <c r="A734" s="23">
        <v>176.75</v>
      </c>
      <c r="B734" s="20">
        <v>410.99725068730601</v>
      </c>
      <c r="C734" s="20">
        <v>17.668221958160402</v>
      </c>
      <c r="D734" s="20">
        <v>349.635145438954</v>
      </c>
      <c r="E734" s="20">
        <v>-0.16303970472917301</v>
      </c>
      <c r="F734" s="20">
        <v>-1.8230179857745901</v>
      </c>
      <c r="G734" s="20">
        <v>1.8302941079989901</v>
      </c>
      <c r="H734" s="20">
        <v>4.5902549411815799E-3</v>
      </c>
      <c r="I734" s="20">
        <v>98.688829655480404</v>
      </c>
      <c r="J734" s="20">
        <v>411.37766994619216</v>
      </c>
      <c r="K734" s="20">
        <v>5.2244964083166412</v>
      </c>
      <c r="L734" s="20">
        <f t="shared" si="28"/>
        <v>411.37684200704234</v>
      </c>
      <c r="M734" s="20">
        <f t="shared" si="29"/>
        <v>-5.2244858935103364</v>
      </c>
    </row>
    <row r="735" spans="1:13" x14ac:dyDescent="0.2">
      <c r="A735" s="23">
        <v>177</v>
      </c>
      <c r="B735" s="20">
        <v>411.76619811867403</v>
      </c>
      <c r="C735" s="20">
        <v>17.738847155580501</v>
      </c>
      <c r="D735" s="20">
        <v>349.611111812128</v>
      </c>
      <c r="E735" s="20">
        <v>-0.16340958403530101</v>
      </c>
      <c r="F735" s="20">
        <v>-1.82244589593866</v>
      </c>
      <c r="G735" s="20">
        <v>1.82975728876217</v>
      </c>
      <c r="H735" s="20">
        <v>4.6081752682520802E-3</v>
      </c>
      <c r="I735" s="20">
        <v>98.733565419221804</v>
      </c>
      <c r="J735" s="20">
        <v>412.14894438643438</v>
      </c>
      <c r="K735" s="20">
        <v>5.2342915937077166</v>
      </c>
      <c r="L735" s="20">
        <f t="shared" si="28"/>
        <v>412.14811489501705</v>
      </c>
      <c r="M735" s="20">
        <f t="shared" si="29"/>
        <v>-5.2342810591876541</v>
      </c>
    </row>
    <row r="736" spans="1:13" x14ac:dyDescent="0.2">
      <c r="A736" s="23">
        <v>177.25</v>
      </c>
      <c r="B736" s="20">
        <v>412.53490589344801</v>
      </c>
      <c r="C736" s="20">
        <v>17.809597747852099</v>
      </c>
      <c r="D736" s="20">
        <v>349.58706308039501</v>
      </c>
      <c r="E736" s="20">
        <v>-0.16377936948410601</v>
      </c>
      <c r="F736" s="20">
        <v>-1.8218705935007899</v>
      </c>
      <c r="G736" s="20">
        <v>1.82921735759629</v>
      </c>
      <c r="H736" s="20">
        <v>4.6260274957220099E-3</v>
      </c>
      <c r="I736" s="20">
        <v>98.778514576787103</v>
      </c>
      <c r="J736" s="20">
        <v>412.91998820652879</v>
      </c>
      <c r="K736" s="20">
        <v>5.2440838502229159</v>
      </c>
      <c r="L736" s="20">
        <f t="shared" si="28"/>
        <v>412.9191571633076</v>
      </c>
      <c r="M736" s="20">
        <f t="shared" si="29"/>
        <v>-5.2440732959949834</v>
      </c>
    </row>
    <row r="737" spans="1:13" x14ac:dyDescent="0.2">
      <c r="A737" s="23">
        <v>177.5</v>
      </c>
      <c r="B737" s="20">
        <v>413.30337268599601</v>
      </c>
      <c r="C737" s="20">
        <v>17.880473543986501</v>
      </c>
      <c r="D737" s="20">
        <v>349.56299929598401</v>
      </c>
      <c r="E737" s="20">
        <v>-0.164149058928864</v>
      </c>
      <c r="F737" s="20">
        <v>-1.8212920948012099</v>
      </c>
      <c r="G737" s="20">
        <v>1.82867433080159</v>
      </c>
      <c r="H737" s="20">
        <v>4.6438114189550099E-3</v>
      </c>
      <c r="I737" s="20">
        <v>98.823675702845904</v>
      </c>
      <c r="J737" s="20">
        <v>413.69080009168778</v>
      </c>
      <c r="K737" s="20">
        <v>5.2538731611644351</v>
      </c>
      <c r="L737" s="20">
        <f t="shared" si="28"/>
        <v>413.68996749713006</v>
      </c>
      <c r="M737" s="20">
        <f t="shared" si="29"/>
        <v>-5.2538625872345674</v>
      </c>
    </row>
    <row r="738" spans="1:13" x14ac:dyDescent="0.2">
      <c r="A738" s="23">
        <v>177.75</v>
      </c>
      <c r="B738" s="20">
        <v>414.07159717761999</v>
      </c>
      <c r="C738" s="20">
        <v>17.951474352602698</v>
      </c>
      <c r="D738" s="20">
        <v>349.53892051111802</v>
      </c>
      <c r="E738" s="20">
        <v>-0.164518650229137</v>
      </c>
      <c r="F738" s="20">
        <v>-1.8207104160877501</v>
      </c>
      <c r="G738" s="20">
        <v>1.82812822458482</v>
      </c>
      <c r="H738" s="20">
        <v>4.6615268505945601E-3</v>
      </c>
      <c r="I738" s="20">
        <v>98.869047378907894</v>
      </c>
      <c r="J738" s="20">
        <v>414.46137873399914</v>
      </c>
      <c r="K738" s="20">
        <v>5.2636595099217889</v>
      </c>
      <c r="L738" s="20">
        <f t="shared" si="28"/>
        <v>414.46054458857401</v>
      </c>
      <c r="M738" s="20">
        <f t="shared" si="29"/>
        <v>-5.2636489162959448</v>
      </c>
    </row>
    <row r="739" spans="1:13" x14ac:dyDescent="0.2">
      <c r="A739" s="23">
        <v>178</v>
      </c>
      <c r="B739" s="20">
        <v>414.83957805652301</v>
      </c>
      <c r="C739" s="20">
        <v>18.022599981928401</v>
      </c>
      <c r="D739" s="20">
        <v>349.51482677801999</v>
      </c>
      <c r="E739" s="20">
        <v>-0.16488814125080201</v>
      </c>
      <c r="F739" s="20">
        <v>-1.8201255735162301</v>
      </c>
      <c r="G739" s="20">
        <v>1.82757905505971</v>
      </c>
      <c r="H739" s="20">
        <v>4.6791736199965498E-3</v>
      </c>
      <c r="I739" s="20">
        <v>98.914628193312694</v>
      </c>
      <c r="J739" s="20">
        <v>415.23172283239097</v>
      </c>
      <c r="K739" s="20">
        <v>5.2734428799713653</v>
      </c>
      <c r="L739" s="20">
        <f t="shared" si="28"/>
        <v>415.23088713656966</v>
      </c>
      <c r="M739" s="20">
        <f t="shared" si="29"/>
        <v>-5.2734322666555284</v>
      </c>
    </row>
    <row r="740" spans="1:13" x14ac:dyDescent="0.2">
      <c r="A740" s="23">
        <v>178.25</v>
      </c>
      <c r="B740" s="20">
        <v>415.607314017769</v>
      </c>
      <c r="C740" s="20">
        <v>18.0938502398003</v>
      </c>
      <c r="D740" s="20">
        <v>349.49071814890601</v>
      </c>
      <c r="E740" s="20">
        <v>-0.165257529866082</v>
      </c>
      <c r="F740" s="20">
        <v>-1.8195375831509299</v>
      </c>
      <c r="G740" s="20">
        <v>1.82702683824737</v>
      </c>
      <c r="H740" s="20">
        <v>4.6967515726806398E-3</v>
      </c>
      <c r="I740" s="20">
        <v>98.960416741219703</v>
      </c>
      <c r="J740" s="20">
        <v>416.00183109258876</v>
      </c>
      <c r="K740" s="20">
        <v>5.2832232548758773</v>
      </c>
      <c r="L740" s="20">
        <f t="shared" si="28"/>
        <v>416.00099384684739</v>
      </c>
      <c r="M740" s="20">
        <f t="shared" si="29"/>
        <v>-5.2832126218760944</v>
      </c>
    </row>
    <row r="741" spans="1:13" x14ac:dyDescent="0.2">
      <c r="A741" s="23">
        <v>178.5</v>
      </c>
      <c r="B741" s="20">
        <v>416.37480376323998</v>
      </c>
      <c r="C741" s="20">
        <v>18.165224933664501</v>
      </c>
      <c r="D741" s="20">
        <v>349.46659467599</v>
      </c>
      <c r="E741" s="20">
        <v>-0.16562681395357701</v>
      </c>
      <c r="F741" s="20">
        <v>-1.8189464609649799</v>
      </c>
      <c r="G741" s="20">
        <v>1.8264715900767401</v>
      </c>
      <c r="H741" s="20">
        <v>4.7142605697992196E-3</v>
      </c>
      <c r="I741" s="20">
        <v>99.006411624598499</v>
      </c>
      <c r="J741" s="20">
        <v>416.77170222708014</v>
      </c>
      <c r="K741" s="20">
        <v>5.2930006182839184</v>
      </c>
      <c r="L741" s="20">
        <f t="shared" si="28"/>
        <v>416.77086343189495</v>
      </c>
      <c r="M741" s="20">
        <f t="shared" si="29"/>
        <v>-5.292989965606238</v>
      </c>
    </row>
    <row r="742" spans="1:13" x14ac:dyDescent="0.2">
      <c r="A742" s="23">
        <v>178.75</v>
      </c>
      <c r="B742" s="20">
        <v>417.14204600160502</v>
      </c>
      <c r="C742" s="20">
        <v>18.236723870576899</v>
      </c>
      <c r="D742" s="20">
        <v>349.44245641148001</v>
      </c>
      <c r="E742" s="20">
        <v>-0.16599599139829099</v>
      </c>
      <c r="F742" s="20">
        <v>-1.81835222284079</v>
      </c>
      <c r="G742" s="20">
        <v>1.825913326385</v>
      </c>
      <c r="H742" s="20">
        <v>4.7317004876237202E-3</v>
      </c>
      <c r="I742" s="20">
        <v>99.052611452217604</v>
      </c>
      <c r="J742" s="20">
        <v>417.54133495507443</v>
      </c>
      <c r="K742" s="20">
        <v>5.3027749539294451</v>
      </c>
      <c r="L742" s="20">
        <f t="shared" si="28"/>
        <v>417.54049461092609</v>
      </c>
      <c r="M742" s="20">
        <f t="shared" si="29"/>
        <v>-5.3027642815799725</v>
      </c>
    </row>
    <row r="743" spans="1:13" x14ac:dyDescent="0.2">
      <c r="A743" s="23">
        <v>179</v>
      </c>
      <c r="B743" s="20">
        <v>417.90903944827397</v>
      </c>
      <c r="C743" s="20">
        <v>18.308346857204199</v>
      </c>
      <c r="D743" s="20">
        <v>349.41830340758003</v>
      </c>
      <c r="E743" s="20">
        <v>-0.16636506009166399</v>
      </c>
      <c r="F743" s="20">
        <v>-1.8177548845704901</v>
      </c>
      <c r="G743" s="20">
        <v>1.82535206291805</v>
      </c>
      <c r="H743" s="20">
        <v>4.7490712170478004E-3</v>
      </c>
      <c r="I743" s="20">
        <v>99.099014839633298</v>
      </c>
      <c r="J743" s="20">
        <v>418.31072800246488</v>
      </c>
      <c r="K743" s="20">
        <v>5.312546245631304</v>
      </c>
      <c r="L743" s="20">
        <f t="shared" si="28"/>
        <v>418.30988610983451</v>
      </c>
      <c r="M743" s="20">
        <f t="shared" si="29"/>
        <v>-5.312535553616148</v>
      </c>
    </row>
    <row r="744" spans="1:13" x14ac:dyDescent="0.2">
      <c r="A744" s="23">
        <v>179.25</v>
      </c>
      <c r="B744" s="20">
        <v>418.67578282536601</v>
      </c>
      <c r="C744" s="20">
        <v>18.3800936998236</v>
      </c>
      <c r="D744" s="20">
        <v>349.39413571648402</v>
      </c>
      <c r="E744" s="20">
        <v>-0.1667340179316</v>
      </c>
      <c r="F744" s="20">
        <v>-1.81715446185634</v>
      </c>
      <c r="G744" s="20">
        <v>1.8247878153308701</v>
      </c>
      <c r="H744" s="20">
        <v>4.7663726631061E-3</v>
      </c>
      <c r="I744" s="20">
        <v>99.145620409178505</v>
      </c>
      <c r="J744" s="20">
        <v>419.07988010178798</v>
      </c>
      <c r="K744" s="20">
        <v>5.322314477292708</v>
      </c>
      <c r="L744" s="20">
        <f t="shared" si="28"/>
        <v>419.07903666116175</v>
      </c>
      <c r="M744" s="20">
        <f t="shared" si="29"/>
        <v>-5.3223037656180434</v>
      </c>
    </row>
    <row r="745" spans="1:13" x14ac:dyDescent="0.2">
      <c r="A745" s="23">
        <v>179.5</v>
      </c>
      <c r="B745" s="20">
        <v>419.44227486166699</v>
      </c>
      <c r="C745" s="20">
        <v>18.451964204323499</v>
      </c>
      <c r="D745" s="20">
        <v>349.36995339038299</v>
      </c>
      <c r="E745" s="20">
        <v>-0.16710286282249801</v>
      </c>
      <c r="F745" s="20">
        <v>-1.81655097031116</v>
      </c>
      <c r="G745" s="20">
        <v>1.82422059918802</v>
      </c>
      <c r="H745" s="20">
        <v>4.7836047445090398E-3</v>
      </c>
      <c r="I745" s="20">
        <v>99.1924267899509</v>
      </c>
      <c r="J745" s="20">
        <v>419.84878999219001</v>
      </c>
      <c r="K745" s="20">
        <v>5.3320796329008138</v>
      </c>
      <c r="L745" s="20">
        <f t="shared" si="28"/>
        <v>419.84794500405485</v>
      </c>
      <c r="M745" s="20">
        <f t="shared" si="29"/>
        <v>-5.3320689015728249</v>
      </c>
    </row>
    <row r="746" spans="1:13" x14ac:dyDescent="0.2">
      <c r="A746" s="23">
        <v>179.75</v>
      </c>
      <c r="B746" s="20">
        <v>420.20851429259301</v>
      </c>
      <c r="C746" s="20">
        <v>18.523958176204101</v>
      </c>
      <c r="D746" s="20">
        <v>349.34575648145699</v>
      </c>
      <c r="E746" s="20">
        <v>-0.167471592675279</v>
      </c>
      <c r="F746" s="20">
        <v>-1.81594442545875</v>
      </c>
      <c r="G746" s="20">
        <v>1.8236504299640099</v>
      </c>
      <c r="H746" s="20">
        <v>4.8007673931923598E-3</v>
      </c>
      <c r="I746" s="20">
        <v>99.239432617800901</v>
      </c>
      <c r="J746" s="20">
        <v>420.61745641938387</v>
      </c>
      <c r="K746" s="20">
        <v>5.3418416965261759</v>
      </c>
      <c r="L746" s="20">
        <f t="shared" si="28"/>
        <v>420.61660988422949</v>
      </c>
      <c r="M746" s="20">
        <f t="shared" si="29"/>
        <v>-5.3418309455510817</v>
      </c>
    </row>
    <row r="747" spans="1:13" x14ac:dyDescent="0.2">
      <c r="A747" s="23">
        <v>180</v>
      </c>
      <c r="B747" s="20">
        <v>420.97449986015499</v>
      </c>
      <c r="C747" s="20">
        <v>18.596075420577201</v>
      </c>
      <c r="D747" s="20">
        <v>349.32154504187997</v>
      </c>
      <c r="E747" s="20">
        <v>-0.16784020540741501</v>
      </c>
      <c r="F747" s="20">
        <v>-1.8153348427343201</v>
      </c>
      <c r="G747" s="20">
        <v>1.82307732304377</v>
      </c>
      <c r="H747" s="20">
        <v>4.8178605538810098E-3</v>
      </c>
      <c r="I747" s="20">
        <v>99.286636535319005</v>
      </c>
      <c r="J747" s="20">
        <v>421.38587813561537</v>
      </c>
      <c r="K747" s="20">
        <v>5.3516006523223156</v>
      </c>
      <c r="L747" s="20">
        <f t="shared" si="28"/>
        <v>421.38503005393466</v>
      </c>
      <c r="M747" s="20">
        <f t="shared" si="29"/>
        <v>-5.3515898817063761</v>
      </c>
    </row>
    <row r="748" spans="1:13" x14ac:dyDescent="0.2">
      <c r="A748" s="23">
        <v>180.25</v>
      </c>
      <c r="B748" s="20">
        <v>421.74023031291802</v>
      </c>
      <c r="C748" s="20">
        <v>18.668315742167302</v>
      </c>
      <c r="D748" s="20">
        <v>349.297319123813</v>
      </c>
      <c r="E748" s="20">
        <v>-0.168208698942962</v>
      </c>
      <c r="F748" s="20">
        <v>-1.8147222374848999</v>
      </c>
      <c r="G748" s="20">
        <v>1.82250129372307</v>
      </c>
      <c r="H748" s="20">
        <v>4.8348841836672101E-3</v>
      </c>
      <c r="I748" s="20">
        <v>99.334037191823299</v>
      </c>
      <c r="J748" s="20">
        <v>422.15405389962331</v>
      </c>
      <c r="K748" s="20">
        <v>5.3613564845252162</v>
      </c>
      <c r="L748" s="20">
        <f t="shared" si="28"/>
        <v>422.15320427191165</v>
      </c>
      <c r="M748" s="20">
        <f t="shared" si="29"/>
        <v>-5.3613456942747231</v>
      </c>
    </row>
    <row r="749" spans="1:13" x14ac:dyDescent="0.2">
      <c r="A749" s="23">
        <v>180.5</v>
      </c>
      <c r="B749" s="20">
        <v>422.50570440596601</v>
      </c>
      <c r="C749" s="20">
        <v>18.7406789453111</v>
      </c>
      <c r="D749" s="20">
        <v>349.273078779412</v>
      </c>
      <c r="E749" s="20">
        <v>-0.168577071212581</v>
      </c>
      <c r="F749" s="20">
        <v>-1.8141066249697499</v>
      </c>
      <c r="G749" s="20">
        <v>1.82192235720894</v>
      </c>
      <c r="H749" s="20">
        <v>4.8518382516019396E-3</v>
      </c>
      <c r="I749" s="20">
        <v>99.3816332433463</v>
      </c>
      <c r="J749" s="20">
        <v>422.92198247660491</v>
      </c>
      <c r="K749" s="20">
        <v>5.3711091774528823</v>
      </c>
      <c r="L749" s="20">
        <f t="shared" si="28"/>
        <v>422.92113130335866</v>
      </c>
      <c r="M749" s="20">
        <f t="shared" si="29"/>
        <v>-5.3710983675741399</v>
      </c>
    </row>
    <row r="750" spans="1:13" x14ac:dyDescent="0.2">
      <c r="A750" s="23">
        <v>180.75</v>
      </c>
      <c r="B750" s="20">
        <v>423.27092090086398</v>
      </c>
      <c r="C750" s="20">
        <v>18.813164833958499</v>
      </c>
      <c r="D750" s="20">
        <v>349.248824060819</v>
      </c>
      <c r="E750" s="20">
        <v>-0.168945320153575</v>
      </c>
      <c r="F750" s="20">
        <v>-1.8134880203608399</v>
      </c>
      <c r="G750" s="20">
        <v>1.8213405286200799</v>
      </c>
      <c r="H750" s="20">
        <v>4.8687227382993199E-3</v>
      </c>
      <c r="I750" s="20">
        <v>99.429423352621697</v>
      </c>
      <c r="J750" s="20">
        <v>423.68966263817293</v>
      </c>
      <c r="K750" s="20">
        <v>5.3808587155047967</v>
      </c>
      <c r="L750" s="20">
        <f t="shared" si="28"/>
        <v>423.68880991989295</v>
      </c>
      <c r="M750" s="20">
        <f t="shared" si="29"/>
        <v>-5.3808478860041644</v>
      </c>
    </row>
    <row r="751" spans="1:13" x14ac:dyDescent="0.2">
      <c r="A751" s="23">
        <v>181</v>
      </c>
      <c r="B751" s="20">
        <v>424.035878565622</v>
      </c>
      <c r="C751" s="20">
        <v>18.885773211672301</v>
      </c>
      <c r="D751" s="20">
        <v>349.22455502016498</v>
      </c>
      <c r="E751" s="20">
        <v>-0.169313443709912</v>
      </c>
      <c r="F751" s="20">
        <v>-1.8128664387431701</v>
      </c>
      <c r="G751" s="20">
        <v>1.82075582298732</v>
      </c>
      <c r="H751" s="20">
        <v>4.8855376355537898E-3</v>
      </c>
      <c r="I751" s="20">
        <v>99.477406189070294</v>
      </c>
      <c r="J751" s="20">
        <v>424.45709316232586</v>
      </c>
      <c r="K751" s="20">
        <v>5.3906050831615389</v>
      </c>
      <c r="L751" s="20">
        <f t="shared" si="28"/>
        <v>424.4562388995144</v>
      </c>
      <c r="M751" s="20">
        <f t="shared" si="29"/>
        <v>-5.3905942340453956</v>
      </c>
    </row>
    <row r="752" spans="1:13" x14ac:dyDescent="0.2">
      <c r="A752" s="23">
        <v>181.25</v>
      </c>
      <c r="B752" s="20">
        <v>424.80057617465701</v>
      </c>
      <c r="C752" s="20">
        <v>18.958503881628801</v>
      </c>
      <c r="D752" s="20">
        <v>349.20027170957002</v>
      </c>
      <c r="E752" s="20">
        <v>-0.16968143983225301</v>
      </c>
      <c r="F752" s="20">
        <v>-1.8122418951152801</v>
      </c>
      <c r="G752" s="20">
        <v>1.8201682552540499</v>
      </c>
      <c r="H752" s="20">
        <v>4.9022829459692604E-3</v>
      </c>
      <c r="I752" s="20">
        <v>99.525580428786597</v>
      </c>
      <c r="J752" s="20">
        <v>425.22427283340483</v>
      </c>
      <c r="K752" s="20">
        <v>5.4003482649842418</v>
      </c>
      <c r="L752" s="20">
        <f t="shared" si="28"/>
        <v>425.22341702656769</v>
      </c>
      <c r="M752" s="20">
        <f t="shared" si="29"/>
        <v>-5.4003373962590109</v>
      </c>
    </row>
    <row r="753" spans="1:13" x14ac:dyDescent="0.2">
      <c r="A753" s="23">
        <v>181.5</v>
      </c>
      <c r="B753" s="20">
        <v>425.56501250875698</v>
      </c>
      <c r="C753" s="20">
        <v>19.031356646618001</v>
      </c>
      <c r="D753" s="20">
        <v>349.17597418114099</v>
      </c>
      <c r="E753" s="20">
        <v>-0.170049306477986</v>
      </c>
      <c r="F753" s="20">
        <v>-1.8116144043896201</v>
      </c>
      <c r="G753" s="20">
        <v>1.8195778402765901</v>
      </c>
      <c r="H753" s="20">
        <v>4.9189586826000799E-3</v>
      </c>
      <c r="I753" s="20">
        <v>99.573944754524504</v>
      </c>
      <c r="J753" s="20">
        <v>425.99120044206245</v>
      </c>
      <c r="K753" s="20">
        <v>5.410088245614193</v>
      </c>
      <c r="L753" s="20">
        <f t="shared" si="28"/>
        <v>425.99034309170588</v>
      </c>
      <c r="M753" s="20">
        <f t="shared" si="29"/>
        <v>-5.4100773572863057</v>
      </c>
    </row>
    <row r="754" spans="1:13" x14ac:dyDescent="0.2">
      <c r="A754" s="23">
        <v>181.75</v>
      </c>
      <c r="B754" s="20">
        <v>426.32918635504598</v>
      </c>
      <c r="C754" s="20">
        <v>19.104331309043701</v>
      </c>
      <c r="D754" s="20">
        <v>349.15166248696897</v>
      </c>
      <c r="E754" s="20">
        <v>-0.17041704161124499</v>
      </c>
      <c r="F754" s="20">
        <v>-1.81098398139298</v>
      </c>
      <c r="G754" s="20">
        <v>1.81898459282467</v>
      </c>
      <c r="H754" s="20">
        <v>4.9355648686033099E-3</v>
      </c>
      <c r="I754" s="20">
        <v>99.622497855682397</v>
      </c>
      <c r="J754" s="20">
        <v>426.75787478522142</v>
      </c>
      <c r="K754" s="20">
        <v>5.4198250097723122</v>
      </c>
      <c r="L754" s="20">
        <f t="shared" si="28"/>
        <v>426.75701589185525</v>
      </c>
      <c r="M754" s="20">
        <f t="shared" si="29"/>
        <v>-5.4198141018482406</v>
      </c>
    </row>
    <row r="755" spans="1:13" x14ac:dyDescent="0.2">
      <c r="A755" s="23">
        <v>182</v>
      </c>
      <c r="B755" s="20">
        <v>427.09309650694502</v>
      </c>
      <c r="C755" s="20">
        <v>19.177427670923699</v>
      </c>
      <c r="D755" s="20">
        <v>349.127336679135</v>
      </c>
      <c r="E755" s="20">
        <v>-0.17078464320294801</v>
      </c>
      <c r="F755" s="20">
        <v>-1.8103506408669101</v>
      </c>
      <c r="G755" s="20">
        <v>1.8183885275818199</v>
      </c>
      <c r="H755" s="20">
        <v>4.9521015369018801E-3</v>
      </c>
      <c r="I755" s="20">
        <v>99.671238428288603</v>
      </c>
      <c r="J755" s="20">
        <v>427.52429466604138</v>
      </c>
      <c r="K755" s="20">
        <v>5.429558542258726</v>
      </c>
      <c r="L755" s="20">
        <f t="shared" si="28"/>
        <v>427.52343423017663</v>
      </c>
      <c r="M755" s="20">
        <f t="shared" si="29"/>
        <v>-5.4295476147449619</v>
      </c>
    </row>
    <row r="756" spans="1:13" x14ac:dyDescent="0.2">
      <c r="A756" s="23">
        <v>182.25</v>
      </c>
      <c r="B756" s="20">
        <v>427.85674176414102</v>
      </c>
      <c r="C756" s="20">
        <v>19.250645533890101</v>
      </c>
      <c r="D756" s="20">
        <v>349.10299680970002</v>
      </c>
      <c r="E756" s="20">
        <v>-0.171152109230814</v>
      </c>
      <c r="F756" s="20">
        <v>-1.8097143974681</v>
      </c>
      <c r="G756" s="20">
        <v>1.81778965914583</v>
      </c>
      <c r="H756" s="20">
        <v>4.96856872985851E-3</v>
      </c>
      <c r="I756" s="20">
        <v>99.720165174986306</v>
      </c>
      <c r="J756" s="20">
        <v>428.29045889388067</v>
      </c>
      <c r="K756" s="20">
        <v>5.4392888279522849</v>
      </c>
      <c r="L756" s="20">
        <f t="shared" si="28"/>
        <v>428.28959691603336</v>
      </c>
      <c r="M756" s="20">
        <f t="shared" si="29"/>
        <v>-5.4392778808553812</v>
      </c>
    </row>
    <row r="757" spans="1:13" x14ac:dyDescent="0.2">
      <c r="A757" s="23">
        <v>182.5</v>
      </c>
      <c r="B757" s="20">
        <v>428.62012093254401</v>
      </c>
      <c r="C757" s="20">
        <v>19.3239846991893</v>
      </c>
      <c r="D757" s="20">
        <v>349.07864293071401</v>
      </c>
      <c r="E757" s="20">
        <v>-0.171519437679401</v>
      </c>
      <c r="F757" s="20">
        <v>-1.80907526576887</v>
      </c>
      <c r="G757" s="20">
        <v>1.81718800202912</v>
      </c>
      <c r="H757" s="20">
        <v>4.9849664989595798E-3</v>
      </c>
      <c r="I757" s="20">
        <v>99.769276805018805</v>
      </c>
      <c r="J757" s="20">
        <v>429.05636628426197</v>
      </c>
      <c r="K757" s="20">
        <v>5.4490158518101275</v>
      </c>
      <c r="L757" s="20">
        <f t="shared" si="28"/>
        <v>429.05550276494898</v>
      </c>
      <c r="M757" s="20">
        <f t="shared" si="29"/>
        <v>-5.4490048851366479</v>
      </c>
    </row>
    <row r="758" spans="1:13" x14ac:dyDescent="0.2">
      <c r="A758" s="23">
        <v>182.75</v>
      </c>
      <c r="B758" s="20">
        <v>429.38323282425802</v>
      </c>
      <c r="C758" s="20">
        <v>19.397444967682301</v>
      </c>
      <c r="D758" s="20">
        <v>349.05427509420798</v>
      </c>
      <c r="E758" s="20">
        <v>-0.17188662654012499</v>
      </c>
      <c r="F758" s="20">
        <v>-1.8084332602575</v>
      </c>
      <c r="G758" s="20">
        <v>1.8165835706592</v>
      </c>
      <c r="H758" s="20">
        <v>5.0012949045092703E-3</v>
      </c>
      <c r="I758" s="20">
        <v>99.818572034212806</v>
      </c>
      <c r="J758" s="20">
        <v>429.82201565883787</v>
      </c>
      <c r="K758" s="20">
        <v>5.4587395988672416</v>
      </c>
      <c r="L758" s="20">
        <f t="shared" si="28"/>
        <v>429.82115059857773</v>
      </c>
      <c r="M758" s="20">
        <f t="shared" si="29"/>
        <v>-5.458728612623772</v>
      </c>
    </row>
    <row r="759" spans="1:13" x14ac:dyDescent="0.2">
      <c r="A759" s="23">
        <v>183</v>
      </c>
      <c r="B759" s="20">
        <v>430.14607625754201</v>
      </c>
      <c r="C759" s="20">
        <v>19.471026139844799</v>
      </c>
      <c r="D759" s="20">
        <v>349.02989335219502</v>
      </c>
      <c r="E759" s="20">
        <v>-0.172253673811292</v>
      </c>
      <c r="F759" s="20">
        <v>-1.8077883953386999</v>
      </c>
      <c r="G759" s="20">
        <v>1.81597637937908</v>
      </c>
      <c r="H759" s="20">
        <v>5.0175540153327E-3</v>
      </c>
      <c r="I759" s="20">
        <v>99.8680495849636</v>
      </c>
      <c r="J759" s="20">
        <v>430.58740584535008</v>
      </c>
      <c r="K759" s="20">
        <v>5.4684600542359458</v>
      </c>
      <c r="L759" s="20">
        <f t="shared" si="28"/>
        <v>430.58653924466523</v>
      </c>
      <c r="M759" s="20">
        <f t="shared" si="29"/>
        <v>-5.4684490484291217</v>
      </c>
    </row>
    <row r="760" spans="1:13" x14ac:dyDescent="0.2">
      <c r="A760" s="23">
        <v>183.25</v>
      </c>
      <c r="B760" s="20">
        <v>430.908650056775</v>
      </c>
      <c r="C760" s="20">
        <v>19.544728015766999</v>
      </c>
      <c r="D760" s="20">
        <v>349.00549775667099</v>
      </c>
      <c r="E760" s="20">
        <v>-0.17262057749812401</v>
      </c>
      <c r="F760" s="20">
        <v>-1.80714068533399</v>
      </c>
      <c r="G760" s="20">
        <v>1.8153664424476901</v>
      </c>
      <c r="H760" s="20">
        <v>5.0337439084888998E-3</v>
      </c>
      <c r="I760" s="20">
        <v>99.917708186218803</v>
      </c>
      <c r="J760" s="20">
        <v>431.35253567759986</v>
      </c>
      <c r="K760" s="20">
        <v>5.4781772031055187</v>
      </c>
      <c r="L760" s="20">
        <f t="shared" si="28"/>
        <v>431.35166753701384</v>
      </c>
      <c r="M760" s="20">
        <f t="shared" si="29"/>
        <v>-5.478166177741989</v>
      </c>
    </row>
    <row r="761" spans="1:13" x14ac:dyDescent="0.2">
      <c r="A761" s="23">
        <v>183.5</v>
      </c>
      <c r="B761" s="20">
        <v>431.67095305242299</v>
      </c>
      <c r="C761" s="20">
        <v>19.618550395154202</v>
      </c>
      <c r="D761" s="20">
        <v>348.98108835961398</v>
      </c>
      <c r="E761" s="20">
        <v>-0.17298733561278601</v>
      </c>
      <c r="F761" s="20">
        <v>-1.80649014448212</v>
      </c>
      <c r="G761" s="20">
        <v>1.8147537740402799</v>
      </c>
      <c r="H761" s="20">
        <v>5.0498646689921996E-3</v>
      </c>
      <c r="I761" s="20">
        <v>99.967546573461902</v>
      </c>
      <c r="J761" s="20">
        <v>432.11740399540975</v>
      </c>
      <c r="K761" s="20">
        <v>5.4878910307417037</v>
      </c>
      <c r="L761" s="20">
        <f t="shared" si="28"/>
        <v>432.11653431544875</v>
      </c>
      <c r="M761" s="20">
        <f t="shared" si="29"/>
        <v>-5.4878799858281511</v>
      </c>
    </row>
    <row r="762" spans="1:13" x14ac:dyDescent="0.2">
      <c r="A762" s="23">
        <v>183.75</v>
      </c>
      <c r="B762" s="20">
        <v>432.43298408100202</v>
      </c>
      <c r="C762" s="20">
        <v>19.692493077326301</v>
      </c>
      <c r="D762" s="20">
        <v>348.95666521298</v>
      </c>
      <c r="E762" s="20">
        <v>-0.17335394617441299</v>
      </c>
      <c r="F762" s="20">
        <v>-1.8058367869395</v>
      </c>
      <c r="G762" s="20">
        <v>1.81413838824887</v>
      </c>
      <c r="H762" s="20">
        <v>5.06591638954267E-3</v>
      </c>
      <c r="I762" s="20">
        <v>100.017563488696</v>
      </c>
      <c r="J762" s="20">
        <v>432.88200964458861</v>
      </c>
      <c r="K762" s="20">
        <v>5.497601522486276</v>
      </c>
      <c r="L762" s="20">
        <f t="shared" si="28"/>
        <v>432.88113842578161</v>
      </c>
      <c r="M762" s="20">
        <f t="shared" si="29"/>
        <v>-5.4975904580294177</v>
      </c>
    </row>
    <row r="763" spans="1:13" x14ac:dyDescent="0.2">
      <c r="A763" s="23">
        <v>184</v>
      </c>
      <c r="B763" s="20">
        <v>433.19474198504298</v>
      </c>
      <c r="C763" s="20">
        <v>19.7665558612184</v>
      </c>
      <c r="D763" s="20">
        <v>348.932228368707</v>
      </c>
      <c r="E763" s="20">
        <v>-0.17372040720913601</v>
      </c>
      <c r="F763" s="20">
        <v>-1.8051806267805599</v>
      </c>
      <c r="G763" s="20">
        <v>1.81352029908264</v>
      </c>
      <c r="H763" s="20">
        <v>5.0818991702643E-3</v>
      </c>
      <c r="I763" s="20">
        <v>100.067757680426</v>
      </c>
      <c r="J763" s="20">
        <v>433.64635147689773</v>
      </c>
      <c r="K763" s="20">
        <v>5.5073086637566018</v>
      </c>
      <c r="L763" s="20">
        <f t="shared" si="28"/>
        <v>433.64547871977476</v>
      </c>
      <c r="M763" s="20">
        <f t="shared" si="29"/>
        <v>-5.5072975797631685</v>
      </c>
    </row>
    <row r="764" spans="1:13" x14ac:dyDescent="0.2">
      <c r="A764" s="23">
        <v>184.25</v>
      </c>
      <c r="B764" s="20">
        <v>433.95622561306101</v>
      </c>
      <c r="C764" s="20">
        <v>19.8407385453805</v>
      </c>
      <c r="D764" s="20">
        <v>348.90777787871099</v>
      </c>
      <c r="E764" s="20">
        <v>-0.17408671675010801</v>
      </c>
      <c r="F764" s="20">
        <v>-1.8045216779982201</v>
      </c>
      <c r="G764" s="20">
        <v>1.81289952046835</v>
      </c>
      <c r="H764" s="20">
        <v>5.0978131184520898E-3</v>
      </c>
      <c r="I764" s="20">
        <v>100.118127903645</v>
      </c>
      <c r="J764" s="20">
        <v>434.41042835001565</v>
      </c>
      <c r="K764" s="20">
        <v>5.5170124400451996</v>
      </c>
      <c r="L764" s="20">
        <f t="shared" si="28"/>
        <v>434.40955405511062</v>
      </c>
      <c r="M764" s="20">
        <f t="shared" si="29"/>
        <v>-5.5170013365219734</v>
      </c>
    </row>
    <row r="765" spans="1:13" x14ac:dyDescent="0.2">
      <c r="A765" s="23">
        <v>184.5</v>
      </c>
      <c r="B765" s="20">
        <v>434.71743381951501</v>
      </c>
      <c r="C765" s="20">
        <v>19.915040927977401</v>
      </c>
      <c r="D765" s="20">
        <v>348.88331379488699</v>
      </c>
      <c r="E765" s="20">
        <v>-0.174452872837534</v>
      </c>
      <c r="F765" s="20">
        <v>-1.80385995450425</v>
      </c>
      <c r="G765" s="20">
        <v>1.81227606625076</v>
      </c>
      <c r="H765" s="20">
        <v>5.11365834832602E-3</v>
      </c>
      <c r="I765" s="20">
        <v>100.16867291981301</v>
      </c>
      <c r="J765" s="20">
        <v>435.17423912750229</v>
      </c>
      <c r="K765" s="20">
        <v>5.5267128369192795</v>
      </c>
      <c r="L765" s="20">
        <f t="shared" si="28"/>
        <v>435.17336329535084</v>
      </c>
      <c r="M765" s="20">
        <f t="shared" si="29"/>
        <v>-5.526701713873063</v>
      </c>
    </row>
    <row r="766" spans="1:13" x14ac:dyDescent="0.2">
      <c r="A766" s="23">
        <v>184.75</v>
      </c>
      <c r="B766" s="20">
        <v>435.47836546477902</v>
      </c>
      <c r="C766" s="20">
        <v>19.989462806789099</v>
      </c>
      <c r="D766" s="20">
        <v>348.85883616910399</v>
      </c>
      <c r="E766" s="20">
        <v>-0.17481887351869299</v>
      </c>
      <c r="F766" s="20">
        <v>-1.80319547012968</v>
      </c>
      <c r="G766" s="20">
        <v>1.8116499501930701</v>
      </c>
      <c r="H766" s="20">
        <v>5.1294349807933402E-3</v>
      </c>
      <c r="I766" s="20">
        <v>100.219391496841</v>
      </c>
      <c r="J766" s="20">
        <v>435.93778267876786</v>
      </c>
      <c r="K766" s="20">
        <v>5.5364098400203527</v>
      </c>
      <c r="L766" s="20">
        <f t="shared" si="28"/>
        <v>435.9369053099079</v>
      </c>
      <c r="M766" s="20">
        <f t="shared" si="29"/>
        <v>-5.536398697457976</v>
      </c>
    </row>
    <row r="767" spans="1:13" x14ac:dyDescent="0.2">
      <c r="A767" s="23">
        <v>185</v>
      </c>
      <c r="B767" s="20">
        <v>436.23901941510502</v>
      </c>
      <c r="C767" s="20">
        <v>20.0640039792106</v>
      </c>
      <c r="D767" s="20">
        <v>348.83434505321202</v>
      </c>
      <c r="E767" s="20">
        <v>-0.17518471684796799</v>
      </c>
      <c r="F767" s="20">
        <v>-1.8025282386252299</v>
      </c>
      <c r="G767" s="20">
        <v>1.81102118597726</v>
      </c>
      <c r="H767" s="20">
        <v>5.1451431432175797E-3</v>
      </c>
      <c r="I767" s="20">
        <v>100.270282409076</v>
      </c>
      <c r="J767" s="20">
        <v>436.70105787903509</v>
      </c>
      <c r="K767" s="20">
        <v>5.5461034350637464</v>
      </c>
      <c r="L767" s="20">
        <f t="shared" si="28"/>
        <v>436.70017897400743</v>
      </c>
      <c r="M767" s="20">
        <f t="shared" si="29"/>
        <v>-5.5460922729920785</v>
      </c>
    </row>
    <row r="768" spans="1:13" x14ac:dyDescent="0.2">
      <c r="A768" s="23">
        <v>185.25</v>
      </c>
      <c r="B768" s="20">
        <v>436.99939454258902</v>
      </c>
      <c r="C768" s="20">
        <v>20.1386642422516</v>
      </c>
      <c r="D768" s="20">
        <v>348.80984049903401</v>
      </c>
      <c r="E768" s="20">
        <v>-0.17555040088686699</v>
      </c>
      <c r="F768" s="20">
        <v>-1.8018582736616999</v>
      </c>
      <c r="G768" s="20">
        <v>1.81038978720458</v>
      </c>
      <c r="H768" s="20">
        <v>5.1607829691948503E-3</v>
      </c>
      <c r="I768" s="20">
        <v>100.321344437279</v>
      </c>
      <c r="J768" s="20">
        <v>437.46406360930791</v>
      </c>
      <c r="K768" s="20">
        <v>5.5557936078382113</v>
      </c>
      <c r="L768" s="20">
        <f t="shared" si="28"/>
        <v>437.46318316865427</v>
      </c>
      <c r="M768" s="20">
        <f t="shared" si="29"/>
        <v>-5.5557824262641322</v>
      </c>
    </row>
    <row r="769" spans="1:13" x14ac:dyDescent="0.2">
      <c r="A769" s="23">
        <v>185.5</v>
      </c>
      <c r="B769" s="20">
        <v>437.75948972513999</v>
      </c>
      <c r="C769" s="20">
        <v>20.2134433925367</v>
      </c>
      <c r="D769" s="20">
        <v>348.78532255836802</v>
      </c>
      <c r="E769" s="20">
        <v>-0.17591592370405401</v>
      </c>
      <c r="F769" s="20">
        <v>-1.8011855888303501</v>
      </c>
      <c r="G769" s="20">
        <v>1.8097557673959199</v>
      </c>
      <c r="H769" s="20">
        <v>5.1763545983370303E-3</v>
      </c>
      <c r="I769" s="20">
        <v>100.37257636861</v>
      </c>
      <c r="J769" s="20">
        <v>438.22679875633662</v>
      </c>
      <c r="K769" s="20">
        <v>5.5654803442054757</v>
      </c>
      <c r="L769" s="20">
        <f t="shared" si="28"/>
        <v>438.22591678060098</v>
      </c>
      <c r="M769" s="20">
        <f t="shared" si="29"/>
        <v>-5.5654691431358945</v>
      </c>
    </row>
    <row r="770" spans="1:13" x14ac:dyDescent="0.2">
      <c r="A770" s="23">
        <v>185.75</v>
      </c>
      <c r="B770" s="20">
        <v>438.51930384644402</v>
      </c>
      <c r="C770" s="20">
        <v>20.288341226305601</v>
      </c>
      <c r="D770" s="20">
        <v>348.76079128298699</v>
      </c>
      <c r="E770" s="20">
        <v>-0.17628128337537399</v>
      </c>
      <c r="F770" s="20">
        <v>-1.80051019764334</v>
      </c>
      <c r="G770" s="20">
        <v>1.8091191399922</v>
      </c>
      <c r="H770" s="20">
        <v>5.1918581760614204E-3</v>
      </c>
      <c r="I770" s="20">
        <v>100.42397699660999</v>
      </c>
      <c r="J770" s="20">
        <v>438.98926221258284</v>
      </c>
      <c r="K770" s="20">
        <v>5.5751636300998024</v>
      </c>
      <c r="L770" s="20">
        <f t="shared" si="28"/>
        <v>438.98837870231245</v>
      </c>
      <c r="M770" s="20">
        <f t="shared" si="29"/>
        <v>-5.5751524095416682</v>
      </c>
    </row>
    <row r="771" spans="1:13" x14ac:dyDescent="0.2">
      <c r="A771" s="23">
        <v>186</v>
      </c>
      <c r="B771" s="20">
        <v>439.27883579593203</v>
      </c>
      <c r="C771" s="20">
        <v>20.363357539412402</v>
      </c>
      <c r="D771" s="20">
        <v>348.73624672463802</v>
      </c>
      <c r="E771" s="20">
        <v>-0.17664647798387401</v>
      </c>
      <c r="F771" s="20">
        <v>-1.79983211353411</v>
      </c>
      <c r="G771" s="20">
        <v>1.8084799183548499</v>
      </c>
      <c r="H771" s="20">
        <v>5.20729385338679E-3</v>
      </c>
      <c r="I771" s="20">
        <v>100.475545121181</v>
      </c>
      <c r="J771" s="20">
        <v>439.7514528761896</v>
      </c>
      <c r="K771" s="20">
        <v>5.5848434515276084</v>
      </c>
      <c r="L771" s="20">
        <f t="shared" si="28"/>
        <v>439.75056783193287</v>
      </c>
      <c r="M771" s="20">
        <f t="shared" si="29"/>
        <v>-5.5848322114878872</v>
      </c>
    </row>
    <row r="772" spans="1:13" x14ac:dyDescent="0.2">
      <c r="A772" s="23">
        <v>186.25</v>
      </c>
      <c r="B772" s="20">
        <v>440.03808446874598</v>
      </c>
      <c r="C772" s="20">
        <v>20.438492127326001</v>
      </c>
      <c r="D772" s="20">
        <v>348.71168893503801</v>
      </c>
      <c r="E772" s="20">
        <v>-0.177011505619836</v>
      </c>
      <c r="F772" s="20">
        <v>-1.79915134985778</v>
      </c>
      <c r="G772" s="20">
        <v>1.8078381157661401</v>
      </c>
      <c r="H772" s="20">
        <v>5.22266178673568E-3</v>
      </c>
      <c r="I772" s="20">
        <v>100.527279548568</v>
      </c>
      <c r="J772" s="20">
        <v>440.5133696509431</v>
      </c>
      <c r="K772" s="20">
        <v>5.5945197945669785</v>
      </c>
      <c r="L772" s="20">
        <f t="shared" si="28"/>
        <v>440.51248307325187</v>
      </c>
      <c r="M772" s="20">
        <f t="shared" si="29"/>
        <v>-5.5945085350526771</v>
      </c>
    </row>
    <row r="773" spans="1:13" x14ac:dyDescent="0.2">
      <c r="A773" s="23">
        <v>186.5</v>
      </c>
      <c r="B773" s="20">
        <v>440.79704876570599</v>
      </c>
      <c r="C773" s="20">
        <v>20.513744785129699</v>
      </c>
      <c r="D773" s="20">
        <v>348.68711796587797</v>
      </c>
      <c r="E773" s="20">
        <v>-0.17737636438079299</v>
      </c>
      <c r="F773" s="20">
        <v>-1.7984679198915501</v>
      </c>
      <c r="G773" s="20">
        <v>1.8071937454296301</v>
      </c>
      <c r="H773" s="20">
        <v>5.2379621377426303E-3</v>
      </c>
      <c r="I773" s="20">
        <v>100.579179091344</v>
      </c>
      <c r="J773" s="20">
        <v>441.27501144624404</v>
      </c>
      <c r="K773" s="20">
        <v>5.6041926453672994</v>
      </c>
      <c r="L773" s="20">
        <f t="shared" si="28"/>
        <v>441.27412333567173</v>
      </c>
      <c r="M773" s="20">
        <f t="shared" si="29"/>
        <v>-5.6041813663854478</v>
      </c>
    </row>
    <row r="774" spans="1:13" x14ac:dyDescent="0.2">
      <c r="A774" s="23">
        <v>186.75</v>
      </c>
      <c r="B774" s="20">
        <v>441.55572759327799</v>
      </c>
      <c r="C774" s="20">
        <v>20.5891153075213</v>
      </c>
      <c r="D774" s="20">
        <v>348.66253386881903</v>
      </c>
      <c r="E774" s="20">
        <v>-0.17774105237156501</v>
      </c>
      <c r="F774" s="20">
        <v>-1.79778183683509</v>
      </c>
      <c r="G774" s="20">
        <v>1.8065468204705599</v>
      </c>
      <c r="H774" s="20">
        <v>5.2531950730681197E-3</v>
      </c>
      <c r="I774" s="20">
        <v>100.631242568384</v>
      </c>
      <c r="J774" s="20">
        <v>442.0363771770725</v>
      </c>
      <c r="K774" s="20">
        <v>5.6138619901488207</v>
      </c>
      <c r="L774" s="20">
        <f t="shared" si="28"/>
        <v>442.03548753417471</v>
      </c>
      <c r="M774" s="20">
        <f t="shared" si="29"/>
        <v>-5.6138506917064745</v>
      </c>
    </row>
    <row r="775" spans="1:13" x14ac:dyDescent="0.2">
      <c r="A775" s="23">
        <v>187</v>
      </c>
      <c r="B775" s="20">
        <v>442.31411986354101</v>
      </c>
      <c r="C775" s="20">
        <v>20.664603488812698</v>
      </c>
      <c r="D775" s="20">
        <v>348.63793669549301</v>
      </c>
      <c r="E775" s="20">
        <v>-0.17810556770427399</v>
      </c>
      <c r="F775" s="20">
        <v>-1.7970931138109401</v>
      </c>
      <c r="G775" s="20">
        <v>1.8058973539362599</v>
      </c>
      <c r="H775" s="20">
        <v>5.2683607642182101E-3</v>
      </c>
      <c r="I775" s="20">
        <v>100.68346880485301</v>
      </c>
      <c r="J775" s="20">
        <v>442.79746576395587</v>
      </c>
      <c r="K775" s="20">
        <v>5.6235278152022401</v>
      </c>
      <c r="L775" s="20">
        <f t="shared" si="28"/>
        <v>442.79657458929012</v>
      </c>
      <c r="M775" s="20">
        <f t="shared" si="29"/>
        <v>-5.6235164973064782</v>
      </c>
    </row>
    <row r="776" spans="1:13" x14ac:dyDescent="0.2">
      <c r="A776" s="23">
        <v>187.25</v>
      </c>
      <c r="B776" s="20">
        <v>443.07222449415502</v>
      </c>
      <c r="C776" s="20">
        <v>20.7402091229301</v>
      </c>
      <c r="D776" s="20">
        <v>348.6133264975</v>
      </c>
      <c r="E776" s="20">
        <v>-0.17846990849837599</v>
      </c>
      <c r="F776" s="20">
        <v>-1.7964017638649299</v>
      </c>
      <c r="G776" s="20">
        <v>1.80524535879654</v>
      </c>
      <c r="H776" s="20">
        <v>5.2834593873697204E-3</v>
      </c>
      <c r="I776" s="20">
        <v>100.735856632184</v>
      </c>
      <c r="J776" s="20">
        <v>443.55827613293479</v>
      </c>
      <c r="K776" s="20">
        <v>5.6331901068882724</v>
      </c>
      <c r="L776" s="20">
        <f t="shared" si="28"/>
        <v>443.55738342706212</v>
      </c>
      <c r="M776" s="20">
        <f t="shared" si="29"/>
        <v>-5.6331787695462214</v>
      </c>
    </row>
    <row r="777" spans="1:13" x14ac:dyDescent="0.2">
      <c r="A777" s="23">
        <v>187.5</v>
      </c>
      <c r="B777" s="20">
        <v>443.83004040832702</v>
      </c>
      <c r="C777" s="20">
        <v>20.815932003413401</v>
      </c>
      <c r="D777" s="20">
        <v>348.58870332640902</v>
      </c>
      <c r="E777" s="20">
        <v>-0.17883407288068201</v>
      </c>
      <c r="F777" s="20">
        <v>-1.7957077999665201</v>
      </c>
      <c r="G777" s="20">
        <v>1.8045908479441299</v>
      </c>
      <c r="H777" s="20">
        <v>5.2984911232002597E-3</v>
      </c>
      <c r="I777" s="20">
        <v>100.788404888057</v>
      </c>
      <c r="J777" s="20">
        <v>444.31880721553387</v>
      </c>
      <c r="K777" s="20">
        <v>5.6428488516372806</v>
      </c>
      <c r="L777" s="20">
        <f t="shared" si="28"/>
        <v>444.31791297901543</v>
      </c>
      <c r="M777" s="20">
        <f t="shared" si="29"/>
        <v>-5.6428374948560673</v>
      </c>
    </row>
    <row r="778" spans="1:13" x14ac:dyDescent="0.2">
      <c r="A778" s="23">
        <v>187.75</v>
      </c>
      <c r="B778" s="20">
        <v>444.58756653478002</v>
      </c>
      <c r="C778" s="20">
        <v>20.8917719234163</v>
      </c>
      <c r="D778" s="20">
        <v>348.56406723375699</v>
      </c>
      <c r="E778" s="20">
        <v>-0.17919805898538499</v>
      </c>
      <c r="F778" s="20">
        <v>-1.79501123500925</v>
      </c>
      <c r="G778" s="20">
        <v>1.80393383419502</v>
      </c>
      <c r="H778" s="20">
        <v>5.3134561567237696E-3</v>
      </c>
      <c r="I778" s="20">
        <v>100.841112416385</v>
      </c>
      <c r="J778" s="20">
        <v>445.07905794872511</v>
      </c>
      <c r="K778" s="20">
        <v>5.6525040359488088</v>
      </c>
      <c r="L778" s="20">
        <f t="shared" si="28"/>
        <v>445.07816218212446</v>
      </c>
      <c r="M778" s="20">
        <f t="shared" si="29"/>
        <v>-5.6524926597355902</v>
      </c>
    </row>
    <row r="779" spans="1:13" x14ac:dyDescent="0.2">
      <c r="A779" s="23">
        <v>188</v>
      </c>
      <c r="B779" s="20">
        <v>445.344801807723</v>
      </c>
      <c r="C779" s="20">
        <v>20.967728675705899</v>
      </c>
      <c r="D779" s="20">
        <v>348.539418271047</v>
      </c>
      <c r="E779" s="20">
        <v>-0.17956186495408299</v>
      </c>
      <c r="F779" s="20">
        <v>-1.79431208181107</v>
      </c>
      <c r="G779" s="20">
        <v>1.80327433028892</v>
      </c>
      <c r="H779" s="20">
        <v>5.3283546771306697E-3</v>
      </c>
      <c r="I779" s="20">
        <v>100.893978067288</v>
      </c>
      <c r="J779" s="20">
        <v>445.83902727489857</v>
      </c>
      <c r="K779" s="20">
        <v>5.6621556463912119</v>
      </c>
      <c r="L779" s="20">
        <f t="shared" si="28"/>
        <v>445.83812997878289</v>
      </c>
      <c r="M779" s="20">
        <f t="shared" si="29"/>
        <v>-5.6621442507531912</v>
      </c>
    </row>
    <row r="780" spans="1:13" x14ac:dyDescent="0.2">
      <c r="A780" s="23">
        <v>188.25</v>
      </c>
      <c r="B780" s="20">
        <v>446.10174516681599</v>
      </c>
      <c r="C780" s="20">
        <v>21.043802052663001</v>
      </c>
      <c r="D780" s="20">
        <v>348.51475648974798</v>
      </c>
      <c r="E780" s="20">
        <v>-0.17992548893580301</v>
      </c>
      <c r="F780" s="20">
        <v>-1.79361035311478</v>
      </c>
      <c r="G780" s="20">
        <v>1.80261234888961</v>
      </c>
      <c r="H780" s="20">
        <v>5.3431868776330198E-3</v>
      </c>
      <c r="I780" s="20">
        <v>100.94700069708</v>
      </c>
      <c r="J780" s="20">
        <v>446.59871414183044</v>
      </c>
      <c r="K780" s="20">
        <v>5.671803669601247</v>
      </c>
      <c r="L780" s="20">
        <f t="shared" si="28"/>
        <v>446.5978153167685</v>
      </c>
      <c r="M780" s="20">
        <f t="shared" si="29"/>
        <v>-5.6717922545456476</v>
      </c>
    </row>
    <row r="781" spans="1:13" x14ac:dyDescent="0.2">
      <c r="A781" s="23">
        <v>188.5</v>
      </c>
      <c r="B781" s="20">
        <v>446.85839555714</v>
      </c>
      <c r="C781" s="20">
        <v>21.1199918462809</v>
      </c>
      <c r="D781" s="20">
        <v>348.49008194129499</v>
      </c>
      <c r="E781" s="20">
        <v>-0.18028892908702701</v>
      </c>
      <c r="F781" s="20">
        <v>-1.79290606158842</v>
      </c>
      <c r="G781" s="20">
        <v>1.80194790258538</v>
      </c>
      <c r="H781" s="20">
        <v>5.3579529553140198E-3</v>
      </c>
      <c r="I781" s="20">
        <v>101.00017916824299</v>
      </c>
      <c r="J781" s="20">
        <v>447.35811750265185</v>
      </c>
      <c r="K781" s="20">
        <v>5.681448092283679</v>
      </c>
      <c r="L781" s="20">
        <f t="shared" si="28"/>
        <v>447.35721714921328</v>
      </c>
      <c r="M781" s="20">
        <f t="shared" si="29"/>
        <v>-5.6814366578177342</v>
      </c>
    </row>
    <row r="782" spans="1:13" x14ac:dyDescent="0.2">
      <c r="A782" s="23">
        <v>188.75</v>
      </c>
      <c r="B782" s="20">
        <v>447.614751929166</v>
      </c>
      <c r="C782" s="20">
        <v>21.196297848166299</v>
      </c>
      <c r="D782" s="20">
        <v>348.46539467708601</v>
      </c>
      <c r="E782" s="20">
        <v>-0.180652183571716</v>
      </c>
      <c r="F782" s="20">
        <v>-1.7921992198256</v>
      </c>
      <c r="G782" s="20">
        <v>1.8012810038893701</v>
      </c>
      <c r="H782" s="20">
        <v>5.3726531109822796E-3</v>
      </c>
      <c r="I782" s="20">
        <v>101.05351234941099</v>
      </c>
      <c r="J782" s="20">
        <v>448.11723631581276</v>
      </c>
      <c r="K782" s="20">
        <v>5.6910889012108221</v>
      </c>
      <c r="L782" s="20">
        <f t="shared" si="28"/>
        <v>448.1163344345718</v>
      </c>
      <c r="M782" s="20">
        <f t="shared" si="29"/>
        <v>-5.6910774473418257</v>
      </c>
    </row>
    <row r="783" spans="1:13" x14ac:dyDescent="0.2">
      <c r="A783" s="23">
        <v>189</v>
      </c>
      <c r="B783" s="20">
        <v>448.37081323872002</v>
      </c>
      <c r="C783" s="20">
        <v>21.2727198495379</v>
      </c>
      <c r="D783" s="20">
        <v>348.44069474848402</v>
      </c>
      <c r="E783" s="20">
        <v>-0.181015250561331</v>
      </c>
      <c r="F783" s="20">
        <v>-1.79148984034595</v>
      </c>
      <c r="G783" s="20">
        <v>1.8006116652400499</v>
      </c>
      <c r="H783" s="20">
        <v>5.3872875490300802E-3</v>
      </c>
      <c r="I783" s="20">
        <v>101.10699911535001</v>
      </c>
      <c r="J783" s="20">
        <v>448.87606954505691</v>
      </c>
      <c r="K783" s="20">
        <v>5.7007260832222233</v>
      </c>
      <c r="L783" s="20">
        <f t="shared" si="28"/>
        <v>448.87516613658642</v>
      </c>
      <c r="M783" s="20">
        <f t="shared" si="29"/>
        <v>-5.7007146099574504</v>
      </c>
    </row>
    <row r="784" spans="1:13" x14ac:dyDescent="0.2">
      <c r="A784" s="23">
        <v>189.25</v>
      </c>
      <c r="B784" s="20">
        <v>449.12657844696099</v>
      </c>
      <c r="C784" s="20">
        <v>21.3492576412273</v>
      </c>
      <c r="D784" s="20">
        <v>348.415982206813</v>
      </c>
      <c r="E784" s="20">
        <v>-0.18137812823486199</v>
      </c>
      <c r="F784" s="20">
        <v>-1.79077793559548</v>
      </c>
      <c r="G784" s="20">
        <v>1.7999398990015101</v>
      </c>
      <c r="H784" s="20">
        <v>5.4018564772961696E-3</v>
      </c>
      <c r="I784" s="20">
        <v>101.160638346936</v>
      </c>
      <c r="J784" s="20">
        <v>449.6346161593865</v>
      </c>
      <c r="K784" s="20">
        <v>5.7103596252242088</v>
      </c>
      <c r="L784" s="20">
        <f t="shared" si="28"/>
        <v>449.63371122426497</v>
      </c>
      <c r="M784" s="20">
        <f t="shared" si="29"/>
        <v>-5.7103481325710064</v>
      </c>
    </row>
    <row r="785" spans="1:13" x14ac:dyDescent="0.2">
      <c r="A785" s="23">
        <v>189.5</v>
      </c>
      <c r="B785" s="20">
        <v>449.88204652033698</v>
      </c>
      <c r="C785" s="20">
        <v>21.425911013677801</v>
      </c>
      <c r="D785" s="20">
        <v>348.39125710335998</v>
      </c>
      <c r="E785" s="20">
        <v>-0.18174081477884499</v>
      </c>
      <c r="F785" s="20">
        <v>-1.79006351794694</v>
      </c>
      <c r="G785" s="20">
        <v>1.7992657174639499</v>
      </c>
      <c r="H785" s="20">
        <v>5.4163601069323296E-3</v>
      </c>
      <c r="I785" s="20">
        <v>101.21442893113699</v>
      </c>
      <c r="J785" s="20">
        <v>450.3928751330314</v>
      </c>
      <c r="K785" s="20">
        <v>5.719989514189499</v>
      </c>
      <c r="L785" s="20">
        <f t="shared" si="28"/>
        <v>450.39196867183665</v>
      </c>
      <c r="M785" s="20">
        <f t="shared" si="29"/>
        <v>-5.719978002155206</v>
      </c>
    </row>
    <row r="786" spans="1:13" x14ac:dyDescent="0.2">
      <c r="A786" s="23">
        <v>189.75</v>
      </c>
      <c r="B786" s="20">
        <v>450.63721643056698</v>
      </c>
      <c r="C786" s="20">
        <v>21.502679756944399</v>
      </c>
      <c r="D786" s="20">
        <v>348.366519489371</v>
      </c>
      <c r="E786" s="20">
        <v>-0.182103308387394</v>
      </c>
      <c r="F786" s="20">
        <v>-1.78934659970026</v>
      </c>
      <c r="G786" s="20">
        <v>1.798589132844</v>
      </c>
      <c r="H786" s="20">
        <v>5.4307986522740201E-3</v>
      </c>
      <c r="I786" s="20">
        <v>101.26836976099101</v>
      </c>
      <c r="J786" s="20">
        <v>451.1508454454202</v>
      </c>
      <c r="K786" s="20">
        <v>5.7296157371568368</v>
      </c>
      <c r="L786" s="20">
        <f t="shared" si="28"/>
        <v>451.14993745873375</v>
      </c>
      <c r="M786" s="20">
        <f t="shared" si="29"/>
        <v>-5.7296042057488377</v>
      </c>
    </row>
    <row r="787" spans="1:13" x14ac:dyDescent="0.2">
      <c r="A787" s="23">
        <v>190</v>
      </c>
      <c r="B787" s="20">
        <v>451.39208715460097</v>
      </c>
      <c r="C787" s="20">
        <v>21.579563660693601</v>
      </c>
      <c r="D787" s="20">
        <v>348.341769416055</v>
      </c>
      <c r="E787" s="20">
        <v>-0.182465607262217</v>
      </c>
      <c r="F787" s="20">
        <v>-1.7886271930828599</v>
      </c>
      <c r="G787" s="20">
        <v>1.7979101572851299</v>
      </c>
      <c r="H787" s="20">
        <v>5.4451723307148798E-3</v>
      </c>
      <c r="I787" s="20">
        <v>101.322459735587</v>
      </c>
      <c r="J787" s="20">
        <v>451.90852608114733</v>
      </c>
      <c r="K787" s="20">
        <v>5.7392382812305716</v>
      </c>
      <c r="L787" s="20">
        <f t="shared" si="28"/>
        <v>451.90761656955152</v>
      </c>
      <c r="M787" s="20">
        <f t="shared" si="29"/>
        <v>-5.7392267304562612</v>
      </c>
    </row>
    <row r="788" spans="1:13" x14ac:dyDescent="0.2">
      <c r="A788" s="23">
        <v>190.25</v>
      </c>
      <c r="B788" s="20">
        <v>452.14665767459599</v>
      </c>
      <c r="C788" s="20">
        <v>21.656562514203198</v>
      </c>
      <c r="D788" s="20">
        <v>348.31700693457702</v>
      </c>
      <c r="E788" s="20">
        <v>-0.182827709612643</v>
      </c>
      <c r="F788" s="20">
        <v>-1.7879053102500899</v>
      </c>
      <c r="G788" s="20">
        <v>1.7972288028580801</v>
      </c>
      <c r="H788" s="20">
        <v>5.4594813625847803E-3</v>
      </c>
      <c r="I788" s="20">
        <v>101.37669776004201</v>
      </c>
      <c r="J788" s="20">
        <v>452.66591602994356</v>
      </c>
      <c r="K788" s="20">
        <v>5.7488571335802829</v>
      </c>
      <c r="L788" s="20">
        <f t="shared" si="28"/>
        <v>452.66500499402412</v>
      </c>
      <c r="M788" s="20">
        <f t="shared" si="29"/>
        <v>-5.7488455634471016</v>
      </c>
    </row>
    <row r="789" spans="1:13" x14ac:dyDescent="0.2">
      <c r="A789" s="23">
        <v>190.5</v>
      </c>
      <c r="B789" s="20">
        <v>452.90092697787998</v>
      </c>
      <c r="C789" s="20">
        <v>21.733676106361401</v>
      </c>
      <c r="D789" s="20">
        <v>348.29223209606198</v>
      </c>
      <c r="E789" s="20">
        <v>-0.18318961365564401</v>
      </c>
      <c r="F789" s="20">
        <v>-1.78718096328557</v>
      </c>
      <c r="G789" s="20">
        <v>1.7965450815611801</v>
      </c>
      <c r="H789" s="20">
        <v>5.4737259710315699E-3</v>
      </c>
      <c r="I789" s="20">
        <v>101.43108274548401</v>
      </c>
      <c r="J789" s="20">
        <v>453.42301428664473</v>
      </c>
      <c r="K789" s="20">
        <v>5.7584722814403886</v>
      </c>
      <c r="L789" s="20">
        <f t="shared" si="28"/>
        <v>453.42210172698816</v>
      </c>
      <c r="M789" s="20">
        <f t="shared" si="29"/>
        <v>-5.7584606919557837</v>
      </c>
    </row>
    <row r="790" spans="1:13" x14ac:dyDescent="0.2">
      <c r="A790" s="23">
        <v>190.75</v>
      </c>
      <c r="B790" s="20">
        <v>453.65489405692801</v>
      </c>
      <c r="C790" s="20">
        <v>21.810904225667201</v>
      </c>
      <c r="D790" s="20">
        <v>348.26744495159198</v>
      </c>
      <c r="E790" s="20">
        <v>-0.18355131761585999</v>
      </c>
      <c r="F790" s="20">
        <v>-1.7864541642015901</v>
      </c>
      <c r="G790" s="20">
        <v>1.7958590053207699</v>
      </c>
      <c r="H790" s="20">
        <v>5.4879063819062001E-3</v>
      </c>
      <c r="I790" s="20">
        <v>101.48561360903</v>
      </c>
      <c r="J790" s="20">
        <v>454.17981985116262</v>
      </c>
      <c r="K790" s="20">
        <v>5.7680837121097657</v>
      </c>
      <c r="L790" s="20">
        <f t="shared" si="28"/>
        <v>454.1789057683589</v>
      </c>
      <c r="M790" s="20">
        <f t="shared" si="29"/>
        <v>-5.7680721032812308</v>
      </c>
    </row>
    <row r="791" spans="1:13" x14ac:dyDescent="0.2">
      <c r="A791" s="23">
        <v>191</v>
      </c>
      <c r="B791" s="20">
        <v>454.40855790932602</v>
      </c>
      <c r="C791" s="20">
        <v>21.888246660229498</v>
      </c>
      <c r="D791" s="20">
        <v>348.242645552206</v>
      </c>
      <c r="E791" s="20">
        <v>-0.18391281972561899</v>
      </c>
      <c r="F791" s="20">
        <v>-1.78572492493947</v>
      </c>
      <c r="G791" s="20">
        <v>1.79517058599162</v>
      </c>
      <c r="H791" s="20">
        <v>5.5020228236513403E-3</v>
      </c>
      <c r="I791" s="20">
        <v>101.54028927376299</v>
      </c>
      <c r="J791" s="20">
        <v>454.93633172845375</v>
      </c>
      <c r="K791" s="20">
        <v>5.7776914129513628</v>
      </c>
      <c r="L791" s="20">
        <f t="shared" si="28"/>
        <v>454.9354161230936</v>
      </c>
      <c r="M791" s="20">
        <f t="shared" si="29"/>
        <v>-5.7776797847864003</v>
      </c>
    </row>
    <row r="792" spans="1:13" x14ac:dyDescent="0.2">
      <c r="A792" s="23">
        <v>191.25</v>
      </c>
      <c r="B792" s="20">
        <v>455.16191753774598</v>
      </c>
      <c r="C792" s="20">
        <v>21.965703197766999</v>
      </c>
      <c r="D792" s="20">
        <v>348.21783394889701</v>
      </c>
      <c r="E792" s="20">
        <v>-0.18427411822496201</v>
      </c>
      <c r="F792" s="20">
        <v>-1.7849932573699401</v>
      </c>
      <c r="G792" s="20">
        <v>1.79447983535724</v>
      </c>
      <c r="H792" s="20">
        <v>5.5160755271931802E-3</v>
      </c>
      <c r="I792" s="20">
        <v>101.595108668714</v>
      </c>
      <c r="J792" s="20">
        <v>455.69254892849114</v>
      </c>
      <c r="K792" s="20">
        <v>5.7872953713918385</v>
      </c>
      <c r="L792" s="20">
        <f t="shared" si="28"/>
        <v>455.69163180116692</v>
      </c>
      <c r="M792" s="20">
        <f t="shared" si="29"/>
        <v>-5.7872837238979695</v>
      </c>
    </row>
    <row r="793" spans="1:13" x14ac:dyDescent="0.2">
      <c r="A793" s="23">
        <v>191.5</v>
      </c>
      <c r="B793" s="20">
        <v>455.91497194991399</v>
      </c>
      <c r="C793" s="20">
        <v>22.043273625607501</v>
      </c>
      <c r="D793" s="20">
        <v>348.193010192614</v>
      </c>
      <c r="E793" s="20">
        <v>-0.184635211361664</v>
      </c>
      <c r="F793" s="20">
        <v>-1.78425917329352</v>
      </c>
      <c r="G793" s="20">
        <v>1.7937867651303101</v>
      </c>
      <c r="H793" s="20">
        <v>5.5300647258361597E-3</v>
      </c>
      <c r="I793" s="20">
        <v>101.650070728841</v>
      </c>
      <c r="J793" s="20">
        <v>456.44847046623107</v>
      </c>
      <c r="K793" s="20">
        <v>5.7968955749211348</v>
      </c>
      <c r="L793" s="20">
        <f t="shared" si="28"/>
        <v>456.44755181753823</v>
      </c>
      <c r="M793" s="20">
        <f t="shared" si="29"/>
        <v>-5.7968839081059231</v>
      </c>
    </row>
    <row r="794" spans="1:13" x14ac:dyDescent="0.2">
      <c r="A794" s="23">
        <v>191.75</v>
      </c>
      <c r="B794" s="20">
        <v>456.66772015858101</v>
      </c>
      <c r="C794" s="20">
        <v>22.120957730688101</v>
      </c>
      <c r="D794" s="20">
        <v>348.16817433426002</v>
      </c>
      <c r="E794" s="20">
        <v>-0.18499609739125999</v>
      </c>
      <c r="F794" s="20">
        <v>-1.78352268444089</v>
      </c>
      <c r="G794" s="20">
        <v>1.79309138695305</v>
      </c>
      <c r="H794" s="20">
        <v>5.5439906551614203E-3</v>
      </c>
      <c r="I794" s="20">
        <v>101.705174395006</v>
      </c>
      <c r="J794" s="20">
        <v>457.20409536158678</v>
      </c>
      <c r="K794" s="20">
        <v>5.8064920110921525</v>
      </c>
      <c r="L794" s="20">
        <f t="shared" si="28"/>
        <v>457.20317519212279</v>
      </c>
      <c r="M794" s="20">
        <f t="shared" si="29"/>
        <v>-5.8064803249631858</v>
      </c>
    </row>
    <row r="795" spans="1:13" x14ac:dyDescent="0.2">
      <c r="A795" s="23">
        <v>192</v>
      </c>
      <c r="B795" s="20">
        <v>457.420161181494</v>
      </c>
      <c r="C795" s="20">
        <v>22.198755299554399</v>
      </c>
      <c r="D795" s="20">
        <v>348.143326424691</v>
      </c>
      <c r="E795" s="20">
        <v>-0.18535677457706301</v>
      </c>
      <c r="F795" s="20">
        <v>-1.7827838024732401</v>
      </c>
      <c r="G795" s="20">
        <v>1.7923937123976299</v>
      </c>
      <c r="H795" s="20">
        <v>5.5578535529273998E-3</v>
      </c>
      <c r="I795" s="20">
        <v>101.76041861395601</v>
      </c>
      <c r="J795" s="20">
        <v>457.95942263939867</v>
      </c>
      <c r="K795" s="20">
        <v>5.8160846675203635</v>
      </c>
      <c r="L795" s="20">
        <f t="shared" si="28"/>
        <v>457.95850094976231</v>
      </c>
      <c r="M795" s="20">
        <f t="shared" si="29"/>
        <v>-5.8160729620852463</v>
      </c>
    </row>
    <row r="796" spans="1:13" x14ac:dyDescent="0.2">
      <c r="A796" s="23">
        <v>192.25</v>
      </c>
      <c r="B796" s="20">
        <v>458.17229404136702</v>
      </c>
      <c r="C796" s="20">
        <v>22.276666118359799</v>
      </c>
      <c r="D796" s="20">
        <v>348.11846651471501</v>
      </c>
      <c r="E796" s="20">
        <v>-0.18571724119018801</v>
      </c>
      <c r="F796" s="20">
        <v>-1.78204253898266</v>
      </c>
      <c r="G796" s="20">
        <v>1.79169375296647</v>
      </c>
      <c r="H796" s="20">
        <v>5.5716536589739398E-3</v>
      </c>
      <c r="I796" s="20">
        <v>101.815802338301</v>
      </c>
      <c r="J796" s="20">
        <v>458.71445132940352</v>
      </c>
      <c r="K796" s="20">
        <v>5.8256735318834245</v>
      </c>
      <c r="L796" s="20">
        <f t="shared" ref="L796:L859" si="30">SQRT(B796^2+C796^2)</f>
        <v>458.71352812019592</v>
      </c>
      <c r="M796" s="20">
        <f t="shared" ref="M796:M859" si="31">-L796/A$25*100</f>
        <v>-5.8256618071497908</v>
      </c>
    </row>
    <row r="797" spans="1:13" x14ac:dyDescent="0.2">
      <c r="A797" s="23">
        <v>192.5</v>
      </c>
      <c r="B797" s="20">
        <v>458.92411776584999</v>
      </c>
      <c r="C797" s="20">
        <v>22.354689972865799</v>
      </c>
      <c r="D797" s="20">
        <v>348.09359465508902</v>
      </c>
      <c r="E797" s="20">
        <v>-0.186077495509576</v>
      </c>
      <c r="F797" s="20">
        <v>-1.7812989054925199</v>
      </c>
      <c r="G797" s="20">
        <v>1.7909915200927</v>
      </c>
      <c r="H797" s="20">
        <v>5.5853912151289098E-3</v>
      </c>
      <c r="I797" s="20">
        <v>101.87132452649401</v>
      </c>
      <c r="J797" s="20">
        <v>459.46918046620499</v>
      </c>
      <c r="K797" s="20">
        <v>5.8352585919208035</v>
      </c>
      <c r="L797" s="20">
        <f t="shared" si="30"/>
        <v>459.46825573802886</v>
      </c>
      <c r="M797" s="20">
        <f t="shared" si="31"/>
        <v>-5.8352468478963075</v>
      </c>
    </row>
    <row r="798" spans="1:13" x14ac:dyDescent="0.2">
      <c r="A798" s="23">
        <v>192.75</v>
      </c>
      <c r="B798" s="20">
        <v>459.67563138750398</v>
      </c>
      <c r="C798" s="20">
        <v>22.432826648441001</v>
      </c>
      <c r="D798" s="20">
        <v>348.06871089652401</v>
      </c>
      <c r="E798" s="20">
        <v>-0.186437535822015</v>
      </c>
      <c r="F798" s="20">
        <v>-1.7805529134578</v>
      </c>
      <c r="G798" s="20">
        <v>1.7902870251405001</v>
      </c>
      <c r="H798" s="20">
        <v>5.5990664651175701E-3</v>
      </c>
      <c r="I798" s="20">
        <v>101.926984142807</v>
      </c>
      <c r="J798" s="20">
        <v>460.22360908924804</v>
      </c>
      <c r="K798" s="20">
        <v>5.8448398354334508</v>
      </c>
      <c r="L798" s="20">
        <f t="shared" si="30"/>
        <v>460.22268284270763</v>
      </c>
      <c r="M798" s="20">
        <f t="shared" si="31"/>
        <v>-5.8448280721257664</v>
      </c>
    </row>
    <row r="799" spans="1:13" x14ac:dyDescent="0.2">
      <c r="A799" s="23">
        <v>193</v>
      </c>
      <c r="B799" s="20">
        <v>460.42683394376797</v>
      </c>
      <c r="C799" s="20">
        <v>22.511075930061001</v>
      </c>
      <c r="D799" s="20">
        <v>348.04381528967798</v>
      </c>
      <c r="E799" s="20">
        <v>-0.186797360422158</v>
      </c>
      <c r="F799" s="20">
        <v>-1.77980457426548</v>
      </c>
      <c r="G799" s="20">
        <v>1.78958027940548</v>
      </c>
      <c r="H799" s="20">
        <v>5.6126796544745602E-3</v>
      </c>
      <c r="I799" s="20">
        <v>101.982780157313</v>
      </c>
      <c r="J799" s="20">
        <v>460.97773624278454</v>
      </c>
      <c r="K799" s="20">
        <v>5.8544172502833645</v>
      </c>
      <c r="L799" s="20">
        <f t="shared" si="30"/>
        <v>460.97680847848636</v>
      </c>
      <c r="M799" s="20">
        <f t="shared" si="31"/>
        <v>-5.8544054677001949</v>
      </c>
    </row>
    <row r="800" spans="1:13" x14ac:dyDescent="0.2">
      <c r="A800" s="23">
        <v>193.25</v>
      </c>
      <c r="B800" s="20">
        <v>461.17772447693602</v>
      </c>
      <c r="C800" s="20">
        <v>22.589437602307701</v>
      </c>
      <c r="D800" s="20">
        <v>348.018907885158</v>
      </c>
      <c r="E800" s="20">
        <v>-0.18715696761255099</v>
      </c>
      <c r="F800" s="20">
        <v>-1.7790538992349001</v>
      </c>
      <c r="G800" s="20">
        <v>1.78887129411504</v>
      </c>
      <c r="H800" s="20">
        <v>5.6262310304585903E-3</v>
      </c>
      <c r="I800" s="20">
        <v>102.03871154586299</v>
      </c>
      <c r="J800" s="20">
        <v>461.73156097584985</v>
      </c>
      <c r="K800" s="20">
        <v>5.8639908243932934</v>
      </c>
      <c r="L800" s="20">
        <f t="shared" si="30"/>
        <v>461.73063169440394</v>
      </c>
      <c r="M800" s="20">
        <f t="shared" si="31"/>
        <v>-5.8639790225423862</v>
      </c>
    </row>
    <row r="801" spans="1:13" x14ac:dyDescent="0.2">
      <c r="A801" s="23">
        <v>193.5</v>
      </c>
      <c r="B801" s="20">
        <v>461.928302034122</v>
      </c>
      <c r="C801" s="20">
        <v>22.667911449368798</v>
      </c>
      <c r="D801" s="20">
        <v>347.99398873351799</v>
      </c>
      <c r="E801" s="20">
        <v>-0.18751635570365299</v>
      </c>
      <c r="F801" s="20">
        <v>-1.77830089961811</v>
      </c>
      <c r="G801" s="20">
        <v>1.7881600804287501</v>
      </c>
      <c r="H801" s="20">
        <v>5.6397208419692799E-3</v>
      </c>
      <c r="I801" s="20">
        <v>102.094777290064</v>
      </c>
      <c r="J801" s="20">
        <v>462.48508234223266</v>
      </c>
      <c r="K801" s="20">
        <v>5.8735605457463551</v>
      </c>
      <c r="L801" s="20">
        <f t="shared" si="30"/>
        <v>462.48415154424856</v>
      </c>
      <c r="M801" s="20">
        <f t="shared" si="31"/>
        <v>-5.8735487246354507</v>
      </c>
    </row>
    <row r="802" spans="1:13" x14ac:dyDescent="0.2">
      <c r="A802" s="23">
        <v>193.75</v>
      </c>
      <c r="B802" s="20">
        <v>462.67856566723702</v>
      </c>
      <c r="C802" s="20">
        <v>22.746497255037799</v>
      </c>
      <c r="D802" s="20">
        <v>347.96905788525902</v>
      </c>
      <c r="E802" s="20">
        <v>-0.18787552301385399</v>
      </c>
      <c r="F802" s="20">
        <v>-1.7775455866002701</v>
      </c>
      <c r="G802" s="20">
        <v>1.78744664943875</v>
      </c>
      <c r="H802" s="20">
        <v>5.6531493394668996E-3</v>
      </c>
      <c r="I802" s="20">
        <v>102.150976377261</v>
      </c>
      <c r="J802" s="20">
        <v>463.23829940044504</v>
      </c>
      <c r="K802" s="20">
        <v>5.8831264023856527</v>
      </c>
      <c r="L802" s="20">
        <f t="shared" si="30"/>
        <v>463.23736708653502</v>
      </c>
      <c r="M802" s="20">
        <f t="shared" si="31"/>
        <v>-5.8831145620225271</v>
      </c>
    </row>
    <row r="803" spans="1:13" x14ac:dyDescent="0.2">
      <c r="A803" s="23">
        <v>194</v>
      </c>
      <c r="B803" s="20">
        <v>463.42851443295899</v>
      </c>
      <c r="C803" s="20">
        <v>22.825194802712801</v>
      </c>
      <c r="D803" s="20">
        <v>347.94411539082898</v>
      </c>
      <c r="E803" s="20">
        <v>-0.18823446786949899</v>
      </c>
      <c r="F803" s="20">
        <v>-1.7767879712999399</v>
      </c>
      <c r="G803" s="20">
        <v>1.7867310121700699</v>
      </c>
      <c r="H803" s="20">
        <v>5.6665167748937498E-3</v>
      </c>
      <c r="I803" s="20">
        <v>102.207307800511</v>
      </c>
      <c r="J803" s="20">
        <v>463.99121121369478</v>
      </c>
      <c r="K803" s="20">
        <v>5.8926883824139242</v>
      </c>
      <c r="L803" s="20">
        <f t="shared" si="30"/>
        <v>463.99027738447393</v>
      </c>
      <c r="M803" s="20">
        <f t="shared" si="31"/>
        <v>-5.89267652280639</v>
      </c>
    </row>
    <row r="804" spans="1:13" x14ac:dyDescent="0.2">
      <c r="A804" s="23">
        <v>194.25</v>
      </c>
      <c r="B804" s="20">
        <v>464.178147392705</v>
      </c>
      <c r="C804" s="20">
        <v>22.9040038753967</v>
      </c>
      <c r="D804" s="20">
        <v>347.91916130061901</v>
      </c>
      <c r="E804" s="20">
        <v>-0.188593188604912</v>
      </c>
      <c r="F804" s="20">
        <v>-1.7760280647695099</v>
      </c>
      <c r="G804" s="20">
        <v>1.7860131795810199</v>
      </c>
      <c r="H804" s="20">
        <v>5.6798234015986498E-3</v>
      </c>
      <c r="I804" s="20">
        <v>102.263770558564</v>
      </c>
      <c r="J804" s="20">
        <v>464.74381684985963</v>
      </c>
      <c r="K804" s="20">
        <v>5.9022464739932179</v>
      </c>
      <c r="L804" s="20">
        <f t="shared" si="30"/>
        <v>464.74288150594407</v>
      </c>
      <c r="M804" s="20">
        <f t="shared" si="31"/>
        <v>-5.9022345951490989</v>
      </c>
    </row>
    <row r="805" spans="1:13" x14ac:dyDescent="0.2">
      <c r="A805" s="23">
        <v>194.5</v>
      </c>
      <c r="B805" s="20">
        <v>464.92746361260498</v>
      </c>
      <c r="C805" s="20">
        <v>22.9829242556963</v>
      </c>
      <c r="D805" s="20">
        <v>347.894195664964</v>
      </c>
      <c r="E805" s="20">
        <v>-0.18895168356240999</v>
      </c>
      <c r="F805" s="20">
        <v>-1.7752658779955099</v>
      </c>
      <c r="G805" s="20">
        <v>1.78529316256357</v>
      </c>
      <c r="H805" s="20">
        <v>5.6930694742628402E-3</v>
      </c>
      <c r="I805" s="20">
        <v>102.320363655842</v>
      </c>
      <c r="J805" s="20">
        <v>465.49611538145786</v>
      </c>
      <c r="K805" s="20">
        <v>5.911800665344515</v>
      </c>
      <c r="L805" s="20">
        <f t="shared" si="30"/>
        <v>465.49517852346571</v>
      </c>
      <c r="M805" s="20">
        <f t="shared" si="31"/>
        <v>-5.9117887672716618</v>
      </c>
    </row>
    <row r="806" spans="1:13" x14ac:dyDescent="0.2">
      <c r="A806" s="23">
        <v>194.75</v>
      </c>
      <c r="B806" s="20">
        <v>465.67646216346998</v>
      </c>
      <c r="C806" s="20">
        <v>23.0619557258219</v>
      </c>
      <c r="D806" s="20">
        <v>347.86921853414401</v>
      </c>
      <c r="E806" s="20">
        <v>-0.18930995109233101</v>
      </c>
      <c r="F806" s="20">
        <v>-1.7745014218989901</v>
      </c>
      <c r="G806" s="20">
        <v>1.7845709719437099</v>
      </c>
      <c r="H806" s="20">
        <v>5.7062552488283602E-3</v>
      </c>
      <c r="I806" s="20">
        <v>102.377086102417</v>
      </c>
      <c r="J806" s="20">
        <v>466.24810588561849</v>
      </c>
      <c r="K806" s="20">
        <v>5.9213509447473545</v>
      </c>
      <c r="L806" s="20">
        <f t="shared" si="30"/>
        <v>466.24716751416889</v>
      </c>
      <c r="M806" s="20">
        <f t="shared" si="31"/>
        <v>-5.9213390274536302</v>
      </c>
    </row>
    <row r="807" spans="1:13" x14ac:dyDescent="0.2">
      <c r="A807" s="23">
        <v>195</v>
      </c>
      <c r="B807" s="20">
        <v>466.425142120771</v>
      </c>
      <c r="C807" s="20">
        <v>23.1410980675867</v>
      </c>
      <c r="D807" s="20">
        <v>347.84422995837798</v>
      </c>
      <c r="E807" s="20">
        <v>-0.189667989553053</v>
      </c>
      <c r="F807" s="20">
        <v>-1.77373470733585</v>
      </c>
      <c r="G807" s="20">
        <v>1.7838466184817801</v>
      </c>
      <c r="H807" s="20">
        <v>5.7193809824287603E-3</v>
      </c>
      <c r="I807" s="20">
        <v>102.43393691398801</v>
      </c>
      <c r="J807" s="20">
        <v>466.99978744405604</v>
      </c>
      <c r="K807" s="20">
        <v>5.9308973005395123</v>
      </c>
      <c r="L807" s="20">
        <f t="shared" si="30"/>
        <v>466.99884755977195</v>
      </c>
      <c r="M807" s="20">
        <f t="shared" si="31"/>
        <v>-5.930885364032827</v>
      </c>
    </row>
    <row r="808" spans="1:13" x14ac:dyDescent="0.2">
      <c r="A808" s="23">
        <v>195.25</v>
      </c>
      <c r="B808" s="20">
        <v>467.17350256460702</v>
      </c>
      <c r="C808" s="20">
        <v>23.220351062406301</v>
      </c>
      <c r="D808" s="20">
        <v>347.81922998782699</v>
      </c>
      <c r="E808" s="20">
        <v>-0.19002579731101299</v>
      </c>
      <c r="F808" s="20">
        <v>-1.77296574509722</v>
      </c>
      <c r="G808" s="20">
        <v>1.78312011287289</v>
      </c>
      <c r="H808" s="20">
        <v>5.7324469333211898E-3</v>
      </c>
      <c r="I808" s="20">
        <v>102.49091511186199</v>
      </c>
      <c r="J808" s="20">
        <v>467.75115914304502</v>
      </c>
      <c r="K808" s="20">
        <v>5.9404397211166717</v>
      </c>
      <c r="L808" s="20">
        <f t="shared" si="30"/>
        <v>467.75021774654925</v>
      </c>
      <c r="M808" s="20">
        <f t="shared" si="31"/>
        <v>-5.9404277654049373</v>
      </c>
    </row>
    <row r="809" spans="1:13" x14ac:dyDescent="0.2">
      <c r="A809" s="23">
        <v>195.5</v>
      </c>
      <c r="B809" s="20">
        <v>467.92154257968002</v>
      </c>
      <c r="C809" s="20">
        <v>23.299714491298399</v>
      </c>
      <c r="D809" s="20">
        <v>347.79421867259498</v>
      </c>
      <c r="E809" s="20">
        <v>-0.190383372740728</v>
      </c>
      <c r="F809" s="20">
        <v>-1.7721945459097901</v>
      </c>
      <c r="G809" s="20">
        <v>1.78239146574722</v>
      </c>
      <c r="H809" s="20">
        <v>5.7454533608210503E-3</v>
      </c>
      <c r="I809" s="20">
        <v>102.54801972292999</v>
      </c>
      <c r="J809" s="20">
        <v>468.50222007338868</v>
      </c>
      <c r="K809" s="20">
        <v>5.9499781949320365</v>
      </c>
      <c r="L809" s="20">
        <f t="shared" si="30"/>
        <v>468.50127716530648</v>
      </c>
      <c r="M809" s="20">
        <f t="shared" si="31"/>
        <v>-5.9499662200231924</v>
      </c>
    </row>
    <row r="810" spans="1:13" x14ac:dyDescent="0.2">
      <c r="A810" s="23">
        <v>195.75</v>
      </c>
      <c r="B810" s="20">
        <v>468.66926125526601</v>
      </c>
      <c r="C810" s="20">
        <v>23.379188134882</v>
      </c>
      <c r="D810" s="20">
        <v>347.76919606272099</v>
      </c>
      <c r="E810" s="20">
        <v>-0.190740714224818</v>
      </c>
      <c r="F810" s="20">
        <v>-1.7714211204361701</v>
      </c>
      <c r="G810" s="20">
        <v>1.7816606876704499</v>
      </c>
      <c r="H810" s="20">
        <v>5.7584005252380799E-3</v>
      </c>
      <c r="I810" s="20">
        <v>102.605249779646</v>
      </c>
      <c r="J810" s="20">
        <v>469.25296933039164</v>
      </c>
      <c r="K810" s="20">
        <v>5.9595127104959742</v>
      </c>
      <c r="L810" s="20">
        <f t="shared" si="30"/>
        <v>469.25202491135082</v>
      </c>
      <c r="M810" s="20">
        <f t="shared" si="31"/>
        <v>-5.9595007163979936</v>
      </c>
    </row>
    <row r="811" spans="1:13" x14ac:dyDescent="0.2">
      <c r="A811" s="23">
        <v>196</v>
      </c>
      <c r="B811" s="20">
        <v>469.41665768519198</v>
      </c>
      <c r="C811" s="20">
        <v>23.4587717733768</v>
      </c>
      <c r="D811" s="20">
        <v>347.74416220818398</v>
      </c>
      <c r="E811" s="20">
        <v>-0.19109782015402299</v>
      </c>
      <c r="F811" s="20">
        <v>-1.77064547927525</v>
      </c>
      <c r="G811" s="20">
        <v>1.78092778914405</v>
      </c>
      <c r="H811" s="20">
        <v>5.7712886878146501E-3</v>
      </c>
      <c r="I811" s="20">
        <v>102.66260432000701</v>
      </c>
      <c r="J811" s="20">
        <v>470.00340601383846</v>
      </c>
      <c r="K811" s="20">
        <v>5.9690432563757483</v>
      </c>
      <c r="L811" s="20">
        <f t="shared" si="30"/>
        <v>470.00246008446817</v>
      </c>
      <c r="M811" s="20">
        <f t="shared" si="31"/>
        <v>-5.9690312430966221</v>
      </c>
    </row>
    <row r="812" spans="1:13" x14ac:dyDescent="0.2">
      <c r="A812" s="23">
        <v>196.25</v>
      </c>
      <c r="B812" s="20">
        <v>470.16373096780501</v>
      </c>
      <c r="C812" s="20">
        <v>23.538465186602899</v>
      </c>
      <c r="D812" s="20">
        <v>347.71911715890201</v>
      </c>
      <c r="E812" s="20">
        <v>-0.191454688927227</v>
      </c>
      <c r="F812" s="20">
        <v>-1.76986763296251</v>
      </c>
      <c r="G812" s="20">
        <v>1.7801927806056701</v>
      </c>
      <c r="H812" s="20">
        <v>5.7841181106655301E-3</v>
      </c>
      <c r="I812" s="20">
        <v>102.72008238753</v>
      </c>
      <c r="J812" s="20">
        <v>470.75352922796128</v>
      </c>
      <c r="K812" s="20">
        <v>5.9785698211951086</v>
      </c>
      <c r="L812" s="20">
        <f t="shared" si="30"/>
        <v>470.75258178889197</v>
      </c>
      <c r="M812" s="20">
        <f t="shared" si="31"/>
        <v>-5.978557788742842</v>
      </c>
    </row>
    <row r="813" spans="1:13" x14ac:dyDescent="0.2">
      <c r="A813" s="23">
        <v>196.5</v>
      </c>
      <c r="B813" s="20">
        <v>470.91048020594798</v>
      </c>
      <c r="C813" s="20">
        <v>23.618268153979901</v>
      </c>
      <c r="D813" s="20">
        <v>347.69406096472699</v>
      </c>
      <c r="E813" s="20">
        <v>-0.19181131895147399</v>
      </c>
      <c r="F813" s="20">
        <v>-1.7690875919704001</v>
      </c>
      <c r="G813" s="20">
        <v>1.7794556724295001</v>
      </c>
      <c r="H813" s="20">
        <v>5.7968890567196103E-3</v>
      </c>
      <c r="I813" s="20">
        <v>102.77768303123</v>
      </c>
      <c r="J813" s="20">
        <v>471.50333808141448</v>
      </c>
      <c r="K813" s="20">
        <v>5.9880923936339636</v>
      </c>
      <c r="L813" s="20">
        <f t="shared" si="30"/>
        <v>471.50238913327877</v>
      </c>
      <c r="M813" s="20">
        <f t="shared" si="31"/>
        <v>-5.9880803420165929</v>
      </c>
    </row>
    <row r="814" spans="1:13" x14ac:dyDescent="0.2">
      <c r="A814" s="23">
        <v>196.75</v>
      </c>
      <c r="B814" s="20">
        <v>471.65690450693501</v>
      </c>
      <c r="C814" s="20">
        <v>23.698180454526899</v>
      </c>
      <c r="D814" s="20">
        <v>347.66899367544698</v>
      </c>
      <c r="E814" s="20">
        <v>-0.19216770864199301</v>
      </c>
      <c r="F814" s="20">
        <v>-1.7683053667086699</v>
      </c>
      <c r="G814" s="20">
        <v>1.77871647492662</v>
      </c>
      <c r="H814" s="20">
        <v>5.8096017896631397E-3</v>
      </c>
      <c r="I814" s="20">
        <v>102.83540530560001</v>
      </c>
      <c r="J814" s="20">
        <v>472.25283168725008</v>
      </c>
      <c r="K814" s="20">
        <v>5.9976109624280767</v>
      </c>
      <c r="L814" s="20">
        <f t="shared" si="30"/>
        <v>472.25188123068324</v>
      </c>
      <c r="M814" s="20">
        <f t="shared" si="31"/>
        <v>-5.9975988916536673</v>
      </c>
    </row>
    <row r="815" spans="1:13" x14ac:dyDescent="0.2">
      <c r="A815" s="23">
        <v>197</v>
      </c>
      <c r="B815" s="20">
        <v>472.40300298251998</v>
      </c>
      <c r="C815" s="20">
        <v>23.778201866861</v>
      </c>
      <c r="D815" s="20">
        <v>347.64391534078499</v>
      </c>
      <c r="E815" s="20">
        <v>-0.19252385642221301</v>
      </c>
      <c r="F815" s="20">
        <v>-1.7675209675247201</v>
      </c>
      <c r="G815" s="20">
        <v>1.77797519834535</v>
      </c>
      <c r="H815" s="20">
        <v>5.82225657388477E-3</v>
      </c>
      <c r="I815" s="20">
        <v>102.89324827058699</v>
      </c>
      <c r="J815" s="20">
        <v>473.00200916288958</v>
      </c>
      <c r="K815" s="20">
        <v>6.0071255163686974</v>
      </c>
      <c r="L815" s="20">
        <f t="shared" si="30"/>
        <v>473.00105719852678</v>
      </c>
      <c r="M815" s="20">
        <f t="shared" si="31"/>
        <v>-6.0071134264453185</v>
      </c>
    </row>
    <row r="816" spans="1:13" x14ac:dyDescent="0.2">
      <c r="A816" s="23">
        <v>197.25</v>
      </c>
      <c r="B816" s="20">
        <v>473.14877474887697</v>
      </c>
      <c r="C816" s="20">
        <v>23.858332169197698</v>
      </c>
      <c r="D816" s="20">
        <v>347.61882601039599</v>
      </c>
      <c r="E816" s="20">
        <v>-0.19287976072378599</v>
      </c>
      <c r="F816" s="20">
        <v>-1.76673440470392</v>
      </c>
      <c r="G816" s="20">
        <v>1.77723185287159</v>
      </c>
      <c r="H816" s="20">
        <v>5.8348536744219602E-3</v>
      </c>
      <c r="I816" s="20">
        <v>102.951210991571</v>
      </c>
      <c r="J816" s="20">
        <v>473.75086963009772</v>
      </c>
      <c r="K816" s="20">
        <v>6.0166360443022411</v>
      </c>
      <c r="L816" s="20">
        <f t="shared" si="30"/>
        <v>473.74991615857761</v>
      </c>
      <c r="M816" s="20">
        <f t="shared" si="31"/>
        <v>-6.0166239352380027</v>
      </c>
    </row>
    <row r="817" spans="1:13" x14ac:dyDescent="0.2">
      <c r="A817" s="23">
        <v>197.5</v>
      </c>
      <c r="B817" s="20">
        <v>473.89421892656998</v>
      </c>
      <c r="C817" s="20">
        <v>23.938571139349499</v>
      </c>
      <c r="D817" s="20">
        <v>347.593725733871</v>
      </c>
      <c r="E817" s="20">
        <v>-0.19323541998660601</v>
      </c>
      <c r="F817" s="20">
        <v>-1.76594568846999</v>
      </c>
      <c r="G817" s="20">
        <v>1.77648644862919</v>
      </c>
      <c r="H817" s="20">
        <v>5.8473933569093096E-3</v>
      </c>
      <c r="I817" s="20">
        <v>103.009292539347</v>
      </c>
      <c r="J817" s="20">
        <v>474.49941221495794</v>
      </c>
      <c r="K817" s="20">
        <v>6.0261425351299662</v>
      </c>
      <c r="L817" s="20">
        <f t="shared" si="30"/>
        <v>474.49845723692033</v>
      </c>
      <c r="M817" s="20">
        <f t="shared" si="31"/>
        <v>-6.0261304069329924</v>
      </c>
    </row>
    <row r="818" spans="1:13" x14ac:dyDescent="0.2">
      <c r="A818" s="23">
        <v>197.75</v>
      </c>
      <c r="B818" s="20">
        <v>474.63933464052798</v>
      </c>
      <c r="C818" s="20">
        <v>24.018918554726</v>
      </c>
      <c r="D818" s="20">
        <v>347.56861456072801</v>
      </c>
      <c r="E818" s="20">
        <v>-0.19359083265882801</v>
      </c>
      <c r="F818" s="20">
        <v>-1.7651548289853001</v>
      </c>
      <c r="G818" s="20">
        <v>1.7757389956803</v>
      </c>
      <c r="H818" s="20">
        <v>5.85987588752782E-3</v>
      </c>
      <c r="I818" s="20">
        <v>103.067491990097</v>
      </c>
      <c r="J818" s="20">
        <v>475.24763604784442</v>
      </c>
      <c r="K818" s="20">
        <v>6.0356449778076238</v>
      </c>
      <c r="L818" s="20">
        <f t="shared" si="30"/>
        <v>475.24667956393097</v>
      </c>
      <c r="M818" s="20">
        <f t="shared" si="31"/>
        <v>-6.0356328304860662</v>
      </c>
    </row>
    <row r="819" spans="1:13" x14ac:dyDescent="0.2">
      <c r="A819" s="23">
        <v>198</v>
      </c>
      <c r="B819" s="20">
        <v>475.38412102002098</v>
      </c>
      <c r="C819" s="20">
        <v>24.099374192332501</v>
      </c>
      <c r="D819" s="20">
        <v>347.54349254041898</v>
      </c>
      <c r="E819" s="20">
        <v>-0.19394599719688899</v>
      </c>
      <c r="F819" s="20">
        <v>-1.7643618363512199</v>
      </c>
      <c r="G819" s="20">
        <v>1.77498950402568</v>
      </c>
      <c r="H819" s="20">
        <v>5.8723015329561904E-3</v>
      </c>
      <c r="I819" s="20">
        <v>103.125808425374</v>
      </c>
      <c r="J819" s="20">
        <v>475.99554026339865</v>
      </c>
      <c r="K819" s="20">
        <v>6.0451433613451639</v>
      </c>
      <c r="L819" s="20">
        <f t="shared" si="30"/>
        <v>475.99458227425237</v>
      </c>
      <c r="M819" s="20">
        <f t="shared" si="31"/>
        <v>-6.045131194907186</v>
      </c>
    </row>
    <row r="820" spans="1:13" x14ac:dyDescent="0.2">
      <c r="A820" s="23">
        <v>198.25</v>
      </c>
      <c r="B820" s="20">
        <v>476.128577198632</v>
      </c>
      <c r="C820" s="20">
        <v>24.1799378287702</v>
      </c>
      <c r="D820" s="20">
        <v>347.51835972232402</v>
      </c>
      <c r="E820" s="20">
        <v>-0.19430091206552499</v>
      </c>
      <c r="F820" s="20">
        <v>-1.76356672060846</v>
      </c>
      <c r="G820" s="20">
        <v>1.7742379836051201</v>
      </c>
      <c r="H820" s="20">
        <v>5.8846705603230898E-3</v>
      </c>
      <c r="I820" s="20">
        <v>103.18424093207599</v>
      </c>
      <c r="J820" s="20">
        <v>476.7431240005011</v>
      </c>
      <c r="K820" s="20">
        <v>6.0546376748063642</v>
      </c>
      <c r="L820" s="20">
        <f t="shared" si="30"/>
        <v>476.74216450676653</v>
      </c>
      <c r="M820" s="20">
        <f t="shared" si="31"/>
        <v>-6.0546254892601539</v>
      </c>
    </row>
    <row r="821" spans="1:13" x14ac:dyDescent="0.2">
      <c r="A821" s="23">
        <v>198.5</v>
      </c>
      <c r="B821" s="20">
        <v>476.872702314234</v>
      </c>
      <c r="C821" s="20">
        <v>24.260609240234999</v>
      </c>
      <c r="D821" s="20">
        <v>347.49321615575201</v>
      </c>
      <c r="E821" s="20">
        <v>-0.19465557573779099</v>
      </c>
      <c r="F821" s="20">
        <v>-1.7627694917373899</v>
      </c>
      <c r="G821" s="20">
        <v>1.7734844442977</v>
      </c>
      <c r="H821" s="20">
        <v>5.8969832371611299E-3</v>
      </c>
      <c r="I821" s="20">
        <v>103.24278860242801</v>
      </c>
      <c r="J821" s="20">
        <v>477.49038640224683</v>
      </c>
      <c r="K821" s="20">
        <v>6.064127907308535</v>
      </c>
      <c r="L821" s="20">
        <f t="shared" si="30"/>
        <v>477.48942540457108</v>
      </c>
      <c r="M821" s="20">
        <f t="shared" si="31"/>
        <v>-6.0641157026623098</v>
      </c>
    </row>
    <row r="822" spans="1:13" x14ac:dyDescent="0.2">
      <c r="A822" s="23">
        <v>198.75</v>
      </c>
      <c r="B822" s="20">
        <v>477.61649550896499</v>
      </c>
      <c r="C822" s="20">
        <v>24.341388202516899</v>
      </c>
      <c r="D822" s="20">
        <v>347.46806188993997</v>
      </c>
      <c r="E822" s="20">
        <v>-0.19500998669508399</v>
      </c>
      <c r="F822" s="20">
        <v>-1.7619701596584001</v>
      </c>
      <c r="G822" s="20">
        <v>1.7727288959221801</v>
      </c>
      <c r="H822" s="20">
        <v>5.90923983136193E-3</v>
      </c>
      <c r="I822" s="20">
        <v>103.301450533959</v>
      </c>
      <c r="J822" s="20">
        <v>478.23732661592169</v>
      </c>
      <c r="K822" s="20">
        <v>6.0736140480222058</v>
      </c>
      <c r="L822" s="20">
        <f t="shared" si="30"/>
        <v>478.23636411495397</v>
      </c>
      <c r="M822" s="20">
        <f t="shared" si="31"/>
        <v>-6.0736018242842107</v>
      </c>
    </row>
    <row r="823" spans="1:13" x14ac:dyDescent="0.2">
      <c r="A823" s="23">
        <v>199</v>
      </c>
      <c r="B823" s="20">
        <v>478.35995592920102</v>
      </c>
      <c r="C823" s="20">
        <v>24.4222744909999</v>
      </c>
      <c r="D823" s="20">
        <v>347.44289697405202</v>
      </c>
      <c r="E823" s="20">
        <v>-0.195364143427155</v>
      </c>
      <c r="F823" s="20">
        <v>-1.76116873423222</v>
      </c>
      <c r="G823" s="20">
        <v>1.77197134823736</v>
      </c>
      <c r="H823" s="20">
        <v>5.9214406111326098E-3</v>
      </c>
      <c r="I823" s="20">
        <v>103.36022582948</v>
      </c>
      <c r="J823" s="20">
        <v>478.98394379297696</v>
      </c>
      <c r="K823" s="20">
        <v>6.0830960861708077</v>
      </c>
      <c r="L823" s="20">
        <f t="shared" si="30"/>
        <v>478.98297978936671</v>
      </c>
      <c r="M823" s="20">
        <f t="shared" si="31"/>
        <v>-6.0830838433492902</v>
      </c>
    </row>
    <row r="824" spans="1:13" x14ac:dyDescent="0.2">
      <c r="A824" s="23">
        <v>199.25</v>
      </c>
      <c r="B824" s="20">
        <v>479.10308272553101</v>
      </c>
      <c r="C824" s="20">
        <v>24.503267880660701</v>
      </c>
      <c r="D824" s="20">
        <v>347.41772145717698</v>
      </c>
      <c r="E824" s="20">
        <v>-0.195718044432132</v>
      </c>
      <c r="F824" s="20">
        <v>-1.76036522526021</v>
      </c>
      <c r="G824" s="20">
        <v>1.77121181094237</v>
      </c>
      <c r="H824" s="20">
        <v>5.9335858449534803E-3</v>
      </c>
      <c r="I824" s="20">
        <v>103.419113597061</v>
      </c>
      <c r="J824" s="20">
        <v>479.73023708899973</v>
      </c>
      <c r="K824" s="20">
        <v>6.0925740110302966</v>
      </c>
      <c r="L824" s="20">
        <f t="shared" si="30"/>
        <v>479.72927158339883</v>
      </c>
      <c r="M824" s="20">
        <f t="shared" si="31"/>
        <v>-6.0925617491335355</v>
      </c>
    </row>
    <row r="825" spans="1:13" x14ac:dyDescent="0.2">
      <c r="A825" s="23">
        <v>199.5</v>
      </c>
      <c r="B825" s="20">
        <v>479.84587505273498</v>
      </c>
      <c r="C825" s="20">
        <v>24.584368146068201</v>
      </c>
      <c r="D825" s="20">
        <v>347.39253538832799</v>
      </c>
      <c r="E825" s="20">
        <v>-0.196071688216542</v>
      </c>
      <c r="F825" s="20">
        <v>-1.7595596424847499</v>
      </c>
      <c r="G825" s="20">
        <v>1.7704502936770501</v>
      </c>
      <c r="H825" s="20">
        <v>5.9456758015370001E-3</v>
      </c>
      <c r="I825" s="20">
        <v>103.478112950013</v>
      </c>
      <c r="J825" s="20">
        <v>480.47620566369449</v>
      </c>
      <c r="K825" s="20">
        <v>6.1020478119289203</v>
      </c>
      <c r="L825" s="20">
        <f t="shared" si="30"/>
        <v>480.47523865675572</v>
      </c>
      <c r="M825" s="20">
        <f t="shared" si="31"/>
        <v>-6.1020355309652059</v>
      </c>
    </row>
    <row r="826" spans="1:13" x14ac:dyDescent="0.2">
      <c r="A826" s="23">
        <v>199.75</v>
      </c>
      <c r="B826" s="20">
        <v>480.58833206975999</v>
      </c>
      <c r="C826" s="20">
        <v>24.6655750613834</v>
      </c>
      <c r="D826" s="20">
        <v>347.36733881644301</v>
      </c>
      <c r="E826" s="20">
        <v>-0.196425073295321</v>
      </c>
      <c r="F826" s="20">
        <v>-1.7587519955895301</v>
      </c>
      <c r="G826" s="20">
        <v>1.7696868060222499</v>
      </c>
      <c r="H826" s="20">
        <v>5.95771074978803E-3</v>
      </c>
      <c r="I826" s="20">
        <v>103.537223006864</v>
      </c>
      <c r="J826" s="20">
        <v>481.22184868085503</v>
      </c>
      <c r="K826" s="20">
        <v>6.1115174782468591</v>
      </c>
      <c r="L826" s="20">
        <f t="shared" si="30"/>
        <v>481.2208801732346</v>
      </c>
      <c r="M826" s="20">
        <f t="shared" si="31"/>
        <v>-6.111505178224526</v>
      </c>
    </row>
    <row r="827" spans="1:13" x14ac:dyDescent="0.2">
      <c r="A827" s="23">
        <v>200</v>
      </c>
      <c r="B827" s="20">
        <v>481.330452939689</v>
      </c>
      <c r="C827" s="20">
        <v>24.7468884003578</v>
      </c>
      <c r="D827" s="20">
        <v>347.34213179038301</v>
      </c>
      <c r="E827" s="20">
        <v>-0.196778198191841</v>
      </c>
      <c r="F827" s="20">
        <v>-1.7579422941998899</v>
      </c>
      <c r="G827" s="20">
        <v>1.7689213575002201</v>
      </c>
      <c r="H827" s="20">
        <v>5.9696909587648997E-3</v>
      </c>
      <c r="I827" s="20">
        <v>103.596442891339</v>
      </c>
      <c r="J827" s="20">
        <v>481.96716530833851</v>
      </c>
      <c r="K827" s="20">
        <v>6.1209829994158991</v>
      </c>
      <c r="L827" s="20">
        <f t="shared" si="30"/>
        <v>481.96619530069319</v>
      </c>
      <c r="M827" s="20">
        <f t="shared" si="31"/>
        <v>-6.1209706803432882</v>
      </c>
    </row>
    <row r="828" spans="1:13" x14ac:dyDescent="0.2">
      <c r="A828" s="23">
        <v>200.25</v>
      </c>
      <c r="B828" s="20">
        <v>482.07223682972398</v>
      </c>
      <c r="C828" s="20">
        <v>24.828307936333498</v>
      </c>
      <c r="D828" s="20">
        <v>347.31691435892998</v>
      </c>
      <c r="E828" s="20">
        <v>-0.197131061437925</v>
      </c>
      <c r="F828" s="20">
        <v>-1.75713054788314</v>
      </c>
      <c r="G828" s="20">
        <v>1.7681539575748899</v>
      </c>
      <c r="H828" s="20">
        <v>5.9816166976420703E-3</v>
      </c>
      <c r="I828" s="20">
        <v>103.655771732337</v>
      </c>
      <c r="J828" s="20">
        <v>482.71215471804425</v>
      </c>
      <c r="K828" s="20">
        <v>6.1304443649191622</v>
      </c>
      <c r="L828" s="20">
        <f t="shared" si="30"/>
        <v>482.71118321103239</v>
      </c>
      <c r="M828" s="20">
        <f t="shared" si="31"/>
        <v>-6.1304320268046331</v>
      </c>
    </row>
    <row r="829" spans="1:13" x14ac:dyDescent="0.2">
      <c r="A829" s="23">
        <v>200.5</v>
      </c>
      <c r="B829" s="20">
        <v>482.81368291115899</v>
      </c>
      <c r="C829" s="20">
        <v>24.909833442242402</v>
      </c>
      <c r="D829" s="20">
        <v>347.291686570786</v>
      </c>
      <c r="E829" s="20">
        <v>-0.19748366157386299</v>
      </c>
      <c r="F829" s="20">
        <v>-1.7563167661488699</v>
      </c>
      <c r="G829" s="20">
        <v>1.7673846156522499</v>
      </c>
      <c r="H829" s="20">
        <v>5.9934882356734703E-3</v>
      </c>
      <c r="I829" s="20">
        <v>103.715208663909</v>
      </c>
      <c r="J829" s="20">
        <v>483.45681608588734</v>
      </c>
      <c r="K829" s="20">
        <v>6.1399015642907697</v>
      </c>
      <c r="L829" s="20">
        <f t="shared" si="30"/>
        <v>483.45584308016947</v>
      </c>
      <c r="M829" s="20">
        <f t="shared" si="31"/>
        <v>-6.139889207142712</v>
      </c>
    </row>
    <row r="830" spans="1:13" x14ac:dyDescent="0.2">
      <c r="A830" s="23">
        <v>200.75</v>
      </c>
      <c r="B830" s="20">
        <v>483.55479035935502</v>
      </c>
      <c r="C830" s="20">
        <v>24.9914646906049</v>
      </c>
      <c r="D830" s="20">
        <v>347.26644847457402</v>
      </c>
      <c r="E830" s="20">
        <v>-0.197835997148436</v>
      </c>
      <c r="F830" s="20">
        <v>-1.75550095844929</v>
      </c>
      <c r="G830" s="20">
        <v>1.7666133410806399</v>
      </c>
      <c r="H830" s="20">
        <v>6.0053058421571902E-3</v>
      </c>
      <c r="I830" s="20">
        <v>103.77475282523901</v>
      </c>
      <c r="J830" s="20">
        <v>484.20114859177573</v>
      </c>
      <c r="K830" s="20">
        <v>6.1493545871155515</v>
      </c>
      <c r="L830" s="20">
        <f t="shared" si="30"/>
        <v>484.20017408801243</v>
      </c>
      <c r="M830" s="20">
        <f t="shared" si="31"/>
        <v>-6.149342210942355</v>
      </c>
    </row>
    <row r="831" spans="1:13" x14ac:dyDescent="0.2">
      <c r="A831" s="23">
        <v>201</v>
      </c>
      <c r="B831" s="20">
        <v>484.29555835372003</v>
      </c>
      <c r="C831" s="20">
        <v>25.073201453530199</v>
      </c>
      <c r="D831" s="20">
        <v>347.24120011883599</v>
      </c>
      <c r="E831" s="20">
        <v>-0.198188066718929</v>
      </c>
      <c r="F831" s="20">
        <v>-1.7546831341795399</v>
      </c>
      <c r="G831" s="20">
        <v>1.7658401431511099</v>
      </c>
      <c r="H831" s="20">
        <v>6.0170697864010501E-3</v>
      </c>
      <c r="I831" s="20">
        <v>103.834403360623</v>
      </c>
      <c r="J831" s="20">
        <v>484.94515141958368</v>
      </c>
      <c r="K831" s="20">
        <v>6.1588034230287132</v>
      </c>
      <c r="L831" s="20">
        <f t="shared" si="30"/>
        <v>484.94417541844007</v>
      </c>
      <c r="M831" s="20">
        <f t="shared" si="31"/>
        <v>-6.1587910278388236</v>
      </c>
    </row>
    <row r="832" spans="1:13" x14ac:dyDescent="0.2">
      <c r="A832" s="23">
        <v>201.25</v>
      </c>
      <c r="B832" s="20">
        <v>485.03598607767901</v>
      </c>
      <c r="C832" s="20">
        <v>25.1550435027149</v>
      </c>
      <c r="D832" s="20">
        <v>347.21594155203098</v>
      </c>
      <c r="E832" s="20">
        <v>-0.19853986885114899</v>
      </c>
      <c r="F832" s="20">
        <v>-1.7538633026780199</v>
      </c>
      <c r="G832" s="20">
        <v>1.76506503109774</v>
      </c>
      <c r="H832" s="20">
        <v>6.0287803376891901E-3</v>
      </c>
      <c r="I832" s="20">
        <v>103.894159419443</v>
      </c>
      <c r="J832" s="20">
        <v>485.68882375713167</v>
      </c>
      <c r="K832" s="20">
        <v>6.1682480617155724</v>
      </c>
      <c r="L832" s="20">
        <f t="shared" si="30"/>
        <v>485.68784625927162</v>
      </c>
      <c r="M832" s="20">
        <f t="shared" si="31"/>
        <v>-6.1682356475174229</v>
      </c>
    </row>
    <row r="833" spans="1:13" x14ac:dyDescent="0.2">
      <c r="A833" s="23">
        <v>201.5</v>
      </c>
      <c r="B833" s="20">
        <v>485.77607271865702</v>
      </c>
      <c r="C833" s="20">
        <v>25.236990609442302</v>
      </c>
      <c r="D833" s="20">
        <v>347.19067282253502</v>
      </c>
      <c r="E833" s="20">
        <v>-0.198891402119449</v>
      </c>
      <c r="F833" s="20">
        <v>-1.7530414732266699</v>
      </c>
      <c r="G833" s="20">
        <v>1.76428801409797</v>
      </c>
      <c r="H833" s="20">
        <v>6.0404377652498002E-3</v>
      </c>
      <c r="I833" s="20">
        <v>103.954020156151</v>
      </c>
      <c r="J833" s="20">
        <v>486.43216479615853</v>
      </c>
      <c r="K833" s="20">
        <v>6.1776884929112139</v>
      </c>
      <c r="L833" s="20">
        <f t="shared" si="30"/>
        <v>486.43118580224996</v>
      </c>
      <c r="M833" s="20">
        <f t="shared" si="31"/>
        <v>-6.1776760597132849</v>
      </c>
    </row>
    <row r="834" spans="1:13" x14ac:dyDescent="0.2">
      <c r="A834" s="23">
        <v>201.75</v>
      </c>
      <c r="B834" s="20">
        <v>486.51581746804999</v>
      </c>
      <c r="C834" s="20">
        <v>25.319042544582299</v>
      </c>
      <c r="D834" s="20">
        <v>347.16539397863801</v>
      </c>
      <c r="E834" s="20">
        <v>-0.19924266510673799</v>
      </c>
      <c r="F834" s="20">
        <v>-1.75221765505134</v>
      </c>
      <c r="G834" s="20">
        <v>1.76350910127293</v>
      </c>
      <c r="H834" s="20">
        <v>6.0520423382235703E-3</v>
      </c>
      <c r="I834" s="20">
        <v>104.013984730244</v>
      </c>
      <c r="J834" s="20">
        <v>487.17517373230066</v>
      </c>
      <c r="K834" s="20">
        <v>6.1871247064002191</v>
      </c>
      <c r="L834" s="20">
        <f t="shared" si="30"/>
        <v>487.1741932430117</v>
      </c>
      <c r="M834" s="20">
        <f t="shared" si="31"/>
        <v>-6.1871122542109971</v>
      </c>
    </row>
    <row r="835" spans="1:13" x14ac:dyDescent="0.2">
      <c r="A835" s="23">
        <v>202</v>
      </c>
      <c r="B835" s="20">
        <v>487.25521952120698</v>
      </c>
      <c r="C835" s="20">
        <v>25.40119907859</v>
      </c>
      <c r="D835" s="20">
        <v>347.140105068548</v>
      </c>
      <c r="E835" s="20">
        <v>-0.19959365640450399</v>
      </c>
      <c r="F835" s="20">
        <v>-1.7513918573220699</v>
      </c>
      <c r="G835" s="20">
        <v>1.76272830168775</v>
      </c>
      <c r="H835" s="20">
        <v>6.0635943256331596E-3</v>
      </c>
      <c r="I835" s="20">
        <v>104.074052306246</v>
      </c>
      <c r="J835" s="20">
        <v>487.91784976506938</v>
      </c>
      <c r="K835" s="20">
        <v>6.1965566920163813</v>
      </c>
      <c r="L835" s="20">
        <f t="shared" si="30"/>
        <v>487.91686778106964</v>
      </c>
      <c r="M835" s="20">
        <f t="shared" si="31"/>
        <v>-6.1965442208443706</v>
      </c>
    </row>
    <row r="836" spans="1:13" x14ac:dyDescent="0.2">
      <c r="A836" s="23">
        <v>202.25</v>
      </c>
      <c r="B836" s="20">
        <v>487.99427807740199</v>
      </c>
      <c r="C836" s="20">
        <v>25.483459981505401</v>
      </c>
      <c r="D836" s="20">
        <v>347.11480614038402</v>
      </c>
      <c r="E836" s="20">
        <v>-0.19994437461282799</v>
      </c>
      <c r="F836" s="20">
        <v>-1.75056408915341</v>
      </c>
      <c r="G836" s="20">
        <v>1.7619456243519001</v>
      </c>
      <c r="H836" s="20">
        <v>6.07509399635361E-3</v>
      </c>
      <c r="I836" s="20">
        <v>104.13422205368499</v>
      </c>
      <c r="J836" s="20">
        <v>488.66019209782257</v>
      </c>
      <c r="K836" s="20">
        <v>6.2059844396423474</v>
      </c>
      <c r="L836" s="20">
        <f t="shared" si="30"/>
        <v>488.65920861978412</v>
      </c>
      <c r="M836" s="20">
        <f t="shared" si="31"/>
        <v>-6.2059719494960826</v>
      </c>
    </row>
    <row r="837" spans="1:13" x14ac:dyDescent="0.2">
      <c r="A837" s="23">
        <v>202.5</v>
      </c>
      <c r="B837" s="20">
        <v>488.73299233981299</v>
      </c>
      <c r="C837" s="20">
        <v>25.565825022952598</v>
      </c>
      <c r="D837" s="20">
        <v>347.08949724218002</v>
      </c>
      <c r="E837" s="20">
        <v>-0.20029481834040599</v>
      </c>
      <c r="F837" s="20">
        <v>-1.7497343596047099</v>
      </c>
      <c r="G837" s="20">
        <v>1.7611610782195199</v>
      </c>
      <c r="H837" s="20">
        <v>6.0865416190836403E-3</v>
      </c>
      <c r="I837" s="20">
        <v>104.194493147069</v>
      </c>
      <c r="J837" s="20">
        <v>489.40219993774662</v>
      </c>
      <c r="K837" s="20">
        <v>6.2154079392093822</v>
      </c>
      <c r="L837" s="20">
        <f t="shared" si="30"/>
        <v>489.40121496634225</v>
      </c>
      <c r="M837" s="20">
        <f t="shared" si="31"/>
        <v>-6.2153954300974084</v>
      </c>
    </row>
    <row r="838" spans="1:13" x14ac:dyDescent="0.2">
      <c r="A838" s="23">
        <v>202.75</v>
      </c>
      <c r="B838" s="20">
        <v>489.471361515502</v>
      </c>
      <c r="C838" s="20">
        <v>25.648293972139101</v>
      </c>
      <c r="D838" s="20">
        <v>347.06417842187801</v>
      </c>
      <c r="E838" s="20">
        <v>-0.200644986204562</v>
      </c>
      <c r="F838" s="20">
        <v>-1.7489026776804799</v>
      </c>
      <c r="G838" s="20">
        <v>1.7603746721897</v>
      </c>
      <c r="H838" s="20">
        <v>6.09793746231774E-3</v>
      </c>
      <c r="I838" s="20">
        <v>104.254864765872</v>
      </c>
      <c r="J838" s="20">
        <v>490.14387249583257</v>
      </c>
      <c r="K838" s="20">
        <v>6.2248271806970745</v>
      </c>
      <c r="L838" s="20">
        <f t="shared" si="30"/>
        <v>490.14288603173719</v>
      </c>
      <c r="M838" s="20">
        <f t="shared" si="31"/>
        <v>-6.2248146526279617</v>
      </c>
    </row>
    <row r="839" spans="1:13" x14ac:dyDescent="0.2">
      <c r="A839" s="23">
        <v>203</v>
      </c>
      <c r="B839" s="20">
        <v>490.20938481538701</v>
      </c>
      <c r="C839" s="20">
        <v>25.730866597854799</v>
      </c>
      <c r="D839" s="20">
        <v>347.03884972733499</v>
      </c>
      <c r="E839" s="20">
        <v>-0.20099487683126699</v>
      </c>
      <c r="F839" s="20">
        <v>-1.7480690523306499</v>
      </c>
      <c r="G839" s="20">
        <v>1.7595864151068501</v>
      </c>
      <c r="H839" s="20">
        <v>6.1092817943190301E-3</v>
      </c>
      <c r="I839" s="20">
        <v>104.315336094507</v>
      </c>
      <c r="J839" s="20">
        <v>490.88520898685039</v>
      </c>
      <c r="K839" s="20">
        <v>6.2342421541330006</v>
      </c>
      <c r="L839" s="20">
        <f t="shared" si="30"/>
        <v>490.88422103074038</v>
      </c>
      <c r="M839" s="20">
        <f t="shared" si="31"/>
        <v>-6.2342296071153402</v>
      </c>
    </row>
    <row r="840" spans="1:13" x14ac:dyDescent="0.2">
      <c r="A840" s="23">
        <v>203.25</v>
      </c>
      <c r="B840" s="20">
        <v>490.94706145422299</v>
      </c>
      <c r="C840" s="20">
        <v>25.8135426684719</v>
      </c>
      <c r="D840" s="20">
        <v>347.013511206315</v>
      </c>
      <c r="E840" s="20">
        <v>-0.20134448885515599</v>
      </c>
      <c r="F840" s="20">
        <v>-1.7472334924509001</v>
      </c>
      <c r="G840" s="20">
        <v>1.75879631576101</v>
      </c>
      <c r="H840" s="20">
        <v>6.1205748830931404E-3</v>
      </c>
      <c r="I840" s="20">
        <v>104.37590632230599</v>
      </c>
      <c r="J840" s="20">
        <v>491.62620862932874</v>
      </c>
      <c r="K840" s="20">
        <v>6.2436528495924755</v>
      </c>
      <c r="L840" s="20">
        <f t="shared" si="30"/>
        <v>491.62521918188213</v>
      </c>
      <c r="M840" s="20">
        <f t="shared" si="31"/>
        <v>-6.2436402836348774</v>
      </c>
    </row>
    <row r="841" spans="1:13" x14ac:dyDescent="0.2">
      <c r="A841" s="23">
        <v>203.5</v>
      </c>
      <c r="B841" s="20">
        <v>491.68439065057697</v>
      </c>
      <c r="C841" s="20">
        <v>25.896321951943499</v>
      </c>
      <c r="D841" s="20">
        <v>346.98816290649103</v>
      </c>
      <c r="E841" s="20">
        <v>-0.20169382091954599</v>
      </c>
      <c r="F841" s="20">
        <v>-1.74639600688295</v>
      </c>
      <c r="G841" s="20">
        <v>1.75800438288812</v>
      </c>
      <c r="H841" s="20">
        <v>6.1318169963625498E-3</v>
      </c>
      <c r="I841" s="20">
        <v>104.436574643502</v>
      </c>
      <c r="J841" s="20">
        <v>492.36687064552984</v>
      </c>
      <c r="K841" s="20">
        <v>6.2530592571982293</v>
      </c>
      <c r="L841" s="20">
        <f t="shared" si="30"/>
        <v>492.36587970742642</v>
      </c>
      <c r="M841" s="20">
        <f t="shared" si="31"/>
        <v>-6.2530466723093276</v>
      </c>
    </row>
    <row r="842" spans="1:13" x14ac:dyDescent="0.2">
      <c r="A842" s="23">
        <v>203.75</v>
      </c>
      <c r="B842" s="20">
        <v>492.42137162680899</v>
      </c>
      <c r="C842" s="20">
        <v>25.979204215803101</v>
      </c>
      <c r="D842" s="20">
        <v>346.962804875443</v>
      </c>
      <c r="E842" s="20">
        <v>-0.20204287167645199</v>
      </c>
      <c r="F842" s="20">
        <v>-1.7455566044149</v>
      </c>
      <c r="G842" s="20">
        <v>1.7572106251704001</v>
      </c>
      <c r="H842" s="20">
        <v>6.1430084015420298E-3</v>
      </c>
      <c r="I842" s="20">
        <v>104.497340257204</v>
      </c>
      <c r="J842" s="20">
        <v>493.10719426143214</v>
      </c>
      <c r="K842" s="20">
        <v>6.2624613671201885</v>
      </c>
      <c r="L842" s="20">
        <f t="shared" si="30"/>
        <v>493.1062018333518</v>
      </c>
      <c r="M842" s="20">
        <f t="shared" si="31"/>
        <v>-6.2624487633086172</v>
      </c>
    </row>
    <row r="843" spans="1:13" x14ac:dyDescent="0.2">
      <c r="A843" s="23">
        <v>204</v>
      </c>
      <c r="B843" s="20">
        <v>493.158003609047</v>
      </c>
      <c r="C843" s="20">
        <v>26.0621892271642</v>
      </c>
      <c r="D843" s="20">
        <v>346.93743716065899</v>
      </c>
      <c r="E843" s="20">
        <v>-0.20239163978660199</v>
      </c>
      <c r="F843" s="20">
        <v>-1.7447152937814701</v>
      </c>
      <c r="G843" s="20">
        <v>1.7564150512366099</v>
      </c>
      <c r="H843" s="20">
        <v>6.1541493657146801E-3</v>
      </c>
      <c r="I843" s="20">
        <v>104.55820236738001</v>
      </c>
      <c r="J843" s="20">
        <v>493.84717870670016</v>
      </c>
      <c r="K843" s="20">
        <v>6.2718591695750918</v>
      </c>
      <c r="L843" s="20">
        <f t="shared" si="30"/>
        <v>493.84618478932623</v>
      </c>
      <c r="M843" s="20">
        <f t="shared" si="31"/>
        <v>-6.271846546849531</v>
      </c>
    </row>
    <row r="844" spans="1:13" x14ac:dyDescent="0.2">
      <c r="A844" s="23">
        <v>204.25</v>
      </c>
      <c r="B844" s="20">
        <v>493.89428582716602</v>
      </c>
      <c r="C844" s="20">
        <v>26.145276752718999</v>
      </c>
      <c r="D844" s="20">
        <v>346.912059809531</v>
      </c>
      <c r="E844" s="20">
        <v>-0.202740123919458</v>
      </c>
      <c r="F844" s="20">
        <v>-1.74387208366438</v>
      </c>
      <c r="G844" s="20">
        <v>1.7556176696624</v>
      </c>
      <c r="H844" s="20">
        <v>6.16524015560859E-3</v>
      </c>
      <c r="I844" s="20">
        <v>104.61916018283399</v>
      </c>
      <c r="J844" s="20">
        <v>494.58682321466824</v>
      </c>
      <c r="K844" s="20">
        <v>6.2812526548262877</v>
      </c>
      <c r="L844" s="20">
        <f t="shared" si="30"/>
        <v>494.58582780868539</v>
      </c>
      <c r="M844" s="20">
        <f t="shared" si="31"/>
        <v>-6.28124001319543</v>
      </c>
    </row>
    <row r="845" spans="1:13" x14ac:dyDescent="0.2">
      <c r="A845" s="23">
        <v>204.5</v>
      </c>
      <c r="B845" s="20">
        <v>494.630217514766</v>
      </c>
      <c r="C845" s="20">
        <v>26.228466558737999</v>
      </c>
      <c r="D845" s="20">
        <v>346.886672869356</v>
      </c>
      <c r="E845" s="20">
        <v>-0.20308832275323099</v>
      </c>
      <c r="F845" s="20">
        <v>-1.7430269826925799</v>
      </c>
      <c r="G845" s="20">
        <v>1.75481848897062</v>
      </c>
      <c r="H845" s="20">
        <v>6.1762810375743304E-3</v>
      </c>
      <c r="I845" s="20">
        <v>104.680212917186</v>
      </c>
      <c r="J845" s="20">
        <v>495.32612702231791</v>
      </c>
      <c r="K845" s="20">
        <v>6.2906418131834378</v>
      </c>
      <c r="L845" s="20">
        <f t="shared" si="30"/>
        <v>495.32513012841127</v>
      </c>
      <c r="M845" s="20">
        <f t="shared" si="31"/>
        <v>-6.2906291526559857</v>
      </c>
    </row>
    <row r="846" spans="1:13" x14ac:dyDescent="0.2">
      <c r="A846" s="23">
        <v>204.75</v>
      </c>
      <c r="B846" s="20">
        <v>495.36579790914902</v>
      </c>
      <c r="C846" s="20">
        <v>26.3117584110691</v>
      </c>
      <c r="D846" s="20">
        <v>346.86127638733501</v>
      </c>
      <c r="E846" s="20">
        <v>-0.20343623497489599</v>
      </c>
      <c r="F846" s="20">
        <v>-1.74217999944258</v>
      </c>
      <c r="G846" s="20">
        <v>1.7540175176316</v>
      </c>
      <c r="H846" s="20">
        <v>6.1872722775631302E-3</v>
      </c>
      <c r="I846" s="20">
        <v>104.741359788849</v>
      </c>
      <c r="J846" s="20">
        <v>496.06508937025086</v>
      </c>
      <c r="K846" s="20">
        <v>6.3000266350021858</v>
      </c>
      <c r="L846" s="20">
        <f t="shared" si="30"/>
        <v>496.06409098910831</v>
      </c>
      <c r="M846" s="20">
        <f t="shared" si="31"/>
        <v>-6.3000139555868753</v>
      </c>
    </row>
    <row r="847" spans="1:13" x14ac:dyDescent="0.2">
      <c r="A847" s="23">
        <v>205</v>
      </c>
      <c r="B847" s="20">
        <v>496.10102625130003</v>
      </c>
      <c r="C847" s="20">
        <v>26.395152075137201</v>
      </c>
      <c r="D847" s="20">
        <v>346.83587041057098</v>
      </c>
      <c r="E847" s="20">
        <v>-0.20378385928020701</v>
      </c>
      <c r="F847" s="20">
        <v>-1.7413311424387501</v>
      </c>
      <c r="G847" s="20">
        <v>1.7532147640634801</v>
      </c>
      <c r="H847" s="20">
        <v>6.1982141411056199E-3</v>
      </c>
      <c r="I847" s="20">
        <v>104.802600021014</v>
      </c>
      <c r="J847" s="20">
        <v>496.80370950267491</v>
      </c>
      <c r="K847" s="20">
        <v>6.3094071106839715</v>
      </c>
      <c r="L847" s="20">
        <f t="shared" si="30"/>
        <v>496.80270963498447</v>
      </c>
      <c r="M847" s="20">
        <f t="shared" si="31"/>
        <v>-6.3093944123895405</v>
      </c>
    </row>
    <row r="848" spans="1:13" x14ac:dyDescent="0.2">
      <c r="A848" s="23">
        <v>205.25</v>
      </c>
      <c r="B848" s="20">
        <v>496.835901785864</v>
      </c>
      <c r="C848" s="20">
        <v>26.478647315942801</v>
      </c>
      <c r="D848" s="20">
        <v>346.81045498606699</v>
      </c>
      <c r="E848" s="20">
        <v>-0.20413119437372099</v>
      </c>
      <c r="F848" s="20">
        <v>-1.7404804201535999</v>
      </c>
      <c r="G848" s="20">
        <v>1.75241023663253</v>
      </c>
      <c r="H848" s="20">
        <v>6.2091068932913296E-3</v>
      </c>
      <c r="I848" s="20">
        <v>104.863932841622</v>
      </c>
      <c r="J848" s="20">
        <v>497.5419866673758</v>
      </c>
      <c r="K848" s="20">
        <v>6.318783230675673</v>
      </c>
      <c r="L848" s="20">
        <f t="shared" si="30"/>
        <v>497.54098531382795</v>
      </c>
      <c r="M848" s="20">
        <f t="shared" si="31"/>
        <v>-6.3187705135108905</v>
      </c>
    </row>
    <row r="849" spans="1:13" x14ac:dyDescent="0.2">
      <c r="A849" s="23">
        <v>205.5</v>
      </c>
      <c r="B849" s="20">
        <v>497.57042376112202</v>
      </c>
      <c r="C849" s="20">
        <v>26.562243898061698</v>
      </c>
      <c r="D849" s="20">
        <v>346.78503016072801</v>
      </c>
      <c r="E849" s="20">
        <v>-0.20447823896880399</v>
      </c>
      <c r="F849" s="20">
        <v>-1.7396278410080901</v>
      </c>
      <c r="G849" s="20">
        <v>1.7516039436534301</v>
      </c>
      <c r="H849" s="20">
        <v>6.2199507987488198E-3</v>
      </c>
      <c r="I849" s="20">
        <v>104.925357483353</v>
      </c>
      <c r="J849" s="20">
        <v>498.2799201156966</v>
      </c>
      <c r="K849" s="20">
        <v>6.3281549854693475</v>
      </c>
      <c r="L849" s="20">
        <f t="shared" si="30"/>
        <v>498.27891727698318</v>
      </c>
      <c r="M849" s="20">
        <f t="shared" si="31"/>
        <v>-6.3281422494429984</v>
      </c>
    </row>
    <row r="850" spans="1:13" x14ac:dyDescent="0.2">
      <c r="A850" s="23">
        <v>205.75</v>
      </c>
      <c r="B850" s="20">
        <v>498.30459142897502</v>
      </c>
      <c r="C850" s="20">
        <v>26.645941585644302</v>
      </c>
      <c r="D850" s="20">
        <v>346.75959598135802</v>
      </c>
      <c r="E850" s="20">
        <v>-0.20482499178765701</v>
      </c>
      <c r="F850" s="20">
        <v>-1.7387734133719099</v>
      </c>
      <c r="G850" s="20">
        <v>1.75079589338958</v>
      </c>
      <c r="H850" s="20">
        <v>6.2307461216262001E-3</v>
      </c>
      <c r="I850" s="20">
        <v>104.986873183594</v>
      </c>
      <c r="J850" s="20">
        <v>499.01750910252065</v>
      </c>
      <c r="K850" s="20">
        <v>6.3375223656020125</v>
      </c>
      <c r="L850" s="20">
        <f t="shared" si="30"/>
        <v>499.01650477933418</v>
      </c>
      <c r="M850" s="20">
        <f t="shared" si="31"/>
        <v>-6.3375096107228943</v>
      </c>
    </row>
    <row r="851" spans="1:13" x14ac:dyDescent="0.2">
      <c r="A851" s="23">
        <v>206</v>
      </c>
      <c r="B851" s="20">
        <v>499.03840404491899</v>
      </c>
      <c r="C851" s="20">
        <v>26.729740142414599</v>
      </c>
      <c r="D851" s="20">
        <v>346.734152494657</v>
      </c>
      <c r="E851" s="20">
        <v>-0.20517145156132299</v>
      </c>
      <c r="F851" s="20">
        <v>-1.7379171455637901</v>
      </c>
      <c r="G851" s="20">
        <v>1.74998609405343</v>
      </c>
      <c r="H851" s="20">
        <v>6.2414931255726598E-3</v>
      </c>
      <c r="I851" s="20">
        <v>105.048479184429</v>
      </c>
      <c r="J851" s="20">
        <v>499.75475288624352</v>
      </c>
      <c r="K851" s="20">
        <v>6.3468853616552927</v>
      </c>
      <c r="L851" s="20">
        <f t="shared" si="30"/>
        <v>499.75374707927989</v>
      </c>
      <c r="M851" s="20">
        <f t="shared" si="31"/>
        <v>-6.3468725879322427</v>
      </c>
    </row>
    <row r="852" spans="1:13" x14ac:dyDescent="0.2">
      <c r="A852" s="23">
        <v>206.25</v>
      </c>
      <c r="B852" s="20">
        <v>499.77186086802402</v>
      </c>
      <c r="C852" s="20">
        <v>26.8136393316694</v>
      </c>
      <c r="D852" s="20">
        <v>346.70869974722501</v>
      </c>
      <c r="E852" s="20">
        <v>-0.20551761702971</v>
      </c>
      <c r="F852" s="20">
        <v>-1.7370590458517601</v>
      </c>
      <c r="G852" s="20">
        <v>1.74917455380674</v>
      </c>
      <c r="H852" s="20">
        <v>6.2521920737201499E-3</v>
      </c>
      <c r="I852" s="20">
        <v>105.110174732614</v>
      </c>
      <c r="J852" s="20">
        <v>500.49165072875735</v>
      </c>
      <c r="K852" s="20">
        <v>6.3562439642552189</v>
      </c>
      <c r="L852" s="20">
        <f t="shared" si="30"/>
        <v>500.49064343871248</v>
      </c>
      <c r="M852" s="20">
        <f t="shared" si="31"/>
        <v>-6.3562311716970727</v>
      </c>
    </row>
    <row r="853" spans="1:13" x14ac:dyDescent="0.2">
      <c r="A853" s="23">
        <v>206.5</v>
      </c>
      <c r="B853" s="20">
        <v>500.50496116091603</v>
      </c>
      <c r="C853" s="20">
        <v>26.8976389162777</v>
      </c>
      <c r="D853" s="20">
        <v>346.68323778555703</v>
      </c>
      <c r="E853" s="20">
        <v>-0.205863486941603</v>
      </c>
      <c r="F853" s="20">
        <v>-1.7361991224534701</v>
      </c>
      <c r="G853" s="20">
        <v>1.7483612807609199</v>
      </c>
      <c r="H853" s="20">
        <v>6.2628432286659097E-3</v>
      </c>
      <c r="I853" s="20">
        <v>105.17195907955499</v>
      </c>
      <c r="J853" s="20">
        <v>501.22820189542779</v>
      </c>
      <c r="K853" s="20">
        <v>6.3655981640719341</v>
      </c>
      <c r="L853" s="20">
        <f t="shared" si="30"/>
        <v>501.22719312299938</v>
      </c>
      <c r="M853" s="20">
        <f t="shared" si="31"/>
        <v>-6.3655853526875541</v>
      </c>
    </row>
    <row r="854" spans="1:13" x14ac:dyDescent="0.2">
      <c r="A854" s="23">
        <v>206.75</v>
      </c>
      <c r="B854" s="20">
        <v>501.23770418975198</v>
      </c>
      <c r="C854" s="20">
        <v>26.981738658679902</v>
      </c>
      <c r="D854" s="20">
        <v>346.65776665604199</v>
      </c>
      <c r="E854" s="20">
        <v>-0.20620906005468301</v>
      </c>
      <c r="F854" s="20">
        <v>-1.7353373835364501</v>
      </c>
      <c r="G854" s="20">
        <v>1.7475462829773001</v>
      </c>
      <c r="H854" s="20">
        <v>6.2734468524554398E-3</v>
      </c>
      <c r="I854" s="20">
        <v>105.233831481293</v>
      </c>
      <c r="J854" s="20">
        <v>501.9644056550718</v>
      </c>
      <c r="K854" s="20">
        <v>6.3749479518194123</v>
      </c>
      <c r="L854" s="20">
        <f t="shared" si="30"/>
        <v>501.96339540095812</v>
      </c>
      <c r="M854" s="20">
        <f t="shared" si="31"/>
        <v>-6.3749351216176686</v>
      </c>
    </row>
    <row r="855" spans="1:13" x14ac:dyDescent="0.2">
      <c r="A855" s="23">
        <v>207</v>
      </c>
      <c r="B855" s="20">
        <v>501.97008922420503</v>
      </c>
      <c r="C855" s="20">
        <v>27.065938320887</v>
      </c>
      <c r="D855" s="20">
        <v>346.63228640496402</v>
      </c>
      <c r="E855" s="20">
        <v>-0.206554335135539</v>
      </c>
      <c r="F855" s="20">
        <v>-1.7344738372184101</v>
      </c>
      <c r="G855" s="20">
        <v>1.74672956846744</v>
      </c>
      <c r="H855" s="20">
        <v>6.2840032065660497E-3</v>
      </c>
      <c r="I855" s="20">
        <v>105.295791198481</v>
      </c>
      <c r="J855" s="20">
        <v>502.70026127993776</v>
      </c>
      <c r="K855" s="20">
        <v>6.3842933182552102</v>
      </c>
      <c r="L855" s="20">
        <f t="shared" si="30"/>
        <v>502.69924954484111</v>
      </c>
      <c r="M855" s="20">
        <f t="shared" si="31"/>
        <v>-6.3842804692450201</v>
      </c>
    </row>
    <row r="856" spans="1:13" x14ac:dyDescent="0.2">
      <c r="A856" s="23">
        <v>207.25</v>
      </c>
      <c r="B856" s="20">
        <v>502.70211553743599</v>
      </c>
      <c r="C856" s="20">
        <v>27.150237664479601</v>
      </c>
      <c r="D856" s="20">
        <v>346.60679707849903</v>
      </c>
      <c r="E856" s="20">
        <v>-0.206899310959686</v>
      </c>
      <c r="F856" s="20">
        <v>-1.73360849156754</v>
      </c>
      <c r="G856" s="20">
        <v>1.7459111451934399</v>
      </c>
      <c r="H856" s="20">
        <v>6.2945125518908797E-3</v>
      </c>
      <c r="I856" s="20">
        <v>105.357837496361</v>
      </c>
      <c r="J856" s="20">
        <v>503.43576804568625</v>
      </c>
      <c r="K856" s="20">
        <v>6.3936342541802151</v>
      </c>
      <c r="L856" s="20">
        <f t="shared" si="30"/>
        <v>503.43475483030704</v>
      </c>
      <c r="M856" s="20">
        <f t="shared" si="31"/>
        <v>-6.3936213863704738</v>
      </c>
    </row>
    <row r="857" spans="1:13" x14ac:dyDescent="0.2">
      <c r="A857" s="23">
        <v>207.5</v>
      </c>
      <c r="B857" s="20">
        <v>503.433782406082</v>
      </c>
      <c r="C857" s="20">
        <v>27.234636450607699</v>
      </c>
      <c r="D857" s="20">
        <v>346.58129872271599</v>
      </c>
      <c r="E857" s="20">
        <v>-0.207243986311579</v>
      </c>
      <c r="F857" s="20">
        <v>-1.7327413546027499</v>
      </c>
      <c r="G857" s="20">
        <v>1.74509102106821</v>
      </c>
      <c r="H857" s="20">
        <v>6.3049751487234103E-3</v>
      </c>
      <c r="I857" s="20">
        <v>105.419969644752</v>
      </c>
      <c r="J857" s="20">
        <v>504.17092523136591</v>
      </c>
      <c r="K857" s="20">
        <v>6.4029707504383468</v>
      </c>
      <c r="L857" s="20">
        <f t="shared" si="30"/>
        <v>504.16991053640942</v>
      </c>
      <c r="M857" s="20">
        <f t="shared" si="31"/>
        <v>-6.4029578638380116</v>
      </c>
    </row>
    <row r="858" spans="1:13" x14ac:dyDescent="0.2">
      <c r="A858" s="23">
        <v>207.75</v>
      </c>
      <c r="B858" s="20">
        <v>504.165089110228</v>
      </c>
      <c r="C858" s="20">
        <v>27.319134439989099</v>
      </c>
      <c r="D858" s="20">
        <v>346.55579138357302</v>
      </c>
      <c r="E858" s="20">
        <v>-0.20758835998463099</v>
      </c>
      <c r="F858" s="20">
        <v>-1.731872434294</v>
      </c>
      <c r="G858" s="20">
        <v>1.7442692039557799</v>
      </c>
      <c r="H858" s="20">
        <v>6.31539125674257E-3</v>
      </c>
      <c r="I858" s="20">
        <v>105.48218691802199</v>
      </c>
      <c r="J858" s="20">
        <v>504.90573211939704</v>
      </c>
      <c r="K858" s="20">
        <v>6.4123027979163432</v>
      </c>
      <c r="L858" s="20">
        <f t="shared" si="30"/>
        <v>504.9047159455676</v>
      </c>
      <c r="M858" s="20">
        <f t="shared" si="31"/>
        <v>-6.4122898925343579</v>
      </c>
    </row>
    <row r="859" spans="1:13" x14ac:dyDescent="0.2">
      <c r="A859" s="23">
        <v>208</v>
      </c>
      <c r="B859" s="20">
        <v>504.896034933392</v>
      </c>
      <c r="C859" s="20">
        <v>27.403731392909499</v>
      </c>
      <c r="D859" s="20">
        <v>346.53027510691902</v>
      </c>
      <c r="E859" s="20">
        <v>-0.207932430781225</v>
      </c>
      <c r="F859" s="20">
        <v>-1.73100173856254</v>
      </c>
      <c r="G859" s="20">
        <v>1.7434457016715801</v>
      </c>
      <c r="H859" s="20">
        <v>6.3257611349983103E-3</v>
      </c>
      <c r="I859" s="20">
        <v>105.54448859507301</v>
      </c>
      <c r="J859" s="20">
        <v>505.64018799554913</v>
      </c>
      <c r="K859" s="20">
        <v>6.4216303875434741</v>
      </c>
      <c r="L859" s="20">
        <f t="shared" si="30"/>
        <v>505.63917034355211</v>
      </c>
      <c r="M859" s="20">
        <f t="shared" si="31"/>
        <v>-6.4216174633887988</v>
      </c>
    </row>
    <row r="860" spans="1:13" x14ac:dyDescent="0.2">
      <c r="A860" s="23">
        <v>208.25</v>
      </c>
      <c r="B860" s="20">
        <v>505.62661916250403</v>
      </c>
      <c r="C860" s="20">
        <v>27.488427069221</v>
      </c>
      <c r="D860" s="20">
        <v>346.50474993849099</v>
      </c>
      <c r="E860" s="20">
        <v>-0.20827619751273299</v>
      </c>
      <c r="F860" s="20">
        <v>-1.7301292752812201</v>
      </c>
      <c r="G860" s="20">
        <v>1.74262052198276</v>
      </c>
      <c r="H860" s="20">
        <v>6.3360850418974803E-3</v>
      </c>
      <c r="I860" s="20">
        <v>105.60687395932</v>
      </c>
      <c r="J860" s="20">
        <v>506.37429214891921</v>
      </c>
      <c r="K860" s="20">
        <v>6.4309535102912747</v>
      </c>
      <c r="L860" s="20">
        <f t="shared" ref="L860:L923" si="32">SQRT(B860^2+C860^2)</f>
        <v>506.37327301946311</v>
      </c>
      <c r="M860" s="20">
        <f t="shared" ref="M860:M923" si="33">-L860/A$25*100</f>
        <v>-6.4309405673729056</v>
      </c>
    </row>
    <row r="861" spans="1:13" x14ac:dyDescent="0.2">
      <c r="A861" s="23">
        <v>208.5</v>
      </c>
      <c r="B861" s="20">
        <v>506.35684108788502</v>
      </c>
      <c r="C861" s="20">
        <v>27.573221228341598</v>
      </c>
      <c r="D861" s="20">
        <v>346.47921592391401</v>
      </c>
      <c r="E861" s="20">
        <v>-0.208619658999527</v>
      </c>
      <c r="F861" s="20">
        <v>-1.7292550522747401</v>
      </c>
      <c r="G861" s="20">
        <v>1.74179367260844</v>
      </c>
      <c r="H861" s="20">
        <v>6.3463632351904E-3</v>
      </c>
      <c r="I861" s="20">
        <v>105.66934229867201</v>
      </c>
      <c r="J861" s="20">
        <v>507.10804387191433</v>
      </c>
      <c r="K861" s="20">
        <v>6.4402721571733128</v>
      </c>
      <c r="L861" s="20">
        <f t="shared" si="32"/>
        <v>507.10702326570936</v>
      </c>
      <c r="M861" s="20">
        <f t="shared" si="33"/>
        <v>-6.4402591955002695</v>
      </c>
    </row>
    <row r="862" spans="1:13" x14ac:dyDescent="0.2">
      <c r="A862" s="23">
        <v>208.75</v>
      </c>
      <c r="B862" s="20">
        <v>507.08670000322599</v>
      </c>
      <c r="C862" s="20">
        <v>27.658113629254501</v>
      </c>
      <c r="D862" s="20">
        <v>346.45367310869801</v>
      </c>
      <c r="E862" s="20">
        <v>-0.20896281407099801</v>
      </c>
      <c r="F862" s="20">
        <v>-1.7283790773199601</v>
      </c>
      <c r="G862" s="20">
        <v>1.7409651612200301</v>
      </c>
      <c r="H862" s="20">
        <v>6.3565959719576104E-3</v>
      </c>
      <c r="I862" s="20">
        <v>105.731892905511</v>
      </c>
      <c r="J862" s="20">
        <v>507.84144246023118</v>
      </c>
      <c r="K862" s="20">
        <v>6.4495863192449363</v>
      </c>
      <c r="L862" s="20">
        <f t="shared" si="32"/>
        <v>507.8404203779869</v>
      </c>
      <c r="M862" s="20">
        <f t="shared" si="33"/>
        <v>-6.4495733388262328</v>
      </c>
    </row>
    <row r="863" spans="1:13" x14ac:dyDescent="0.2">
      <c r="A863" s="23">
        <v>209</v>
      </c>
      <c r="B863" s="20">
        <v>507.816195205572</v>
      </c>
      <c r="C863" s="20">
        <v>27.743104030507101</v>
      </c>
      <c r="D863" s="20">
        <v>346.42812153824002</v>
      </c>
      <c r="E863" s="20">
        <v>-0.20930566156556801</v>
      </c>
      <c r="F863" s="20">
        <v>-1.72750135814614</v>
      </c>
      <c r="G863" s="20">
        <v>1.74013499544149</v>
      </c>
      <c r="H863" s="20">
        <v>6.36678350859733E-3</v>
      </c>
      <c r="I863" s="20">
        <v>105.79452507667401</v>
      </c>
      <c r="J863" s="20">
        <v>508.57448721283379</v>
      </c>
      <c r="K863" s="20">
        <v>6.4588959876029888</v>
      </c>
      <c r="L863" s="20">
        <f t="shared" si="32"/>
        <v>508.57346365526303</v>
      </c>
      <c r="M863" s="20">
        <f t="shared" si="33"/>
        <v>-6.4588829884476757</v>
      </c>
    </row>
    <row r="864" spans="1:13" x14ac:dyDescent="0.2">
      <c r="A864" s="23">
        <v>209.25</v>
      </c>
      <c r="B864" s="20">
        <v>508.54532599530103</v>
      </c>
      <c r="C864" s="20">
        <v>27.828192190210402</v>
      </c>
      <c r="D864" s="20">
        <v>346.40256125782099</v>
      </c>
      <c r="E864" s="20">
        <v>-0.209648200330707</v>
      </c>
      <c r="F864" s="20">
        <v>-1.7266219024352401</v>
      </c>
      <c r="G864" s="20">
        <v>1.7393031828496699</v>
      </c>
      <c r="H864" s="20">
        <v>6.3769261008131996E-3</v>
      </c>
      <c r="I864" s="20">
        <v>105.857238113433</v>
      </c>
      <c r="J864" s="20">
        <v>509.30717743193833</v>
      </c>
      <c r="K864" s="20">
        <v>6.4682011533856167</v>
      </c>
      <c r="L864" s="20">
        <f t="shared" si="32"/>
        <v>509.30615239975481</v>
      </c>
      <c r="M864" s="20">
        <f t="shared" si="33"/>
        <v>-6.4681881355027588</v>
      </c>
    </row>
    <row r="865" spans="1:13" x14ac:dyDescent="0.2">
      <c r="A865" s="23">
        <v>209.5</v>
      </c>
      <c r="B865" s="20">
        <v>509.27409167610102</v>
      </c>
      <c r="C865" s="20">
        <v>27.9133778660381</v>
      </c>
      <c r="D865" s="20">
        <v>346.37699231260399</v>
      </c>
      <c r="E865" s="20">
        <v>-0.209990429222947</v>
      </c>
      <c r="F865" s="20">
        <v>-1.72574071782216</v>
      </c>
      <c r="G865" s="20">
        <v>1.7384697309745101</v>
      </c>
      <c r="H865" s="20">
        <v>6.3870240036024203E-3</v>
      </c>
      <c r="I865" s="20">
        <v>105.920031321477</v>
      </c>
      <c r="J865" s="20">
        <v>510.03951242298774</v>
      </c>
      <c r="K865" s="20">
        <v>6.4775018077719446</v>
      </c>
      <c r="L865" s="20">
        <f t="shared" si="32"/>
        <v>510.03848591690604</v>
      </c>
      <c r="M865" s="20">
        <f t="shared" si="33"/>
        <v>-6.4774887711706173</v>
      </c>
    </row>
    <row r="866" spans="1:13" x14ac:dyDescent="0.2">
      <c r="A866" s="23">
        <v>209.75</v>
      </c>
      <c r="B866" s="20">
        <v>510.00249155495698</v>
      </c>
      <c r="C866" s="20">
        <v>27.998660815225598</v>
      </c>
      <c r="D866" s="20">
        <v>346.35141474763498</v>
      </c>
      <c r="E866" s="20">
        <v>-0.210332347107896</v>
      </c>
      <c r="F866" s="20">
        <v>-1.7248578118950499</v>
      </c>
      <c r="G866" s="20">
        <v>1.7376346472994</v>
      </c>
      <c r="H866" s="20">
        <v>6.3970774712441602E-3</v>
      </c>
      <c r="I866" s="20">
        <v>105.982904010891</v>
      </c>
      <c r="J866" s="20">
        <v>510.77149149463884</v>
      </c>
      <c r="K866" s="20">
        <v>6.4867979419819131</v>
      </c>
      <c r="L866" s="20">
        <f t="shared" si="32"/>
        <v>510.77046351537399</v>
      </c>
      <c r="M866" s="20">
        <f t="shared" si="33"/>
        <v>-6.486784886671197</v>
      </c>
    </row>
    <row r="867" spans="1:13" x14ac:dyDescent="0.2">
      <c r="A867" s="23">
        <v>210</v>
      </c>
      <c r="B867" s="20">
        <v>510.730524942128</v>
      </c>
      <c r="C867" s="20">
        <v>28.084040794569798</v>
      </c>
      <c r="D867" s="20">
        <v>346.325828607841</v>
      </c>
      <c r="E867" s="20">
        <v>-0.210673952860255</v>
      </c>
      <c r="F867" s="20">
        <v>-1.7239731921955599</v>
      </c>
      <c r="G867" s="20">
        <v>1.7367979392614199</v>
      </c>
      <c r="H867" s="20">
        <v>6.4070867572887597E-3</v>
      </c>
      <c r="I867" s="20">
        <v>106.04585549613699</v>
      </c>
      <c r="J867" s="20">
        <v>511.50311395873507</v>
      </c>
      <c r="K867" s="20">
        <v>6.4960895472759361</v>
      </c>
      <c r="L867" s="20">
        <f t="shared" si="32"/>
        <v>511.50208450700637</v>
      </c>
      <c r="M867" s="20">
        <f t="shared" si="33"/>
        <v>-6.4960764732649654</v>
      </c>
    </row>
    <row r="868" spans="1:13" x14ac:dyDescent="0.2">
      <c r="A868" s="23">
        <v>210.25</v>
      </c>
      <c r="B868" s="20">
        <v>511.45819115112801</v>
      </c>
      <c r="C868" s="20">
        <v>28.1695175604276</v>
      </c>
      <c r="D868" s="20">
        <v>346.30023393802702</v>
      </c>
      <c r="E868" s="20">
        <v>-0.21101524536382901</v>
      </c>
      <c r="F868" s="20">
        <v>-1.7230868662190999</v>
      </c>
      <c r="G868" s="20">
        <v>1.73595961425165</v>
      </c>
      <c r="H868" s="20">
        <v>6.4170521145469096E-3</v>
      </c>
      <c r="I868" s="20">
        <v>106.108885096036</v>
      </c>
      <c r="J868" s="20">
        <v>512.23437913029454</v>
      </c>
      <c r="K868" s="20">
        <v>6.5053766149547414</v>
      </c>
      <c r="L868" s="20">
        <f t="shared" si="32"/>
        <v>512.23334820682169</v>
      </c>
      <c r="M868" s="20">
        <f t="shared" si="33"/>
        <v>-6.5053635222526562</v>
      </c>
    </row>
    <row r="869" spans="1:13" x14ac:dyDescent="0.2">
      <c r="A869" s="23">
        <v>210.5</v>
      </c>
      <c r="B869" s="20">
        <v>512.18548949870603</v>
      </c>
      <c r="C869" s="20">
        <v>28.255090868715602</v>
      </c>
      <c r="D869" s="20">
        <v>346.27463078288002</v>
      </c>
      <c r="E869" s="20">
        <v>-0.21135622351154501</v>
      </c>
      <c r="F869" s="20">
        <v>-1.7221988414151299</v>
      </c>
      <c r="G869" s="20">
        <v>1.73511967961541</v>
      </c>
      <c r="H869" s="20">
        <v>6.4269737950793E-3</v>
      </c>
      <c r="I869" s="20">
        <v>106.171992133751</v>
      </c>
      <c r="J869" s="20">
        <v>512.96528632748732</v>
      </c>
      <c r="K869" s="20">
        <v>6.5146591363590893</v>
      </c>
      <c r="L869" s="20">
        <f t="shared" si="32"/>
        <v>512.96425393298944</v>
      </c>
      <c r="M869" s="20">
        <f t="shared" si="33"/>
        <v>-6.5146460249750255</v>
      </c>
    </row>
    <row r="870" spans="1:13" x14ac:dyDescent="0.2">
      <c r="A870" s="23">
        <v>210.75</v>
      </c>
      <c r="B870" s="20">
        <v>512.91241930483295</v>
      </c>
      <c r="C870" s="20">
        <v>28.340760474909001</v>
      </c>
      <c r="D870" s="20">
        <v>346.24901918696298</v>
      </c>
      <c r="E870" s="20">
        <v>-0.21169688620546601</v>
      </c>
      <c r="F870" s="20">
        <v>-1.7213091251874</v>
      </c>
      <c r="G870" s="20">
        <v>1.73427814265258</v>
      </c>
      <c r="H870" s="20">
        <v>6.4368520501868398E-3</v>
      </c>
      <c r="I870" s="20">
        <v>106.235175936762</v>
      </c>
      <c r="J870" s="20">
        <v>513.69583487161697</v>
      </c>
      <c r="K870" s="20">
        <v>6.5239371028695352</v>
      </c>
      <c r="L870" s="20">
        <f t="shared" si="32"/>
        <v>513.69480100681653</v>
      </c>
      <c r="M870" s="20">
        <f t="shared" si="33"/>
        <v>-6.5239239728126659</v>
      </c>
    </row>
    <row r="871" spans="1:13" x14ac:dyDescent="0.2">
      <c r="A871" s="23">
        <v>211</v>
      </c>
      <c r="B871" s="20">
        <v>513.63897989267502</v>
      </c>
      <c r="C871" s="20">
        <v>28.426526134040898</v>
      </c>
      <c r="D871" s="20">
        <v>346.223399194715</v>
      </c>
      <c r="E871" s="20">
        <v>-0.212037232356801</v>
      </c>
      <c r="F871" s="20">
        <v>-1.7204177248942101</v>
      </c>
      <c r="G871" s="20">
        <v>1.73343501061785</v>
      </c>
      <c r="H871" s="20">
        <v>6.4466871304008598E-3</v>
      </c>
      <c r="I871" s="20">
        <v>106.298435836854</v>
      </c>
      <c r="J871" s="20">
        <v>514.4260240871015</v>
      </c>
      <c r="K871" s="20">
        <v>6.5332105059061893</v>
      </c>
      <c r="L871" s="20">
        <f t="shared" si="32"/>
        <v>514.42498875272099</v>
      </c>
      <c r="M871" s="20">
        <f t="shared" si="33"/>
        <v>-6.5331973571856894</v>
      </c>
    </row>
    <row r="872" spans="1:13" x14ac:dyDescent="0.2">
      <c r="A872" s="23">
        <v>211.25</v>
      </c>
      <c r="B872" s="20">
        <v>514.36517058858203</v>
      </c>
      <c r="C872" s="20">
        <v>28.512387600701601</v>
      </c>
      <c r="D872" s="20">
        <v>346.19777085045098</v>
      </c>
      <c r="E872" s="20">
        <v>-0.21237726088592601</v>
      </c>
      <c r="F872" s="20">
        <v>-1.71952464784873</v>
      </c>
      <c r="G872" s="20">
        <v>1.732590290721</v>
      </c>
      <c r="H872" s="20">
        <v>6.4564792854739103E-3</v>
      </c>
      <c r="I872" s="20">
        <v>106.361771170094</v>
      </c>
      <c r="J872" s="20">
        <v>515.1558533014545</v>
      </c>
      <c r="K872" s="20">
        <v>6.5424793369284719</v>
      </c>
      <c r="L872" s="20">
        <f t="shared" si="32"/>
        <v>515.15481649821902</v>
      </c>
      <c r="M872" s="20">
        <f t="shared" si="33"/>
        <v>-6.5424661695535509</v>
      </c>
    </row>
    <row r="873" spans="1:13" x14ac:dyDescent="0.2">
      <c r="A873" s="23">
        <v>211.5</v>
      </c>
      <c r="B873" s="20">
        <v>515.090990722063</v>
      </c>
      <c r="C873" s="20">
        <v>28.598344629037701</v>
      </c>
      <c r="D873" s="20">
        <v>346.17213419836202</v>
      </c>
      <c r="E873" s="20">
        <v>-0.21271697072239401</v>
      </c>
      <c r="F873" s="20">
        <v>-1.7186299013191799</v>
      </c>
      <c r="G873" s="20">
        <v>1.7317439901272</v>
      </c>
      <c r="H873" s="20">
        <v>6.4662287643709598E-3</v>
      </c>
      <c r="I873" s="20">
        <v>106.425181276817</v>
      </c>
      <c r="J873" s="20">
        <v>515.88532184526662</v>
      </c>
      <c r="K873" s="20">
        <v>6.5517435874348866</v>
      </c>
      <c r="L873" s="20">
        <f t="shared" si="32"/>
        <v>515.88428357390148</v>
      </c>
      <c r="M873" s="20">
        <f t="shared" si="33"/>
        <v>-6.5517304014147557</v>
      </c>
    </row>
    <row r="874" spans="1:13" x14ac:dyDescent="0.2">
      <c r="A874" s="23">
        <v>211.75</v>
      </c>
      <c r="B874" s="20">
        <v>515.81643962577402</v>
      </c>
      <c r="C874" s="20">
        <v>28.684396972751301</v>
      </c>
      <c r="D874" s="20">
        <v>346.14648928250898</v>
      </c>
      <c r="E874" s="20">
        <v>-0.213056360804949</v>
      </c>
      <c r="F874" s="20">
        <v>-1.7177334925291401</v>
      </c>
      <c r="G874" s="20">
        <v>1.73089611595723</v>
      </c>
      <c r="H874" s="20">
        <v>6.4759358152606502E-3</v>
      </c>
      <c r="I874" s="20">
        <v>106.488665501599</v>
      </c>
      <c r="J874" s="20">
        <v>516.61442905218678</v>
      </c>
      <c r="K874" s="20">
        <v>6.5610032489627725</v>
      </c>
      <c r="L874" s="20">
        <f t="shared" si="32"/>
        <v>516.61338931342084</v>
      </c>
      <c r="M874" s="20">
        <f t="shared" si="33"/>
        <v>-6.5609900443066884</v>
      </c>
    </row>
    <row r="875" spans="1:13" x14ac:dyDescent="0.2">
      <c r="A875" s="23">
        <v>212</v>
      </c>
      <c r="B875" s="20">
        <v>516.54151663549305</v>
      </c>
      <c r="C875" s="20">
        <v>28.770544385099001</v>
      </c>
      <c r="D875" s="20">
        <v>346.12083614682803</v>
      </c>
      <c r="E875" s="20">
        <v>-0.21339543008154199</v>
      </c>
      <c r="F875" s="20">
        <v>-1.71683542865782</v>
      </c>
      <c r="G875" s="20">
        <v>1.7300466752878001</v>
      </c>
      <c r="H875" s="20">
        <v>6.4856006855070003E-3</v>
      </c>
      <c r="I875" s="20">
        <v>106.552223193251</v>
      </c>
      <c r="J875" s="20">
        <v>517.34317425890583</v>
      </c>
      <c r="K875" s="20">
        <v>6.5702583130881047</v>
      </c>
      <c r="L875" s="20">
        <f t="shared" si="32"/>
        <v>517.34213305346611</v>
      </c>
      <c r="M875" s="20">
        <f t="shared" si="33"/>
        <v>-6.5702450898053</v>
      </c>
    </row>
    <row r="876" spans="1:13" x14ac:dyDescent="0.2">
      <c r="A876" s="23">
        <v>212.25</v>
      </c>
      <c r="B876" s="20">
        <v>517.26622109010896</v>
      </c>
      <c r="C876" s="20">
        <v>28.856786618891601</v>
      </c>
      <c r="D876" s="20">
        <v>346.09517483512502</v>
      </c>
      <c r="E876" s="20">
        <v>-0.21373417750934501</v>
      </c>
      <c r="F876" s="20">
        <v>-1.71593571684026</v>
      </c>
      <c r="G876" s="20">
        <v>1.7291956751518101</v>
      </c>
      <c r="H876" s="20">
        <v>6.4952236216615196E-3</v>
      </c>
      <c r="I876" s="20">
        <v>106.615853704787</v>
      </c>
      <c r="J876" s="20">
        <v>518.07155680513449</v>
      </c>
      <c r="K876" s="20">
        <v>6.5795087714252087</v>
      </c>
      <c r="L876" s="20">
        <f t="shared" si="32"/>
        <v>518.07051413375154</v>
      </c>
      <c r="M876" s="20">
        <f t="shared" si="33"/>
        <v>-6.5794955295249631</v>
      </c>
    </row>
    <row r="877" spans="1:13" x14ac:dyDescent="0.2">
      <c r="A877" s="23">
        <v>212.5</v>
      </c>
      <c r="B877" s="20">
        <v>517.990552331598</v>
      </c>
      <c r="C877" s="20">
        <v>28.943123426492701</v>
      </c>
      <c r="D877" s="20">
        <v>346.06950539107697</v>
      </c>
      <c r="E877" s="20">
        <v>-0.214072602054762</v>
      </c>
      <c r="F877" s="20">
        <v>-1.71503436416766</v>
      </c>
      <c r="G877" s="20">
        <v>1.7283431225385999</v>
      </c>
      <c r="H877" s="20">
        <v>6.5048048694553197E-3</v>
      </c>
      <c r="I877" s="20">
        <v>106.67955639341901</v>
      </c>
      <c r="J877" s="20">
        <v>518.79957603358798</v>
      </c>
      <c r="K877" s="20">
        <v>6.5887546156265673</v>
      </c>
      <c r="L877" s="20">
        <f t="shared" si="32"/>
        <v>518.79853189699293</v>
      </c>
      <c r="M877" s="20">
        <f t="shared" si="33"/>
        <v>-6.5887413551181648</v>
      </c>
    </row>
    <row r="878" spans="1:13" x14ac:dyDescent="0.2">
      <c r="A878" s="23">
        <v>212.75</v>
      </c>
      <c r="B878" s="20">
        <v>518.71450970500803</v>
      </c>
      <c r="C878" s="20">
        <v>29.029554559818401</v>
      </c>
      <c r="D878" s="20">
        <v>346.04382785822702</v>
      </c>
      <c r="E878" s="20">
        <v>-0.214410702693446</v>
      </c>
      <c r="F878" s="20">
        <v>-1.71413137768757</v>
      </c>
      <c r="G878" s="20">
        <v>1.72748902439425</v>
      </c>
      <c r="H878" s="20">
        <v>6.5143446737919598E-3</v>
      </c>
      <c r="I878" s="20">
        <v>106.743330620527</v>
      </c>
      <c r="J878" s="20">
        <v>519.52723128996672</v>
      </c>
      <c r="K878" s="20">
        <v>6.5979958373825784</v>
      </c>
      <c r="L878" s="20">
        <f t="shared" si="32"/>
        <v>519.52618568889125</v>
      </c>
      <c r="M878" s="20">
        <f t="shared" si="33"/>
        <v>-6.5979825582753113</v>
      </c>
    </row>
    <row r="879" spans="1:13" x14ac:dyDescent="0.2">
      <c r="A879" s="23">
        <v>213</v>
      </c>
      <c r="B879" s="20">
        <v>519.43809255844201</v>
      </c>
      <c r="C879" s="20">
        <v>29.116079770336</v>
      </c>
      <c r="D879" s="20">
        <v>346.01814227999</v>
      </c>
      <c r="E879" s="20">
        <v>-0.214748478410312</v>
      </c>
      <c r="F879" s="20">
        <v>-1.7132267644041801</v>
      </c>
      <c r="G879" s="20">
        <v>1.7266333876218001</v>
      </c>
      <c r="H879" s="20">
        <v>6.5238432787401998E-3</v>
      </c>
      <c r="I879" s="20">
        <v>106.807175751651</v>
      </c>
      <c r="J879" s="20">
        <v>520.25452192293824</v>
      </c>
      <c r="K879" s="20">
        <v>6.6072324284213151</v>
      </c>
      <c r="L879" s="20">
        <f t="shared" si="32"/>
        <v>520.25347485811676</v>
      </c>
      <c r="M879" s="20">
        <f t="shared" si="33"/>
        <v>-6.6072191307245118</v>
      </c>
    </row>
    <row r="880" spans="1:13" x14ac:dyDescent="0.2">
      <c r="A880" s="23">
        <v>213.25</v>
      </c>
      <c r="B880" s="20">
        <v>520.161300243038</v>
      </c>
      <c r="C880" s="20">
        <v>29.202698809063701</v>
      </c>
      <c r="D880" s="20">
        <v>345.99244869964298</v>
      </c>
      <c r="E880" s="20">
        <v>-0.21508592819955</v>
      </c>
      <c r="F880" s="20">
        <v>-1.7123205312785501</v>
      </c>
      <c r="G880" s="20">
        <v>1.72577621908158</v>
      </c>
      <c r="H880" s="20">
        <v>6.5333009275271104E-3</v>
      </c>
      <c r="I880" s="20">
        <v>106.87109115646599</v>
      </c>
      <c r="J880" s="20">
        <v>520.98144728411989</v>
      </c>
      <c r="K880" s="20">
        <v>6.6164643805083232</v>
      </c>
      <c r="L880" s="20">
        <f t="shared" si="32"/>
        <v>520.98039875628797</v>
      </c>
      <c r="M880" s="20">
        <f t="shared" si="33"/>
        <v>-6.616451064231323</v>
      </c>
    </row>
    <row r="881" spans="1:13" x14ac:dyDescent="0.2">
      <c r="A881" s="23">
        <v>213.5</v>
      </c>
      <c r="B881" s="20">
        <v>520.88413211295301</v>
      </c>
      <c r="C881" s="20">
        <v>29.289411426569501</v>
      </c>
      <c r="D881" s="20">
        <v>345.966747160333</v>
      </c>
      <c r="E881" s="20">
        <v>-0.21542305106463799</v>
      </c>
      <c r="F881" s="20">
        <v>-1.71141268522891</v>
      </c>
      <c r="G881" s="20">
        <v>1.72491752559142</v>
      </c>
      <c r="H881" s="20">
        <v>6.5427178625315696E-3</v>
      </c>
      <c r="I881" s="20">
        <v>106.935076208768</v>
      </c>
      <c r="J881" s="20">
        <v>521.70800672806195</v>
      </c>
      <c r="K881" s="20">
        <v>6.6256916854463874</v>
      </c>
      <c r="L881" s="20">
        <f t="shared" si="32"/>
        <v>521.70695673795569</v>
      </c>
      <c r="M881" s="20">
        <f t="shared" si="33"/>
        <v>-6.625678350598541</v>
      </c>
    </row>
    <row r="882" spans="1:13" x14ac:dyDescent="0.2">
      <c r="A882" s="23">
        <v>213.75</v>
      </c>
      <c r="B882" s="20">
        <v>521.60658752534505</v>
      </c>
      <c r="C882" s="20">
        <v>29.376217372970199</v>
      </c>
      <c r="D882" s="20">
        <v>345.94103770506803</v>
      </c>
      <c r="E882" s="20">
        <v>-0.21575984601835899</v>
      </c>
      <c r="F882" s="20">
        <v>-1.7105032331308301</v>
      </c>
      <c r="G882" s="20">
        <v>1.72405731392692</v>
      </c>
      <c r="H882" s="20">
        <v>6.5520943252779101E-3</v>
      </c>
      <c r="I882" s="20">
        <v>106.999130286455</v>
      </c>
      <c r="J882" s="20">
        <v>522.43419961222764</v>
      </c>
      <c r="K882" s="20">
        <v>6.6349143350752913</v>
      </c>
      <c r="L882" s="20">
        <f t="shared" si="32"/>
        <v>522.43314816058478</v>
      </c>
      <c r="M882" s="20">
        <f t="shared" si="33"/>
        <v>-6.6349009816659672</v>
      </c>
    </row>
    <row r="883" spans="1:13" x14ac:dyDescent="0.2">
      <c r="A883" s="23">
        <v>214</v>
      </c>
      <c r="B883" s="20">
        <v>522.32866584035503</v>
      </c>
      <c r="C883" s="20">
        <v>29.463116397931099</v>
      </c>
      <c r="D883" s="20">
        <v>345.91532037672198</v>
      </c>
      <c r="E883" s="20">
        <v>-0.21609631208280899</v>
      </c>
      <c r="F883" s="20">
        <v>-1.7095921818175499</v>
      </c>
      <c r="G883" s="20">
        <v>1.72319559082174</v>
      </c>
      <c r="H883" s="20">
        <v>6.5614305564298796E-3</v>
      </c>
      <c r="I883" s="20">
        <v>107.06325277150999</v>
      </c>
      <c r="J883" s="20">
        <v>523.16002529697698</v>
      </c>
      <c r="K883" s="20">
        <v>6.6441323212716075</v>
      </c>
      <c r="L883" s="20">
        <f t="shared" si="32"/>
        <v>523.15897238453567</v>
      </c>
      <c r="M883" s="20">
        <f t="shared" si="33"/>
        <v>-6.6441189493101795</v>
      </c>
    </row>
    <row r="884" spans="1:13" x14ac:dyDescent="0.2">
      <c r="A884" s="23">
        <v>214.25</v>
      </c>
      <c r="B884" s="20">
        <v>523.05036642109405</v>
      </c>
      <c r="C884" s="20">
        <v>29.550108250664799</v>
      </c>
      <c r="D884" s="20">
        <v>345.88959521802798</v>
      </c>
      <c r="E884" s="20">
        <v>-0.21643244828941699</v>
      </c>
      <c r="F884" s="20">
        <v>-1.70867953808016</v>
      </c>
      <c r="G884" s="20">
        <v>1.72233236296784</v>
      </c>
      <c r="H884" s="20">
        <v>6.5707267957847704E-3</v>
      </c>
      <c r="I884" s="20">
        <v>107.127443049983</v>
      </c>
      <c r="J884" s="20">
        <v>523.88548314554964</v>
      </c>
      <c r="K884" s="20">
        <v>6.6533456359484804</v>
      </c>
      <c r="L884" s="20">
        <f t="shared" si="32"/>
        <v>523.88442877305181</v>
      </c>
      <c r="M884" s="20">
        <f t="shared" si="33"/>
        <v>-6.6533322454443713</v>
      </c>
    </row>
    <row r="885" spans="1:13" x14ac:dyDescent="0.2">
      <c r="A885" s="23">
        <v>214.5</v>
      </c>
      <c r="B885" s="20">
        <v>523.77168863361806</v>
      </c>
      <c r="C885" s="20">
        <v>29.6371926799306</v>
      </c>
      <c r="D885" s="20">
        <v>345.86386227158198</v>
      </c>
      <c r="E885" s="20">
        <v>-0.216768253678953</v>
      </c>
      <c r="F885" s="20">
        <v>-1.7077653086679001</v>
      </c>
      <c r="G885" s="20">
        <v>1.72146763701575</v>
      </c>
      <c r="H885" s="20">
        <v>6.5799832822679297E-3</v>
      </c>
      <c r="I885" s="20">
        <v>107.191700511973</v>
      </c>
      <c r="J885" s="20">
        <v>524.61057252404714</v>
      </c>
      <c r="K885" s="20">
        <v>6.6625542710553987</v>
      </c>
      <c r="L885" s="20">
        <f t="shared" si="32"/>
        <v>524.6095166922338</v>
      </c>
      <c r="M885" s="20">
        <f t="shared" si="33"/>
        <v>-6.6625408620180195</v>
      </c>
    </row>
    <row r="886" spans="1:13" x14ac:dyDescent="0.2">
      <c r="A886" s="23">
        <v>214.75</v>
      </c>
      <c r="B886" s="20">
        <v>524.49263184691802</v>
      </c>
      <c r="C886" s="20">
        <v>29.724369434033399</v>
      </c>
      <c r="D886" s="20">
        <v>345.83812157984102</v>
      </c>
      <c r="E886" s="20">
        <v>-0.21710372730154201</v>
      </c>
      <c r="F886" s="20">
        <v>-1.7068495002883599</v>
      </c>
      <c r="G886" s="20">
        <v>1.7206014195748101</v>
      </c>
      <c r="H886" s="20">
        <v>6.5892002539273296E-3</v>
      </c>
      <c r="I886" s="20">
        <v>107.25602455161101</v>
      </c>
      <c r="J886" s="20">
        <v>525.33529280141568</v>
      </c>
      <c r="K886" s="20">
        <v>6.6717582185779793</v>
      </c>
      <c r="L886" s="20">
        <f t="shared" si="32"/>
        <v>525.33423551102931</v>
      </c>
      <c r="M886" s="20">
        <f t="shared" si="33"/>
        <v>-6.6717447910167591</v>
      </c>
    </row>
    <row r="887" spans="1:13" x14ac:dyDescent="0.2">
      <c r="A887" s="23">
        <v>215</v>
      </c>
      <c r="B887" s="20">
        <v>525.21319543289997</v>
      </c>
      <c r="C887" s="20">
        <v>29.811638260823301</v>
      </c>
      <c r="D887" s="20">
        <v>345.81237318511899</v>
      </c>
      <c r="E887" s="20">
        <v>-0.21743886821668201</v>
      </c>
      <c r="F887" s="20">
        <v>-1.7059321196077699</v>
      </c>
      <c r="G887" s="20">
        <v>1.7197337172134499</v>
      </c>
      <c r="H887" s="20">
        <v>6.5983779479284596E-3</v>
      </c>
      <c r="I887" s="20">
        <v>107.320414567046</v>
      </c>
      <c r="J887" s="20">
        <v>526.05964334942905</v>
      </c>
      <c r="K887" s="20">
        <v>6.6809574705377486</v>
      </c>
      <c r="L887" s="20">
        <f t="shared" si="32"/>
        <v>526.05858460121317</v>
      </c>
      <c r="M887" s="20">
        <f t="shared" si="33"/>
        <v>-6.6809440244621303</v>
      </c>
    </row>
    <row r="888" spans="1:13" x14ac:dyDescent="0.2">
      <c r="A888" s="23">
        <v>215.25</v>
      </c>
      <c r="B888" s="20">
        <v>525.93337876637099</v>
      </c>
      <c r="C888" s="20">
        <v>29.898998907694502</v>
      </c>
      <c r="D888" s="20">
        <v>345.78661712958802</v>
      </c>
      <c r="E888" s="20">
        <v>-0.21777367549325199</v>
      </c>
      <c r="F888" s="20">
        <v>-1.70501317325118</v>
      </c>
      <c r="G888" s="20">
        <v>1.7188645364594299</v>
      </c>
      <c r="H888" s="20">
        <v>6.6075166005494998E-3</v>
      </c>
      <c r="I888" s="20">
        <v>107.38486996042199</v>
      </c>
      <c r="J888" s="20">
        <v>526.78362354267131</v>
      </c>
      <c r="K888" s="20">
        <v>6.6901520189919266</v>
      </c>
      <c r="L888" s="20">
        <f t="shared" si="32"/>
        <v>526.78256333737295</v>
      </c>
      <c r="M888" s="20">
        <f t="shared" si="33"/>
        <v>-6.6901385544113969</v>
      </c>
    </row>
    <row r="889" spans="1:13" x14ac:dyDescent="0.2">
      <c r="A889" s="23">
        <v>215.5</v>
      </c>
      <c r="B889" s="20">
        <v>526.65318122501606</v>
      </c>
      <c r="C889" s="20">
        <v>29.986451121584501</v>
      </c>
      <c r="D889" s="20">
        <v>345.76085345527702</v>
      </c>
      <c r="E889" s="20">
        <v>-0.21810814820952601</v>
      </c>
      <c r="F889" s="20">
        <v>-1.7040926678027699</v>
      </c>
      <c r="G889" s="20">
        <v>1.7179938838001001</v>
      </c>
      <c r="H889" s="20">
        <v>6.6166164471765801E-3</v>
      </c>
      <c r="I889" s="20">
        <v>107.449390137865</v>
      </c>
      <c r="J889" s="20">
        <v>527.50723275852079</v>
      </c>
      <c r="K889" s="20">
        <v>6.6993418560332145</v>
      </c>
      <c r="L889" s="20">
        <f t="shared" si="32"/>
        <v>527.50617109688562</v>
      </c>
      <c r="M889" s="20">
        <f t="shared" si="33"/>
        <v>-6.6993283729572441</v>
      </c>
    </row>
    <row r="890" spans="1:13" x14ac:dyDescent="0.2">
      <c r="A890" s="23">
        <v>215.75</v>
      </c>
      <c r="B890" s="20">
        <v>527.372602189389</v>
      </c>
      <c r="C890" s="20">
        <v>30.0739946489735</v>
      </c>
      <c r="D890" s="20">
        <v>345.73508220407001</v>
      </c>
      <c r="E890" s="20">
        <v>-0.218442285453189</v>
      </c>
      <c r="F890" s="20">
        <v>-1.70317060980605</v>
      </c>
      <c r="G890" s="20">
        <v>1.7171217656826601</v>
      </c>
      <c r="H890" s="20">
        <v>6.6256777222993496E-3</v>
      </c>
      <c r="I890" s="20">
        <v>107.513974509467</v>
      </c>
      <c r="J890" s="20">
        <v>528.23047037713206</v>
      </c>
      <c r="K890" s="20">
        <v>6.7085269737895779</v>
      </c>
      <c r="L890" s="20">
        <f t="shared" si="32"/>
        <v>528.22940725990827</v>
      </c>
      <c r="M890" s="20">
        <f t="shared" si="33"/>
        <v>-6.7085134722276685</v>
      </c>
    </row>
    <row r="891" spans="1:13" x14ac:dyDescent="0.2">
      <c r="A891" s="23">
        <v>216</v>
      </c>
      <c r="B891" s="20">
        <v>528.09164104289198</v>
      </c>
      <c r="C891" s="20">
        <v>30.1616292358833</v>
      </c>
      <c r="D891" s="20">
        <v>345.70930341770497</v>
      </c>
      <c r="E891" s="20">
        <v>-0.21877608632134601</v>
      </c>
      <c r="F891" s="20">
        <v>-1.7022470057640999</v>
      </c>
      <c r="G891" s="20">
        <v>1.7162481885143901</v>
      </c>
      <c r="H891" s="20">
        <v>6.6347006595065799E-3</v>
      </c>
      <c r="I891" s="20">
        <v>107.57862248926401</v>
      </c>
      <c r="J891" s="20">
        <v>528.95333578142129</v>
      </c>
      <c r="K891" s="20">
        <v>6.7177073644240508</v>
      </c>
      <c r="L891" s="20">
        <f t="shared" si="32"/>
        <v>528.95227120935738</v>
      </c>
      <c r="M891" s="20">
        <f t="shared" si="33"/>
        <v>-6.7176938443857095</v>
      </c>
    </row>
    <row r="892" spans="1:13" x14ac:dyDescent="0.2">
      <c r="A892" s="23">
        <v>216.25</v>
      </c>
      <c r="B892" s="20">
        <v>528.81029717176102</v>
      </c>
      <c r="C892" s="20">
        <v>30.249354627876698</v>
      </c>
      <c r="D892" s="20">
        <v>345.683517137774</v>
      </c>
      <c r="E892" s="20">
        <v>-0.21910954992053899</v>
      </c>
      <c r="F892" s="20">
        <v>-1.7013218621398101</v>
      </c>
      <c r="G892" s="20">
        <v>1.7153731586629299</v>
      </c>
      <c r="H892" s="20">
        <v>6.6436854914823703E-3</v>
      </c>
      <c r="I892" s="20">
        <v>107.643333495226</v>
      </c>
      <c r="J892" s="20">
        <v>529.67582835704661</v>
      </c>
      <c r="K892" s="20">
        <v>6.7268830201344931</v>
      </c>
      <c r="L892" s="20">
        <f t="shared" si="32"/>
        <v>529.67476233089417</v>
      </c>
      <c r="M892" s="20">
        <f t="shared" si="33"/>
        <v>-6.7268694816292633</v>
      </c>
    </row>
    <row r="893" spans="1:13" x14ac:dyDescent="0.2">
      <c r="A893" s="23">
        <v>216.5</v>
      </c>
      <c r="B893" s="20">
        <v>529.52856996504602</v>
      </c>
      <c r="C893" s="20">
        <v>30.337170570056902</v>
      </c>
      <c r="D893" s="20">
        <v>345.65772340571999</v>
      </c>
      <c r="E893" s="20">
        <v>-0.21944267536675699</v>
      </c>
      <c r="F893" s="20">
        <v>-1.7003951853561201</v>
      </c>
      <c r="G893" s="20">
        <v>1.71449668245652</v>
      </c>
      <c r="H893" s="20">
        <v>6.6526324500020498E-3</v>
      </c>
      <c r="I893" s="20">
        <v>107.708106949236</v>
      </c>
      <c r="J893" s="20">
        <v>530.39794749239525</v>
      </c>
      <c r="K893" s="20">
        <v>6.7360539331534204</v>
      </c>
      <c r="L893" s="20">
        <f t="shared" si="32"/>
        <v>530.39688001290449</v>
      </c>
      <c r="M893" s="20">
        <f t="shared" si="33"/>
        <v>-6.7360403761908314</v>
      </c>
    </row>
    <row r="894" spans="1:13" x14ac:dyDescent="0.2">
      <c r="A894" s="23">
        <v>216.75</v>
      </c>
      <c r="B894" s="20">
        <v>530.24645881460003</v>
      </c>
      <c r="C894" s="20">
        <v>30.425076807065999</v>
      </c>
      <c r="D894" s="20">
        <v>345.631922262839</v>
      </c>
      <c r="E894" s="20">
        <v>-0.21977546178544999</v>
      </c>
      <c r="F894" s="20">
        <v>-1.69946698179627</v>
      </c>
      <c r="G894" s="20">
        <v>1.7136187661842299</v>
      </c>
      <c r="H894" s="20">
        <v>6.6615417659285298E-3</v>
      </c>
      <c r="I894" s="20">
        <v>107.772942277075</v>
      </c>
      <c r="J894" s="20">
        <v>531.11969257856367</v>
      </c>
      <c r="K894" s="20">
        <v>6.7452200957477588</v>
      </c>
      <c r="L894" s="20">
        <f t="shared" si="32"/>
        <v>531.11862364648744</v>
      </c>
      <c r="M894" s="20">
        <f t="shared" si="33"/>
        <v>-6.745206520337371</v>
      </c>
    </row>
    <row r="895" spans="1:13" x14ac:dyDescent="0.2">
      <c r="A895" s="23">
        <v>217</v>
      </c>
      <c r="B895" s="20">
        <v>530.96396311505998</v>
      </c>
      <c r="C895" s="20">
        <v>30.513073083084901</v>
      </c>
      <c r="D895" s="20">
        <v>345.60611375027401</v>
      </c>
      <c r="E895" s="20">
        <v>-0.22010790831154201</v>
      </c>
      <c r="F895" s="20">
        <v>-1.6985372578040101</v>
      </c>
      <c r="G895" s="20">
        <v>1.7127394160962299</v>
      </c>
      <c r="H895" s="20">
        <v>6.6704136692088403E-3</v>
      </c>
      <c r="I895" s="20">
        <v>107.837838908403</v>
      </c>
      <c r="J895" s="20">
        <v>531.84106300934354</v>
      </c>
      <c r="K895" s="20">
        <v>6.7543815002186633</v>
      </c>
      <c r="L895" s="20">
        <f t="shared" si="32"/>
        <v>531.83999262543659</v>
      </c>
      <c r="M895" s="20">
        <f t="shared" si="33"/>
        <v>-6.7543679063700619</v>
      </c>
    </row>
    <row r="896" spans="1:13" x14ac:dyDescent="0.2">
      <c r="A896" s="23">
        <v>217.25</v>
      </c>
      <c r="B896" s="20">
        <v>531.68108226383094</v>
      </c>
      <c r="C896" s="20">
        <v>30.601159141832099</v>
      </c>
      <c r="D896" s="20">
        <v>345.58029790901799</v>
      </c>
      <c r="E896" s="20">
        <v>-0.220440014089444</v>
      </c>
      <c r="F896" s="20">
        <v>-1.6976060196838201</v>
      </c>
      <c r="G896" s="20">
        <v>1.71185863840403</v>
      </c>
      <c r="H896" s="20">
        <v>6.6792483888709203E-3</v>
      </c>
      <c r="I896" s="20">
        <v>107.902796276749</v>
      </c>
      <c r="J896" s="20">
        <v>532.5620581812052</v>
      </c>
      <c r="K896" s="20">
        <v>6.763538138901307</v>
      </c>
      <c r="L896" s="20">
        <f t="shared" si="32"/>
        <v>532.56098634622333</v>
      </c>
      <c r="M896" s="20">
        <f t="shared" si="33"/>
        <v>-6.7635245266240904</v>
      </c>
    </row>
    <row r="897" spans="1:13" x14ac:dyDescent="0.2">
      <c r="A897" s="23">
        <v>217.5</v>
      </c>
      <c r="B897" s="20">
        <v>532.39781566107001</v>
      </c>
      <c r="C897" s="20">
        <v>30.689334726563199</v>
      </c>
      <c r="D897" s="20">
        <v>345.554474779911</v>
      </c>
      <c r="E897" s="20">
        <v>-0.22077177827306399</v>
      </c>
      <c r="F897" s="20">
        <v>-1.69667327370119</v>
      </c>
      <c r="G897" s="20">
        <v>1.7109764392807201</v>
      </c>
      <c r="H897" s="20">
        <v>6.6880461530201699E-3</v>
      </c>
      <c r="I897" s="20">
        <v>107.967813819488</v>
      </c>
      <c r="J897" s="20">
        <v>533.28267749328268</v>
      </c>
      <c r="K897" s="20">
        <v>6.7726900041646898</v>
      </c>
      <c r="L897" s="20">
        <f t="shared" si="32"/>
        <v>533.28160420798099</v>
      </c>
      <c r="M897" s="20">
        <f t="shared" si="33"/>
        <v>-6.7726763734684488</v>
      </c>
    </row>
    <row r="898" spans="1:13" x14ac:dyDescent="0.2">
      <c r="A898" s="23">
        <v>217.75</v>
      </c>
      <c r="B898" s="20">
        <v>533.114162709673</v>
      </c>
      <c r="C898" s="20">
        <v>30.777599580069801</v>
      </c>
      <c r="D898" s="20">
        <v>345.52864440363999</v>
      </c>
      <c r="E898" s="20">
        <v>-0.22110320002582601</v>
      </c>
      <c r="F898" s="20">
        <v>-1.6957390260828</v>
      </c>
      <c r="G898" s="20">
        <v>1.7100928248612399</v>
      </c>
      <c r="H898" s="20">
        <v>6.6968071888367899E-3</v>
      </c>
      <c r="I898" s="20">
        <v>108.032890977829</v>
      </c>
      <c r="J898" s="20">
        <v>534.00292034735355</v>
      </c>
      <c r="K898" s="20">
        <v>6.7818370884113914</v>
      </c>
      <c r="L898" s="20">
        <f t="shared" si="32"/>
        <v>534.00184561249114</v>
      </c>
      <c r="M898" s="20">
        <f t="shared" si="33"/>
        <v>-6.7818234393057644</v>
      </c>
    </row>
    <row r="899" spans="1:13" x14ac:dyDescent="0.2">
      <c r="A899" s="23">
        <v>218</v>
      </c>
      <c r="B899" s="20">
        <v>533.83012281525498</v>
      </c>
      <c r="C899" s="20">
        <v>30.865953444678802</v>
      </c>
      <c r="D899" s="20">
        <v>345.50280682073702</v>
      </c>
      <c r="E899" s="20">
        <v>-0.22143427852067399</v>
      </c>
      <c r="F899" s="20">
        <v>-1.6948032830168001</v>
      </c>
      <c r="G899" s="20">
        <v>1.70920780124258</v>
      </c>
      <c r="H899" s="20">
        <v>6.7055317225728503E-3</v>
      </c>
      <c r="I899" s="20">
        <v>108.09802719679701</v>
      </c>
      <c r="J899" s="20">
        <v>534.72278614782942</v>
      </c>
      <c r="K899" s="20">
        <v>6.7909793840774331</v>
      </c>
      <c r="L899" s="20">
        <f t="shared" si="32"/>
        <v>534.72170996416378</v>
      </c>
      <c r="M899" s="20">
        <f t="shared" si="33"/>
        <v>-6.7909657165720434</v>
      </c>
    </row>
    <row r="900" spans="1:13" x14ac:dyDescent="0.2">
      <c r="A900" s="23">
        <v>218.25</v>
      </c>
      <c r="B900" s="20">
        <v>534.54569538613896</v>
      </c>
      <c r="C900" s="20">
        <v>30.954396062251501</v>
      </c>
      <c r="D900" s="20">
        <v>345.47696207157702</v>
      </c>
      <c r="E900" s="20">
        <v>-0.22176501294009199</v>
      </c>
      <c r="F900" s="20">
        <v>-1.6938660506529699</v>
      </c>
      <c r="G900" s="20">
        <v>1.70832137448403</v>
      </c>
      <c r="H900" s="20">
        <v>6.7142199795495504E-3</v>
      </c>
      <c r="I900" s="20">
        <v>108.16322192522099</v>
      </c>
      <c r="J900" s="20">
        <v>535.44227430173464</v>
      </c>
      <c r="K900" s="20">
        <v>6.8001168836320307</v>
      </c>
      <c r="L900" s="20">
        <f t="shared" si="32"/>
        <v>535.4411966700261</v>
      </c>
      <c r="M900" s="20">
        <f t="shared" si="33"/>
        <v>-6.800103197736532</v>
      </c>
    </row>
    <row r="901" spans="1:13" x14ac:dyDescent="0.2">
      <c r="A901" s="23">
        <v>218.5</v>
      </c>
      <c r="B901" s="20">
        <v>535.26087983333696</v>
      </c>
      <c r="C901" s="20">
        <v>31.042927174183301</v>
      </c>
      <c r="D901" s="20">
        <v>345.45111019637898</v>
      </c>
      <c r="E901" s="20">
        <v>-0.22209540247611301</v>
      </c>
      <c r="F901" s="20">
        <v>-1.6929273351030201</v>
      </c>
      <c r="G901" s="20">
        <v>1.70743355060748</v>
      </c>
      <c r="H901" s="20">
        <v>6.72287218415492E-3</v>
      </c>
      <c r="I901" s="20">
        <v>108.22847461571099</v>
      </c>
      <c r="J901" s="20">
        <v>536.16138421869277</v>
      </c>
      <c r="K901" s="20">
        <v>6.8092495795773988</v>
      </c>
      <c r="L901" s="20">
        <f t="shared" si="32"/>
        <v>536.16030513970327</v>
      </c>
      <c r="M901" s="20">
        <f t="shared" si="33"/>
        <v>-6.8092358753014688</v>
      </c>
    </row>
    <row r="902" spans="1:13" x14ac:dyDescent="0.2">
      <c r="A902" s="23">
        <v>218.75</v>
      </c>
      <c r="B902" s="20">
        <v>535.97567557053696</v>
      </c>
      <c r="C902" s="20">
        <v>31.131546521402001</v>
      </c>
      <c r="D902" s="20">
        <v>345.42525123520397</v>
      </c>
      <c r="E902" s="20">
        <v>-0.22242544633033201</v>
      </c>
      <c r="F902" s="20">
        <v>-1.69198714244077</v>
      </c>
      <c r="G902" s="20">
        <v>1.70654433559756</v>
      </c>
      <c r="H902" s="20">
        <v>6.7314885598412201E-3</v>
      </c>
      <c r="I902" s="20">
        <v>108.293784724651</v>
      </c>
      <c r="J902" s="20">
        <v>536.88011531091354</v>
      </c>
      <c r="K902" s="20">
        <v>6.8183774644486022</v>
      </c>
      <c r="L902" s="20">
        <f t="shared" si="32"/>
        <v>536.87903478540454</v>
      </c>
      <c r="M902" s="20">
        <f t="shared" si="33"/>
        <v>-6.8183637418019112</v>
      </c>
    </row>
    <row r="903" spans="1:13" x14ac:dyDescent="0.2">
      <c r="A903" s="23">
        <v>219</v>
      </c>
      <c r="B903" s="20">
        <v>536.69008201408599</v>
      </c>
      <c r="C903" s="20">
        <v>31.2202538443679</v>
      </c>
      <c r="D903" s="20">
        <v>345.399385227952</v>
      </c>
      <c r="E903" s="20">
        <v>-0.22275514371392</v>
      </c>
      <c r="F903" s="20">
        <v>-1.6910454787023601</v>
      </c>
      <c r="G903" s="20">
        <v>1.7056537354019701</v>
      </c>
      <c r="H903" s="20">
        <v>6.7400693291229897E-3</v>
      </c>
      <c r="I903" s="20">
        <v>108.359151712176</v>
      </c>
      <c r="J903" s="20">
        <v>537.59846699317166</v>
      </c>
      <c r="K903" s="20">
        <v>6.827500530813281</v>
      </c>
      <c r="L903" s="20">
        <f t="shared" si="32"/>
        <v>537.5973850219076</v>
      </c>
      <c r="M903" s="20">
        <f t="shared" si="33"/>
        <v>-6.8274867898055369</v>
      </c>
    </row>
    <row r="904" spans="1:13" x14ac:dyDescent="0.2">
      <c r="A904" s="23">
        <v>219.25</v>
      </c>
      <c r="B904" s="20">
        <v>537.40409858297699</v>
      </c>
      <c r="C904" s="20">
        <v>31.309048883072499</v>
      </c>
      <c r="D904" s="20">
        <v>345.37351221436398</v>
      </c>
      <c r="E904" s="20">
        <v>-0.22308449384763299</v>
      </c>
      <c r="F904" s="20">
        <v>-1.69010234988653</v>
      </c>
      <c r="G904" s="20">
        <v>1.7047617559316699</v>
      </c>
      <c r="H904" s="20">
        <v>6.7486147135748598E-3</v>
      </c>
      <c r="I904" s="20">
        <v>108.424575042162</v>
      </c>
      <c r="J904" s="20">
        <v>538.31643868279787</v>
      </c>
      <c r="K904" s="20">
        <v>6.8366187712715325</v>
      </c>
      <c r="L904" s="20">
        <f t="shared" si="32"/>
        <v>538.31535526654318</v>
      </c>
      <c r="M904" s="20">
        <f t="shared" si="33"/>
        <v>-6.8366050119124449</v>
      </c>
    </row>
    <row r="905" spans="1:13" x14ac:dyDescent="0.2">
      <c r="A905" s="23">
        <v>219.5</v>
      </c>
      <c r="B905" s="20">
        <v>538.11772469883294</v>
      </c>
      <c r="C905" s="20">
        <v>31.3979313770378</v>
      </c>
      <c r="D905" s="20">
        <v>345.34763223401802</v>
      </c>
      <c r="E905" s="20">
        <v>-0.223413495961828</v>
      </c>
      <c r="F905" s="20">
        <v>-1.6891577619547999</v>
      </c>
      <c r="G905" s="20">
        <v>1.70386840306112</v>
      </c>
      <c r="H905" s="20">
        <v>6.7571249338336499E-3</v>
      </c>
      <c r="I905" s="20">
        <v>108.490054181533</v>
      </c>
      <c r="J905" s="20">
        <v>539.03402979966017</v>
      </c>
      <c r="K905" s="20">
        <v>6.8457321784556848</v>
      </c>
      <c r="L905" s="20">
        <f t="shared" si="32"/>
        <v>539.03294493918099</v>
      </c>
      <c r="M905" s="20">
        <f t="shared" si="33"/>
        <v>-6.8457184007549809</v>
      </c>
    </row>
    <row r="906" spans="1:13" x14ac:dyDescent="0.2">
      <c r="A906" s="23">
        <v>219.75</v>
      </c>
      <c r="B906" s="20">
        <v>538.83095978588904</v>
      </c>
      <c r="C906" s="20">
        <v>31.4869010653155</v>
      </c>
      <c r="D906" s="20">
        <v>345.32174532633002</v>
      </c>
      <c r="E906" s="20">
        <v>-0.22374214929639899</v>
      </c>
      <c r="F906" s="20">
        <v>-1.68821172083167</v>
      </c>
      <c r="G906" s="20">
        <v>1.70297368262848</v>
      </c>
      <c r="H906" s="20">
        <v>6.76560020999698E-3</v>
      </c>
      <c r="I906" s="20">
        <v>108.555588536385</v>
      </c>
      <c r="J906" s="20">
        <v>539.75123976614736</v>
      </c>
      <c r="K906" s="20">
        <v>6.8548407450300717</v>
      </c>
      <c r="L906" s="20">
        <f t="shared" si="32"/>
        <v>539.75015346221005</v>
      </c>
      <c r="M906" s="20">
        <f t="shared" si="33"/>
        <v>-6.8548269489974878</v>
      </c>
    </row>
    <row r="907" spans="1:13" x14ac:dyDescent="0.2">
      <c r="A907" s="23">
        <v>220</v>
      </c>
      <c r="B907" s="20">
        <v>539.54380327098397</v>
      </c>
      <c r="C907" s="20">
        <v>31.575957686487499</v>
      </c>
      <c r="D907" s="20">
        <v>345.29585153055302</v>
      </c>
      <c r="E907" s="20">
        <v>-0.224070453093792</v>
      </c>
      <c r="F907" s="20">
        <v>-1.6872642324023299</v>
      </c>
      <c r="G907" s="20">
        <v>1.7020776004324401</v>
      </c>
      <c r="H907" s="20">
        <v>6.7740407621982796E-3</v>
      </c>
      <c r="I907" s="20">
        <v>108.62117739915</v>
      </c>
      <c r="J907" s="20">
        <v>540.46806800715763</v>
      </c>
      <c r="K907" s="20">
        <v>6.8639444636909017</v>
      </c>
      <c r="L907" s="20">
        <f t="shared" si="32"/>
        <v>540.46698026053093</v>
      </c>
      <c r="M907" s="20">
        <f t="shared" si="33"/>
        <v>-6.8639306493361989</v>
      </c>
    </row>
    <row r="908" spans="1:13" x14ac:dyDescent="0.2">
      <c r="A908" s="23">
        <v>220.25</v>
      </c>
      <c r="B908" s="20">
        <v>540.256254583535</v>
      </c>
      <c r="C908" s="20">
        <v>31.6651009786694</v>
      </c>
      <c r="D908" s="20">
        <v>345.26995088577399</v>
      </c>
      <c r="E908" s="20">
        <v>-0.22439840658895499</v>
      </c>
      <c r="F908" s="20">
        <v>-1.6863153025091899</v>
      </c>
      <c r="G908" s="20">
        <v>1.70118016222748</v>
      </c>
      <c r="H908" s="20">
        <v>6.7824468101328602E-3</v>
      </c>
      <c r="I908" s="20">
        <v>108.686820053042</v>
      </c>
      <c r="J908" s="20">
        <v>541.18451395007617</v>
      </c>
      <c r="K908" s="20">
        <v>6.8730433271659672</v>
      </c>
      <c r="L908" s="20">
        <f t="shared" si="32"/>
        <v>541.18342476153009</v>
      </c>
      <c r="M908" s="20">
        <f t="shared" si="33"/>
        <v>-6.8730294944989252</v>
      </c>
    </row>
    <row r="909" spans="1:13" x14ac:dyDescent="0.2">
      <c r="A909" s="23">
        <v>220.5</v>
      </c>
      <c r="B909" s="20">
        <v>540.96831315552197</v>
      </c>
      <c r="C909" s="20">
        <v>31.754330679515402</v>
      </c>
      <c r="D909" s="20">
        <v>345.24404343091697</v>
      </c>
      <c r="E909" s="20">
        <v>-0.22472600901277301</v>
      </c>
      <c r="F909" s="20">
        <v>-1.6853649369533601</v>
      </c>
      <c r="G909" s="20">
        <v>1.7002813737257201</v>
      </c>
      <c r="H909" s="20">
        <v>6.7908185727725999E-3</v>
      </c>
      <c r="I909" s="20">
        <v>108.752515784553</v>
      </c>
      <c r="J909" s="20">
        <v>541.90057702476008</v>
      </c>
      <c r="K909" s="20">
        <v>6.8821373282144531</v>
      </c>
      <c r="L909" s="20">
        <f t="shared" si="32"/>
        <v>541.89948639506463</v>
      </c>
      <c r="M909" s="20">
        <f t="shared" si="33"/>
        <v>-6.882123477244849</v>
      </c>
    </row>
    <row r="910" spans="1:13" x14ac:dyDescent="0.2">
      <c r="A910" s="23">
        <v>220.75</v>
      </c>
      <c r="B910" s="20">
        <v>541.67997842147201</v>
      </c>
      <c r="C910" s="20">
        <v>31.843646526222901</v>
      </c>
      <c r="D910" s="20">
        <v>345.218129204744</v>
      </c>
      <c r="E910" s="20">
        <v>-0.22505325959234901</v>
      </c>
      <c r="F910" s="20">
        <v>-1.6844131414949499</v>
      </c>
      <c r="G910" s="20">
        <v>1.6993812405972999</v>
      </c>
      <c r="H910" s="20">
        <v>6.7991562683782699E-3</v>
      </c>
      <c r="I910" s="20">
        <v>108.818263883379</v>
      </c>
      <c r="J910" s="20">
        <v>542.61625666351972</v>
      </c>
      <c r="K910" s="20">
        <v>6.8912264596267008</v>
      </c>
      <c r="L910" s="20">
        <f t="shared" si="32"/>
        <v>542.61516459344682</v>
      </c>
      <c r="M910" s="20">
        <f t="shared" si="33"/>
        <v>-6.89121259036434</v>
      </c>
    </row>
    <row r="911" spans="1:13" x14ac:dyDescent="0.2">
      <c r="A911" s="23">
        <v>221</v>
      </c>
      <c r="B911" s="20">
        <v>542.39124981843702</v>
      </c>
      <c r="C911" s="20">
        <v>31.933048255536399</v>
      </c>
      <c r="D911" s="20">
        <v>345.19220824584897</v>
      </c>
      <c r="E911" s="20">
        <v>-0.22538015755100199</v>
      </c>
      <c r="F911" s="20">
        <v>-1.68345992185329</v>
      </c>
      <c r="G911" s="20">
        <v>1.6984797684706201</v>
      </c>
      <c r="H911" s="20">
        <v>6.8074601144985898E-3</v>
      </c>
      <c r="I911" s="20">
        <v>108.88406364239501</v>
      </c>
      <c r="J911" s="20">
        <v>543.33155230109969</v>
      </c>
      <c r="K911" s="20">
        <v>6.9003107142239655</v>
      </c>
      <c r="L911" s="20">
        <f t="shared" si="32"/>
        <v>543.33045879142151</v>
      </c>
      <c r="M911" s="20">
        <f t="shared" si="33"/>
        <v>-6.9002968266786553</v>
      </c>
    </row>
    <row r="912" spans="1:13" x14ac:dyDescent="0.2">
      <c r="A912" s="23">
        <v>221.25</v>
      </c>
      <c r="B912" s="20">
        <v>543.10212678597998</v>
      </c>
      <c r="C912" s="20">
        <v>32.0225356037515</v>
      </c>
      <c r="D912" s="20">
        <v>345.16628059266498</v>
      </c>
      <c r="E912" s="20">
        <v>-0.22570670210827601</v>
      </c>
      <c r="F912" s="20">
        <v>-1.6825052837071801</v>
      </c>
      <c r="G912" s="20">
        <v>1.6975769629325099</v>
      </c>
      <c r="H912" s="20">
        <v>6.8157303279672296E-3</v>
      </c>
      <c r="I912" s="20">
        <v>108.949914357642</v>
      </c>
      <c r="J912" s="20">
        <v>544.04646337466181</v>
      </c>
      <c r="K912" s="20">
        <v>6.9093900848582051</v>
      </c>
      <c r="L912" s="20">
        <f t="shared" si="32"/>
        <v>544.04536842615266</v>
      </c>
      <c r="M912" s="20">
        <f t="shared" si="33"/>
        <v>-6.9093761790397767</v>
      </c>
    </row>
    <row r="913" spans="1:13" x14ac:dyDescent="0.2">
      <c r="A913" s="23">
        <v>221.5</v>
      </c>
      <c r="B913" s="20">
        <v>543.81260876615397</v>
      </c>
      <c r="C913" s="20">
        <v>32.1121083067192</v>
      </c>
      <c r="D913" s="20">
        <v>345.14034628346201</v>
      </c>
      <c r="E913" s="20">
        <v>-0.22603289247994399</v>
      </c>
      <c r="F913" s="20">
        <v>-1.6815492326950801</v>
      </c>
      <c r="G913" s="20">
        <v>1.6966728295285001</v>
      </c>
      <c r="H913" s="20">
        <v>6.82396712490012E-3</v>
      </c>
      <c r="I913" s="20">
        <v>109.015815328307</v>
      </c>
      <c r="J913" s="20">
        <v>544.76098932376658</v>
      </c>
      <c r="K913" s="20">
        <v>6.9184645644118357</v>
      </c>
      <c r="L913" s="20">
        <f t="shared" si="32"/>
        <v>544.75989293720261</v>
      </c>
      <c r="M913" s="20">
        <f t="shared" si="33"/>
        <v>-6.9184506403301471</v>
      </c>
    </row>
    <row r="914" spans="1:13" x14ac:dyDescent="0.2">
      <c r="A914" s="23">
        <v>221.75</v>
      </c>
      <c r="B914" s="20">
        <v>544.522695203485</v>
      </c>
      <c r="C914" s="20">
        <v>32.2017660998495</v>
      </c>
      <c r="D914" s="20">
        <v>345.11440535634199</v>
      </c>
      <c r="E914" s="20">
        <v>-0.226358727878023</v>
      </c>
      <c r="F914" s="20">
        <v>-1.68059177441534</v>
      </c>
      <c r="G914" s="20">
        <v>1.6957673737629899</v>
      </c>
      <c r="H914" s="20">
        <v>6.8321707206927098E-3</v>
      </c>
      <c r="I914" s="20">
        <v>109.08176585671001</v>
      </c>
      <c r="J914" s="20">
        <v>545.47512959035896</v>
      </c>
      <c r="K914" s="20">
        <v>6.9275341457975594</v>
      </c>
      <c r="L914" s="20">
        <f t="shared" si="32"/>
        <v>545.47403176651494</v>
      </c>
      <c r="M914" s="20">
        <f t="shared" si="33"/>
        <v>-6.9275202034624508</v>
      </c>
    </row>
    <row r="915" spans="1:13" x14ac:dyDescent="0.2">
      <c r="A915" s="23">
        <v>222</v>
      </c>
      <c r="B915" s="20">
        <v>545.23238554495902</v>
      </c>
      <c r="C915" s="20">
        <v>32.291508718116198</v>
      </c>
      <c r="D915" s="20">
        <v>345.08845784924603</v>
      </c>
      <c r="E915" s="20">
        <v>-0.226684207510775</v>
      </c>
      <c r="F915" s="20">
        <v>-1.6796329144264299</v>
      </c>
      <c r="G915" s="20">
        <v>1.69486060109951</v>
      </c>
      <c r="H915" s="20">
        <v>6.8403413300179502E-3</v>
      </c>
      <c r="I915" s="20">
        <v>109.147765248288</v>
      </c>
      <c r="J915" s="20">
        <v>546.18888361874656</v>
      </c>
      <c r="K915" s="20">
        <v>6.9365988219580812</v>
      </c>
      <c r="L915" s="20">
        <f t="shared" si="32"/>
        <v>546.1877843584009</v>
      </c>
      <c r="M915" s="20">
        <f t="shared" si="33"/>
        <v>-6.9365848613794387</v>
      </c>
    </row>
    <row r="916" spans="1:13" x14ac:dyDescent="0.2">
      <c r="A916" s="23">
        <v>222.25</v>
      </c>
      <c r="B916" s="20">
        <v>545.94167923999703</v>
      </c>
      <c r="C916" s="20">
        <v>32.3813358960602</v>
      </c>
      <c r="D916" s="20">
        <v>345.06250379994998</v>
      </c>
      <c r="E916" s="20">
        <v>-0.22700933058272499</v>
      </c>
      <c r="F916" s="20">
        <v>-1.6786726582471501</v>
      </c>
      <c r="G916" s="20">
        <v>1.6939525169609</v>
      </c>
      <c r="H916" s="20">
        <v>6.8484791668237503E-3</v>
      </c>
      <c r="I916" s="20">
        <v>109.213812811575</v>
      </c>
      <c r="J916" s="20">
        <v>546.90225085558495</v>
      </c>
      <c r="K916" s="20">
        <v>6.9456585858659299</v>
      </c>
      <c r="L916" s="20">
        <f t="shared" si="32"/>
        <v>546.90115015951585</v>
      </c>
      <c r="M916" s="20">
        <f t="shared" si="33"/>
        <v>-6.9456446070536346</v>
      </c>
    </row>
    <row r="917" spans="1:13" x14ac:dyDescent="0.2">
      <c r="A917" s="23">
        <v>222.5</v>
      </c>
      <c r="B917" s="20">
        <v>546.65057574044295</v>
      </c>
      <c r="C917" s="20">
        <v>32.471247367793801</v>
      </c>
      <c r="D917" s="20">
        <v>345.03654324606498</v>
      </c>
      <c r="E917" s="20">
        <v>-0.227334096294662</v>
      </c>
      <c r="F917" s="20">
        <v>-1.6777110113568401</v>
      </c>
      <c r="G917" s="20">
        <v>1.6930431267295301</v>
      </c>
      <c r="H917" s="20">
        <v>6.8565844443311203E-3</v>
      </c>
      <c r="I917" s="20">
        <v>109.279907858191</v>
      </c>
      <c r="J917" s="20">
        <v>547.61523074986007</v>
      </c>
      <c r="K917" s="20">
        <v>6.9547134305232241</v>
      </c>
      <c r="L917" s="20">
        <f t="shared" si="32"/>
        <v>547.61412861884617</v>
      </c>
      <c r="M917" s="20">
        <f t="shared" si="33"/>
        <v>-6.9546994334871659</v>
      </c>
    </row>
    <row r="918" spans="1:13" x14ac:dyDescent="0.2">
      <c r="A918" s="23">
        <v>222.75</v>
      </c>
      <c r="B918" s="20">
        <v>547.35907450054697</v>
      </c>
      <c r="C918" s="20">
        <v>32.561242867004999</v>
      </c>
      <c r="D918" s="20">
        <v>345.01057622503902</v>
      </c>
      <c r="E918" s="20">
        <v>-0.22765850384365399</v>
      </c>
      <c r="F918" s="20">
        <v>-1.6767479791956099</v>
      </c>
      <c r="G918" s="20">
        <v>1.69213243574754</v>
      </c>
      <c r="H918" s="20">
        <v>6.86465737503215E-3</v>
      </c>
      <c r="I918" s="20">
        <v>109.346049702825</v>
      </c>
      <c r="J918" s="20">
        <v>548.32782275287002</v>
      </c>
      <c r="K918" s="20">
        <v>6.9637633489614492</v>
      </c>
      <c r="L918" s="20">
        <f t="shared" si="32"/>
        <v>548.32671918769324</v>
      </c>
      <c r="M918" s="20">
        <f t="shared" si="33"/>
        <v>-6.9637493337115597</v>
      </c>
    </row>
    <row r="919" spans="1:13" x14ac:dyDescent="0.2">
      <c r="A919" s="23">
        <v>223</v>
      </c>
      <c r="B919" s="20">
        <v>548.06717497694297</v>
      </c>
      <c r="C919" s="20">
        <v>32.6513221269607</v>
      </c>
      <c r="D919" s="20">
        <v>344.98460277415597</v>
      </c>
      <c r="E919" s="20">
        <v>-0.22798255242305299</v>
      </c>
      <c r="F919" s="20">
        <v>-1.67578356716452</v>
      </c>
      <c r="G919" s="20">
        <v>1.691220449317</v>
      </c>
      <c r="H919" s="20">
        <v>6.8726981706882804E-3</v>
      </c>
      <c r="I919" s="20">
        <v>109.412237663215</v>
      </c>
      <c r="J919" s="20">
        <v>549.04002631821004</v>
      </c>
      <c r="K919" s="20">
        <v>6.9728083342412681</v>
      </c>
      <c r="L919" s="20">
        <f t="shared" si="32"/>
        <v>549.03892131965074</v>
      </c>
      <c r="M919" s="20">
        <f t="shared" si="33"/>
        <v>-6.9727943007874567</v>
      </c>
    </row>
    <row r="920" spans="1:13" x14ac:dyDescent="0.2">
      <c r="A920" s="23">
        <v>223.25</v>
      </c>
      <c r="B920" s="20">
        <v>548.77487662863905</v>
      </c>
      <c r="C920" s="20">
        <v>32.7414848805114</v>
      </c>
      <c r="D920" s="20">
        <v>344.95862293053301</v>
      </c>
      <c r="E920" s="20">
        <v>-0.22830624122250601</v>
      </c>
      <c r="F920" s="20">
        <v>-1.67481778062584</v>
      </c>
      <c r="G920" s="20">
        <v>1.69030717270016</v>
      </c>
      <c r="H920" s="20">
        <v>6.8807070420139598E-3</v>
      </c>
      <c r="I920" s="20">
        <v>109.47847106079099</v>
      </c>
      <c r="J920" s="20">
        <v>549.75184090175276</v>
      </c>
      <c r="K920" s="20">
        <v>6.9818483794522601</v>
      </c>
      <c r="L920" s="20">
        <f t="shared" si="32"/>
        <v>549.75073447059515</v>
      </c>
      <c r="M920" s="20">
        <f t="shared" si="33"/>
        <v>-6.9818343278044859</v>
      </c>
    </row>
    <row r="921" spans="1:13" x14ac:dyDescent="0.2">
      <c r="A921" s="23">
        <v>223.5</v>
      </c>
      <c r="B921" s="20">
        <v>549.48217891699198</v>
      </c>
      <c r="C921" s="20">
        <v>32.831730860094702</v>
      </c>
      <c r="D921" s="20">
        <v>344.93263673112602</v>
      </c>
      <c r="E921" s="20">
        <v>-0.22862956942790699</v>
      </c>
      <c r="F921" s="20">
        <v>-1.6738506249032801</v>
      </c>
      <c r="G921" s="20">
        <v>1.6893926111197199</v>
      </c>
      <c r="H921" s="20">
        <v>6.88868419415814E-3</v>
      </c>
      <c r="I921" s="20">
        <v>109.54474923003499</v>
      </c>
      <c r="J921" s="20">
        <v>550.46326596163397</v>
      </c>
      <c r="K921" s="20">
        <v>6.9908834777127522</v>
      </c>
      <c r="L921" s="20">
        <f t="shared" si="32"/>
        <v>550.46215809866067</v>
      </c>
      <c r="M921" s="20">
        <f t="shared" si="33"/>
        <v>-6.9908694078809539</v>
      </c>
    </row>
    <row r="922" spans="1:13" x14ac:dyDescent="0.2">
      <c r="A922" s="23">
        <v>223.75</v>
      </c>
      <c r="B922" s="20">
        <v>550.18908130569901</v>
      </c>
      <c r="C922" s="20">
        <v>32.922059797739799</v>
      </c>
      <c r="D922" s="20">
        <v>344.90664421272402</v>
      </c>
      <c r="E922" s="20">
        <v>-0.22895253622050399</v>
      </c>
      <c r="F922" s="20">
        <v>-1.6728821052830301</v>
      </c>
      <c r="G922" s="20">
        <v>1.6884767697596501</v>
      </c>
      <c r="H922" s="20">
        <v>6.8966298279498801E-3</v>
      </c>
      <c r="I922" s="20">
        <v>109.611071516287</v>
      </c>
      <c r="J922" s="20">
        <v>551.17430095823329</v>
      </c>
      <c r="K922" s="20">
        <v>6.9999136221695641</v>
      </c>
      <c r="L922" s="20">
        <f t="shared" si="32"/>
        <v>551.1731916642309</v>
      </c>
      <c r="M922" s="20">
        <f t="shared" si="33"/>
        <v>-6.999899534163732</v>
      </c>
    </row>
    <row r="923" spans="1:13" x14ac:dyDescent="0.2">
      <c r="A923" s="23">
        <v>224</v>
      </c>
      <c r="B923" s="20">
        <v>550.89558326077304</v>
      </c>
      <c r="C923" s="20">
        <v>33.012471425071503</v>
      </c>
      <c r="D923" s="20">
        <v>344.88064541195303</v>
      </c>
      <c r="E923" s="20">
        <v>-0.22927514077654099</v>
      </c>
      <c r="F923" s="20">
        <v>-1.6719122270142699</v>
      </c>
      <c r="G923" s="20">
        <v>1.68755965376573</v>
      </c>
      <c r="H923" s="20">
        <v>6.9045441435694596E-3</v>
      </c>
      <c r="I923" s="20">
        <v>109.677437268025</v>
      </c>
      <c r="J923" s="20">
        <v>551.884945354161</v>
      </c>
      <c r="K923" s="20">
        <v>7.0089388059978459</v>
      </c>
      <c r="L923" s="20">
        <f t="shared" si="32"/>
        <v>551.88383462991419</v>
      </c>
      <c r="M923" s="20">
        <f t="shared" si="33"/>
        <v>-7.0089246998279471</v>
      </c>
    </row>
    <row r="924" spans="1:13" x14ac:dyDescent="0.2">
      <c r="A924" s="23">
        <v>224.25</v>
      </c>
      <c r="B924" s="20">
        <v>551.60168425053496</v>
      </c>
      <c r="C924" s="20">
        <v>33.102965473315102</v>
      </c>
      <c r="D924" s="20">
        <v>344.85464036527401</v>
      </c>
      <c r="E924" s="20">
        <v>-0.229597382267508</v>
      </c>
      <c r="F924" s="20">
        <v>-1.67094099530923</v>
      </c>
      <c r="G924" s="20">
        <v>1.68664126824559</v>
      </c>
      <c r="H924" s="20">
        <v>6.9124273404983496E-3</v>
      </c>
      <c r="I924" s="20">
        <v>109.743845836606</v>
      </c>
      <c r="J924" s="20">
        <v>552.5951986142386</v>
      </c>
      <c r="K924" s="20">
        <v>7.0179590224008308</v>
      </c>
      <c r="L924" s="20">
        <f t="shared" ref="L924:L987" si="34">SQRT(B924^2+C924^2)</f>
        <v>552.594086460536</v>
      </c>
      <c r="M924" s="20">
        <f t="shared" ref="M924:M987" si="35">-L924/A$25*100</f>
        <v>-7.0179448980768795</v>
      </c>
    </row>
    <row r="925" spans="1:13" x14ac:dyDescent="0.2">
      <c r="A925" s="23">
        <v>224.5</v>
      </c>
      <c r="B925" s="20">
        <v>552.30738374558803</v>
      </c>
      <c r="C925" s="20">
        <v>33.193541673300899</v>
      </c>
      <c r="D925" s="20">
        <v>344.82862910898501</v>
      </c>
      <c r="E925" s="20">
        <v>-0.229919259860146</v>
      </c>
      <c r="F925" s="20">
        <v>-1.6699684153433201</v>
      </c>
      <c r="G925" s="20">
        <v>1.6857216182688399</v>
      </c>
      <c r="H925" s="20">
        <v>6.9202796175132798E-3</v>
      </c>
      <c r="I925" s="20">
        <v>109.81029657627499</v>
      </c>
      <c r="J925" s="20">
        <v>553.30506020548546</v>
      </c>
      <c r="K925" s="20">
        <v>7.0269742646096658</v>
      </c>
      <c r="L925" s="20">
        <f t="shared" si="34"/>
        <v>553.30394662311369</v>
      </c>
      <c r="M925" s="20">
        <f t="shared" si="35"/>
        <v>-7.0269601221416522</v>
      </c>
    </row>
    <row r="926" spans="1:13" x14ac:dyDescent="0.2">
      <c r="A926" s="23">
        <v>224.75</v>
      </c>
      <c r="B926" s="20">
        <v>553.01268121881003</v>
      </c>
      <c r="C926" s="20">
        <v>33.284199755468002</v>
      </c>
      <c r="D926" s="20">
        <v>344.80261167921702</v>
      </c>
      <c r="E926" s="20">
        <v>-0.23024077271645299</v>
      </c>
      <c r="F926" s="20">
        <v>-1.6689944922553901</v>
      </c>
      <c r="G926" s="20">
        <v>1.68480070886735</v>
      </c>
      <c r="H926" s="20">
        <v>6.92810117268528E-3</v>
      </c>
      <c r="I926" s="20">
        <v>109.87678884414299</v>
      </c>
      <c r="J926" s="20">
        <v>554.01452959709877</v>
      </c>
      <c r="K926" s="20">
        <v>7.0359845258831548</v>
      </c>
      <c r="L926" s="20">
        <f t="shared" si="34"/>
        <v>554.0134145868484</v>
      </c>
      <c r="M926" s="20">
        <f t="shared" si="35"/>
        <v>-7.035970365281119</v>
      </c>
    </row>
    <row r="927" spans="1:13" x14ac:dyDescent="0.2">
      <c r="A927" s="23">
        <v>225</v>
      </c>
      <c r="B927" s="20">
        <v>553.71757614533203</v>
      </c>
      <c r="C927" s="20">
        <v>33.374939449869501</v>
      </c>
      <c r="D927" s="20">
        <v>344.77658811193902</v>
      </c>
      <c r="E927" s="20">
        <v>-0.23056191999369999</v>
      </c>
      <c r="F927" s="20">
        <v>-1.6680192311479101</v>
      </c>
      <c r="G927" s="20">
        <v>1.6838785450353699</v>
      </c>
      <c r="H927" s="20">
        <v>6.93589220337908E-3</v>
      </c>
      <c r="I927" s="20">
        <v>109.94332200017401</v>
      </c>
      <c r="J927" s="20">
        <v>554.72360626044235</v>
      </c>
      <c r="K927" s="20">
        <v>7.0449897995076185</v>
      </c>
      <c r="L927" s="20">
        <f t="shared" si="34"/>
        <v>554.7224898231043</v>
      </c>
      <c r="M927" s="20">
        <f t="shared" si="35"/>
        <v>-7.0449756207816048</v>
      </c>
    </row>
    <row r="928" spans="1:13" x14ac:dyDescent="0.2">
      <c r="A928" s="23">
        <v>225.25</v>
      </c>
      <c r="B928" s="20">
        <v>554.42206800252097</v>
      </c>
      <c r="C928" s="20">
        <v>33.465760486176201</v>
      </c>
      <c r="D928" s="20">
        <v>344.75055844295298</v>
      </c>
      <c r="E928" s="20">
        <v>-0.23088270084443599</v>
      </c>
      <c r="F928" s="20">
        <v>-1.6670426370871401</v>
      </c>
      <c r="G928" s="20">
        <v>1.6829551317297999</v>
      </c>
      <c r="H928" s="20">
        <v>6.94365290625214E-3</v>
      </c>
      <c r="I928" s="20">
        <v>110.009895407171</v>
      </c>
      <c r="J928" s="20">
        <v>555.43228966902632</v>
      </c>
      <c r="K928" s="20">
        <v>7.0539900787966348</v>
      </c>
      <c r="L928" s="20">
        <f t="shared" si="34"/>
        <v>555.43117180539127</v>
      </c>
      <c r="M928" s="20">
        <f t="shared" si="35"/>
        <v>-7.0539758819566849</v>
      </c>
    </row>
    <row r="929" spans="1:13" x14ac:dyDescent="0.2">
      <c r="A929" s="23">
        <v>225.5</v>
      </c>
      <c r="B929" s="20">
        <v>555.12615626997001</v>
      </c>
      <c r="C929" s="20">
        <v>33.556662593681203</v>
      </c>
      <c r="D929" s="20">
        <v>344.72452270789802</v>
      </c>
      <c r="E929" s="20">
        <v>-0.23120311441650199</v>
      </c>
      <c r="F929" s="20">
        <v>-1.6660647151034</v>
      </c>
      <c r="G929" s="20">
        <v>1.68203047387033</v>
      </c>
      <c r="H929" s="20">
        <v>6.9513834772541904E-3</v>
      </c>
      <c r="I929" s="20">
        <v>110.076508430758</v>
      </c>
      <c r="J929" s="20">
        <v>556.14057929849446</v>
      </c>
      <c r="K929" s="20">
        <v>7.0629853570908798</v>
      </c>
      <c r="L929" s="20">
        <f t="shared" si="34"/>
        <v>556.13946000935528</v>
      </c>
      <c r="M929" s="20">
        <f t="shared" si="35"/>
        <v>-7.0629711421470631</v>
      </c>
    </row>
    <row r="930" spans="1:13" x14ac:dyDescent="0.2">
      <c r="A930" s="23">
        <v>225.75</v>
      </c>
      <c r="B930" s="20">
        <v>555.82984042947601</v>
      </c>
      <c r="C930" s="20">
        <v>33.647645501304403</v>
      </c>
      <c r="D930" s="20">
        <v>344.69848094224898</v>
      </c>
      <c r="E930" s="20">
        <v>-0.23152315985303801</v>
      </c>
      <c r="F930" s="20">
        <v>-1.6650854701911899</v>
      </c>
      <c r="G930" s="20">
        <v>1.6811045763396599</v>
      </c>
      <c r="H930" s="20">
        <v>6.9590841116264901E-3</v>
      </c>
      <c r="I930" s="20">
        <v>110.14316043937301</v>
      </c>
      <c r="J930" s="20">
        <v>556.8484746266065</v>
      </c>
      <c r="K930" s="20">
        <v>7.0719756277579027</v>
      </c>
      <c r="L930" s="20">
        <f t="shared" si="34"/>
        <v>556.84735391275603</v>
      </c>
      <c r="M930" s="20">
        <f t="shared" si="35"/>
        <v>-7.0719613947202902</v>
      </c>
    </row>
    <row r="931" spans="1:13" x14ac:dyDescent="0.2">
      <c r="A931" s="23">
        <v>226</v>
      </c>
      <c r="B931" s="20">
        <v>556.53311996502703</v>
      </c>
      <c r="C931" s="20">
        <v>33.7387089375963</v>
      </c>
      <c r="D931" s="20">
        <v>344.672433181315</v>
      </c>
      <c r="E931" s="20">
        <v>-0.231842836292495</v>
      </c>
      <c r="F931" s="20">
        <v>-1.66410490730945</v>
      </c>
      <c r="G931" s="20">
        <v>1.6801774439836901</v>
      </c>
      <c r="H931" s="20">
        <v>6.9667550039017997E-3</v>
      </c>
      <c r="I931" s="20">
        <v>110.209850804243</v>
      </c>
      <c r="J931" s="20">
        <v>557.55597513322152</v>
      </c>
      <c r="K931" s="20">
        <v>7.0809608841919145</v>
      </c>
      <c r="L931" s="20">
        <f t="shared" si="34"/>
        <v>557.55485299545455</v>
      </c>
      <c r="M931" s="20">
        <f t="shared" si="35"/>
        <v>-7.0809466330705968</v>
      </c>
    </row>
    <row r="932" spans="1:13" x14ac:dyDescent="0.2">
      <c r="A932" s="23">
        <v>226.25</v>
      </c>
      <c r="B932" s="20">
        <v>557.23599436278698</v>
      </c>
      <c r="C932" s="20">
        <v>33.829852630742899</v>
      </c>
      <c r="D932" s="20">
        <v>344.64637946024101</v>
      </c>
      <c r="E932" s="20">
        <v>-0.232162142868646</v>
      </c>
      <c r="F932" s="20">
        <v>-1.66312303138172</v>
      </c>
      <c r="G932" s="20">
        <v>1.6792490816116901</v>
      </c>
      <c r="H932" s="20">
        <v>6.9743963479034698E-3</v>
      </c>
      <c r="I932" s="20">
        <v>110.276578899379</v>
      </c>
      <c r="J932" s="20">
        <v>558.26308030028542</v>
      </c>
      <c r="K932" s="20">
        <v>7.0899411198136253</v>
      </c>
      <c r="L932" s="20">
        <f t="shared" si="34"/>
        <v>558.26195673939822</v>
      </c>
      <c r="M932" s="20">
        <f t="shared" si="35"/>
        <v>-7.0899268506187179</v>
      </c>
    </row>
    <row r="933" spans="1:13" x14ac:dyDescent="0.2">
      <c r="A933" s="23">
        <v>226.5</v>
      </c>
      <c r="B933" s="20">
        <v>557.93846311107598</v>
      </c>
      <c r="C933" s="20">
        <v>33.921076308569603</v>
      </c>
      <c r="D933" s="20">
        <v>344.62031981400798</v>
      </c>
      <c r="E933" s="20">
        <v>-0.23248107871059501</v>
      </c>
      <c r="F933" s="20">
        <v>-1.66213984729635</v>
      </c>
      <c r="G933" s="20">
        <v>1.67831949399653</v>
      </c>
      <c r="H933" s="20">
        <v>6.9820083367457099E-3</v>
      </c>
      <c r="I933" s="20">
        <v>110.343344101558</v>
      </c>
      <c r="J933" s="20">
        <v>558.96978961181287</v>
      </c>
      <c r="K933" s="20">
        <v>7.0989163280700236</v>
      </c>
      <c r="L933" s="20">
        <f t="shared" si="34"/>
        <v>558.96866462860089</v>
      </c>
      <c r="M933" s="20">
        <f t="shared" si="35"/>
        <v>-7.0989020408116277</v>
      </c>
    </row>
    <row r="934" spans="1:13" x14ac:dyDescent="0.2">
      <c r="A934" s="23">
        <v>226.75</v>
      </c>
      <c r="B934" s="20">
        <v>558.64052570036097</v>
      </c>
      <c r="C934" s="20">
        <v>34.012379698545502</v>
      </c>
      <c r="D934" s="20">
        <v>344.59425427743201</v>
      </c>
      <c r="E934" s="20">
        <v>-0.23279964294279201</v>
      </c>
      <c r="F934" s="20">
        <v>-1.66115535990666</v>
      </c>
      <c r="G934" s="20">
        <v>1.6773886858748399</v>
      </c>
      <c r="H934" s="20">
        <v>6.9895911628332702E-3</v>
      </c>
      <c r="I934" s="20">
        <v>110.41014579030499</v>
      </c>
      <c r="J934" s="20">
        <v>559.67610255387126</v>
      </c>
      <c r="K934" s="20">
        <v>7.107886502434166</v>
      </c>
      <c r="L934" s="20">
        <f t="shared" si="34"/>
        <v>559.67497614913395</v>
      </c>
      <c r="M934" s="20">
        <f t="shared" si="35"/>
        <v>-7.1078721971224335</v>
      </c>
    </row>
    <row r="935" spans="1:13" x14ac:dyDescent="0.2">
      <c r="A935" s="23">
        <v>227</v>
      </c>
      <c r="B935" s="20">
        <v>559.34218162323202</v>
      </c>
      <c r="C935" s="20">
        <v>34.103762527787701</v>
      </c>
      <c r="D935" s="20">
        <v>344.56818288516399</v>
      </c>
      <c r="E935" s="20">
        <v>-0.233117834685036</v>
      </c>
      <c r="F935" s="20">
        <v>-1.6601695740312099</v>
      </c>
      <c r="G935" s="20">
        <v>1.6764566619472101</v>
      </c>
      <c r="H935" s="20">
        <v>6.9971450178612999E-3</v>
      </c>
      <c r="I935" s="20">
        <v>110.47698334788799</v>
      </c>
      <c r="J935" s="20">
        <v>560.38201861456832</v>
      </c>
      <c r="K935" s="20">
        <v>7.1168516364050181</v>
      </c>
      <c r="L935" s="20">
        <f t="shared" si="34"/>
        <v>560.38089078910286</v>
      </c>
      <c r="M935" s="20">
        <f t="shared" si="35"/>
        <v>-7.1168373130500742</v>
      </c>
    </row>
    <row r="936" spans="1:13" x14ac:dyDescent="0.2">
      <c r="A936" s="23">
        <v>227.25</v>
      </c>
      <c r="B936" s="20">
        <v>560.04343037439605</v>
      </c>
      <c r="C936" s="20">
        <v>34.195224523065498</v>
      </c>
      <c r="D936" s="20">
        <v>344.54210567169002</v>
      </c>
      <c r="E936" s="20">
        <v>-0.233435653052496</v>
      </c>
      <c r="F936" s="20">
        <v>-1.65918249445389</v>
      </c>
      <c r="G936" s="20">
        <v>1.6755234268783801</v>
      </c>
      <c r="H936" s="20">
        <v>7.0046700928156199E-3</v>
      </c>
      <c r="I936" s="20">
        <v>110.54385615929399</v>
      </c>
      <c r="J936" s="20">
        <v>561.08753728403303</v>
      </c>
      <c r="K936" s="20">
        <v>7.1258117235072191</v>
      </c>
      <c r="L936" s="20">
        <f t="shared" si="34"/>
        <v>561.08640803864057</v>
      </c>
      <c r="M936" s="20">
        <f t="shared" si="35"/>
        <v>-7.125797382119238</v>
      </c>
    </row>
    <row r="937" spans="1:13" x14ac:dyDescent="0.2">
      <c r="A937" s="23">
        <v>227.5</v>
      </c>
      <c r="B937" s="20">
        <v>560.74427145065295</v>
      </c>
      <c r="C937" s="20">
        <v>34.286765410804499</v>
      </c>
      <c r="D937" s="20">
        <v>344.51602267133302</v>
      </c>
      <c r="E937" s="20">
        <v>-0.23375309715571299</v>
      </c>
      <c r="F937" s="20">
        <v>-1.6581941259242099</v>
      </c>
      <c r="G937" s="20">
        <v>1.6745889852974201</v>
      </c>
      <c r="H937" s="20">
        <v>7.0121665779725798E-3</v>
      </c>
      <c r="I937" s="20">
        <v>110.61076361222401</v>
      </c>
      <c r="J937" s="20">
        <v>561.7926580544048</v>
      </c>
      <c r="K937" s="20">
        <v>7.1347667572909419</v>
      </c>
      <c r="L937" s="20">
        <f t="shared" si="34"/>
        <v>561.79152738988432</v>
      </c>
      <c r="M937" s="20">
        <f t="shared" si="35"/>
        <v>-7.13475239788007</v>
      </c>
    </row>
    <row r="938" spans="1:13" x14ac:dyDescent="0.2">
      <c r="A938" s="23">
        <v>227.75</v>
      </c>
      <c r="B938" s="20">
        <v>561.44470435088704</v>
      </c>
      <c r="C938" s="20">
        <v>34.378384917091097</v>
      </c>
      <c r="D938" s="20">
        <v>344.48993391825002</v>
      </c>
      <c r="E938" s="20">
        <v>-0.23407016610061701</v>
      </c>
      <c r="F938" s="20">
        <v>-1.65720447315742</v>
      </c>
      <c r="G938" s="20">
        <v>1.67365334179791</v>
      </c>
      <c r="H938" s="20">
        <v>7.0196346628995402E-3</v>
      </c>
      <c r="I938" s="20">
        <v>110.67770509707201</v>
      </c>
      <c r="J938" s="20">
        <v>562.49738041981152</v>
      </c>
      <c r="K938" s="20">
        <v>7.1437167313316063</v>
      </c>
      <c r="L938" s="20">
        <f t="shared" si="34"/>
        <v>562.4962483369668</v>
      </c>
      <c r="M938" s="20">
        <f t="shared" si="35"/>
        <v>-7.1437023539080533</v>
      </c>
    </row>
    <row r="939" spans="1:13" x14ac:dyDescent="0.2">
      <c r="A939" s="23">
        <v>228</v>
      </c>
      <c r="B939" s="20">
        <v>562.14472857604505</v>
      </c>
      <c r="C939" s="20">
        <v>34.470082767676203</v>
      </c>
      <c r="D939" s="20">
        <v>344.46383944643401</v>
      </c>
      <c r="E939" s="20">
        <v>-0.234386858988538</v>
      </c>
      <c r="F939" s="20">
        <v>-1.6562135408347101</v>
      </c>
      <c r="G939" s="20">
        <v>1.6727165009381399</v>
      </c>
      <c r="H939" s="20">
        <v>7.0270745364549199E-3</v>
      </c>
      <c r="I939" s="20">
        <v>110.74468000691699</v>
      </c>
      <c r="J939" s="20">
        <v>563.20170387636199</v>
      </c>
      <c r="K939" s="20">
        <v>7.1526616392297973</v>
      </c>
      <c r="L939" s="20">
        <f t="shared" si="34"/>
        <v>563.20057037599474</v>
      </c>
      <c r="M939" s="20">
        <f t="shared" si="35"/>
        <v>-7.1526472438037434</v>
      </c>
    </row>
    <row r="940" spans="1:13" x14ac:dyDescent="0.2">
      <c r="A940" s="23">
        <v>228.25</v>
      </c>
      <c r="B940" s="20">
        <v>562.84434362912896</v>
      </c>
      <c r="C940" s="20">
        <v>34.561858687979701</v>
      </c>
      <c r="D940" s="20">
        <v>344.43773928971302</v>
      </c>
      <c r="E940" s="20">
        <v>-0.23470317491621501</v>
      </c>
      <c r="F940" s="20">
        <v>-1.6552213336034201</v>
      </c>
      <c r="G940" s="20">
        <v>1.6717784672412901</v>
      </c>
      <c r="H940" s="20">
        <v>7.0344863867887802E-3</v>
      </c>
      <c r="I940" s="20">
        <v>110.81168773750601</v>
      </c>
      <c r="J940" s="20">
        <v>563.90562792212654</v>
      </c>
      <c r="K940" s="20">
        <v>7.1616014746110066</v>
      </c>
      <c r="L940" s="20">
        <f t="shared" si="34"/>
        <v>563.90449300504145</v>
      </c>
      <c r="M940" s="20">
        <f t="shared" si="35"/>
        <v>-7.1615870611926731</v>
      </c>
    </row>
    <row r="941" spans="1:13" x14ac:dyDescent="0.2">
      <c r="A941" s="23">
        <v>228.5</v>
      </c>
      <c r="B941" s="20">
        <v>563.54354901517297</v>
      </c>
      <c r="C941" s="20">
        <v>34.653712403094403</v>
      </c>
      <c r="D941" s="20">
        <v>344.41163348175201</v>
      </c>
      <c r="E941" s="20">
        <v>-0.23501911297580899</v>
      </c>
      <c r="F941" s="20">
        <v>-1.6542278560772301</v>
      </c>
      <c r="G941" s="20">
        <v>1.6708392451956</v>
      </c>
      <c r="H941" s="20">
        <v>7.04187040134321E-3</v>
      </c>
      <c r="I941" s="20">
        <v>110.87872768724201</v>
      </c>
      <c r="J941" s="20">
        <v>564.60915205712229</v>
      </c>
      <c r="K941" s="20">
        <v>7.1705362311254532</v>
      </c>
      <c r="L941" s="20">
        <f t="shared" si="34"/>
        <v>564.60801572412436</v>
      </c>
      <c r="M941" s="20">
        <f t="shared" si="35"/>
        <v>-7.1705217997250621</v>
      </c>
    </row>
    <row r="942" spans="1:13" x14ac:dyDescent="0.2">
      <c r="A942" s="23">
        <v>228.75</v>
      </c>
      <c r="B942" s="20">
        <v>564.24234424123301</v>
      </c>
      <c r="C942" s="20">
        <v>34.745643637790401</v>
      </c>
      <c r="D942" s="20">
        <v>344.38552205604799</v>
      </c>
      <c r="E942" s="20">
        <v>-0.235334672254914</v>
      </c>
      <c r="F942" s="20">
        <v>-1.6532331128363</v>
      </c>
      <c r="G942" s="20">
        <v>1.66989883925456</v>
      </c>
      <c r="H942" s="20">
        <v>7.0492267668526704E-3</v>
      </c>
      <c r="I942" s="20">
        <v>110.945799257172</v>
      </c>
      <c r="J942" s="20">
        <v>565.31227578330061</v>
      </c>
      <c r="K942" s="20">
        <v>7.1794659024479177</v>
      </c>
      <c r="L942" s="20">
        <f t="shared" si="34"/>
        <v>565.31113803519429</v>
      </c>
      <c r="M942" s="20">
        <f t="shared" si="35"/>
        <v>-7.1794514530756857</v>
      </c>
    </row>
    <row r="943" spans="1:13" x14ac:dyDescent="0.2">
      <c r="A943" s="23">
        <v>229</v>
      </c>
      <c r="B943" s="20">
        <v>564.94072881637203</v>
      </c>
      <c r="C943" s="20">
        <v>34.837652116518903</v>
      </c>
      <c r="D943" s="20">
        <v>344.35940504593799</v>
      </c>
      <c r="E943" s="20">
        <v>-0.235649851836573</v>
      </c>
      <c r="F943" s="20">
        <v>-1.65223710842751</v>
      </c>
      <c r="G943" s="20">
        <v>1.66895725383711</v>
      </c>
      <c r="H943" s="20">
        <v>7.0565556693448998E-3</v>
      </c>
      <c r="I943" s="20">
        <v>111.012901850969</v>
      </c>
      <c r="J943" s="20">
        <v>566.01499860452748</v>
      </c>
      <c r="K943" s="20">
        <v>7.1883904822774998</v>
      </c>
      <c r="L943" s="20">
        <f t="shared" si="34"/>
        <v>566.01385944212109</v>
      </c>
      <c r="M943" s="20">
        <f t="shared" si="35"/>
        <v>-7.1883760149436915</v>
      </c>
    </row>
    <row r="944" spans="1:13" x14ac:dyDescent="0.2">
      <c r="A944" s="23">
        <v>229.25</v>
      </c>
      <c r="B944" s="20">
        <v>565.63870225164203</v>
      </c>
      <c r="C944" s="20">
        <v>34.929737563416197</v>
      </c>
      <c r="D944" s="20">
        <v>344.33328248458901</v>
      </c>
      <c r="E944" s="20">
        <v>-0.235964650799283</v>
      </c>
      <c r="F944" s="20">
        <v>-1.6512398473645999</v>
      </c>
      <c r="G944" s="20">
        <v>1.6680144933277601</v>
      </c>
      <c r="H944" s="20">
        <v>7.0638572941413603E-3</v>
      </c>
      <c r="I944" s="20">
        <v>111.080034874926</v>
      </c>
      <c r="J944" s="20">
        <v>566.71732002657586</v>
      </c>
      <c r="K944" s="20">
        <v>7.1973099643375145</v>
      </c>
      <c r="L944" s="20">
        <f t="shared" si="34"/>
        <v>566.71617945067612</v>
      </c>
      <c r="M944" s="20">
        <f t="shared" si="35"/>
        <v>-7.197295479052376</v>
      </c>
    </row>
    <row r="945" spans="1:13" x14ac:dyDescent="0.2">
      <c r="A945" s="23">
        <v>229.5</v>
      </c>
      <c r="B945" s="20">
        <v>566.33626406007295</v>
      </c>
      <c r="C945" s="20">
        <v>35.021899702308197</v>
      </c>
      <c r="D945" s="20">
        <v>344.30715440500899</v>
      </c>
      <c r="E945" s="20">
        <v>-0.236279068217013</v>
      </c>
      <c r="F945" s="20">
        <v>-1.6502413341283699</v>
      </c>
      <c r="G945" s="20">
        <v>1.66707056207686</v>
      </c>
      <c r="H945" s="20">
        <v>7.0711318258581003E-3</v>
      </c>
      <c r="I945" s="20">
        <v>111.147197737936</v>
      </c>
      <c r="J945" s="20">
        <v>567.41923955710456</v>
      </c>
      <c r="K945" s="20">
        <v>7.2062243423752284</v>
      </c>
      <c r="L945" s="20">
        <f t="shared" si="34"/>
        <v>567.41809756852069</v>
      </c>
      <c r="M945" s="20">
        <f t="shared" si="35"/>
        <v>-7.2062098391490377</v>
      </c>
    </row>
    <row r="946" spans="1:13" x14ac:dyDescent="0.2">
      <c r="A946" s="23">
        <v>229.75</v>
      </c>
      <c r="B946" s="20">
        <v>567.03341375665298</v>
      </c>
      <c r="C946" s="20">
        <v>35.114138256714</v>
      </c>
      <c r="D946" s="20">
        <v>344.28102084003802</v>
      </c>
      <c r="E946" s="20">
        <v>-0.236593103159214</v>
      </c>
      <c r="F946" s="20">
        <v>-1.6492415731668699</v>
      </c>
      <c r="G946" s="20">
        <v>1.6661254644007</v>
      </c>
      <c r="H946" s="20">
        <v>7.0783794484063E-3</v>
      </c>
      <c r="I946" s="20">
        <v>111.214389851485</v>
      </c>
      <c r="J946" s="20">
        <v>568.12075670564536</v>
      </c>
      <c r="K946" s="20">
        <v>7.2151336101616961</v>
      </c>
      <c r="L946" s="20">
        <f t="shared" si="34"/>
        <v>568.11961330518704</v>
      </c>
      <c r="M946" s="20">
        <f t="shared" si="35"/>
        <v>-7.2151190890047356</v>
      </c>
    </row>
    <row r="947" spans="1:13" x14ac:dyDescent="0.2">
      <c r="A947" s="23">
        <v>230</v>
      </c>
      <c r="B947" s="20">
        <v>567.73015085832003</v>
      </c>
      <c r="C947" s="20">
        <v>35.206452949849997</v>
      </c>
      <c r="D947" s="20">
        <v>344.25488182235102</v>
      </c>
      <c r="E947" s="20">
        <v>-0.236906754690832</v>
      </c>
      <c r="F947" s="20">
        <v>-1.6482405688955699</v>
      </c>
      <c r="G947" s="20">
        <v>1.6651792045817</v>
      </c>
      <c r="H947" s="20">
        <v>7.0856003449935303E-3</v>
      </c>
      <c r="I947" s="20">
        <v>111.281610629637</v>
      </c>
      <c r="J947" s="20">
        <v>568.82187098359191</v>
      </c>
      <c r="K947" s="20">
        <v>7.2240377614916182</v>
      </c>
      <c r="L947" s="20">
        <f t="shared" si="34"/>
        <v>568.82072617206984</v>
      </c>
      <c r="M947" s="20">
        <f t="shared" si="35"/>
        <v>-7.2240232224141829</v>
      </c>
    </row>
    <row r="948" spans="1:13" x14ac:dyDescent="0.2">
      <c r="A948" s="23">
        <v>230.25</v>
      </c>
      <c r="B948" s="20">
        <v>568.426474883943</v>
      </c>
      <c r="C948" s="20">
        <v>35.298843504634199</v>
      </c>
      <c r="D948" s="20">
        <v>344.228737384461</v>
      </c>
      <c r="E948" s="20">
        <v>-0.237220021872319</v>
      </c>
      <c r="F948" s="20">
        <v>-1.64723832569754</v>
      </c>
      <c r="G948" s="20">
        <v>1.6642317868686201</v>
      </c>
      <c r="H948" s="20">
        <v>7.0927946981242697E-3</v>
      </c>
      <c r="I948" s="20">
        <v>111.348859489018</v>
      </c>
      <c r="J948" s="20">
        <v>569.52258190418036</v>
      </c>
      <c r="K948" s="20">
        <v>7.232936790183091</v>
      </c>
      <c r="L948" s="20">
        <f t="shared" si="34"/>
        <v>569.5214356824074</v>
      </c>
      <c r="M948" s="20">
        <f t="shared" si="35"/>
        <v>-7.2329222331955059</v>
      </c>
    </row>
    <row r="949" spans="1:13" x14ac:dyDescent="0.2">
      <c r="A949" s="23">
        <v>230.5</v>
      </c>
      <c r="B949" s="20">
        <v>569.12238535430697</v>
      </c>
      <c r="C949" s="20">
        <v>35.391309643689802</v>
      </c>
      <c r="D949" s="20">
        <v>344.20258755871498</v>
      </c>
      <c r="E949" s="20">
        <v>-0.237532903759649</v>
      </c>
      <c r="F949" s="20">
        <v>-1.64623484792361</v>
      </c>
      <c r="G949" s="20">
        <v>1.6632832154767101</v>
      </c>
      <c r="H949" s="20">
        <v>7.0999626896012004E-3</v>
      </c>
      <c r="I949" s="20">
        <v>111.41613584881</v>
      </c>
      <c r="J949" s="20">
        <v>570.22288898247939</v>
      </c>
      <c r="K949" s="20">
        <v>7.2418306900774887</v>
      </c>
      <c r="L949" s="20">
        <f t="shared" si="34"/>
        <v>570.2217413512675</v>
      </c>
      <c r="M949" s="20">
        <f t="shared" si="35"/>
        <v>-7.2418161151900637</v>
      </c>
    </row>
    <row r="950" spans="1:13" x14ac:dyDescent="0.2">
      <c r="A950" s="23">
        <v>230.75</v>
      </c>
      <c r="B950" s="20">
        <v>569.81788179210105</v>
      </c>
      <c r="C950" s="20">
        <v>35.483851089349102</v>
      </c>
      <c r="D950" s="20">
        <v>344.17643237729601</v>
      </c>
      <c r="E950" s="20">
        <v>-0.237845399404326</v>
      </c>
      <c r="F950" s="20">
        <v>-1.6452301398925899</v>
      </c>
      <c r="G950" s="20">
        <v>1.66233349458789</v>
      </c>
      <c r="H950" s="20">
        <v>7.1071045005259596E-3</v>
      </c>
      <c r="I950" s="20">
        <v>111.483439130734</v>
      </c>
      <c r="J950" s="20">
        <v>570.92279173537133</v>
      </c>
      <c r="K950" s="20">
        <v>7.2507194550392162</v>
      </c>
      <c r="L950" s="20">
        <f t="shared" si="34"/>
        <v>570.92164269553484</v>
      </c>
      <c r="M950" s="20">
        <f t="shared" si="35"/>
        <v>-7.250704862262296</v>
      </c>
    </row>
    <row r="951" spans="1:13" x14ac:dyDescent="0.2">
      <c r="A951" s="23">
        <v>231</v>
      </c>
      <c r="B951" s="20">
        <v>570.512963721902</v>
      </c>
      <c r="C951" s="20">
        <v>35.576467563657999</v>
      </c>
      <c r="D951" s="20">
        <v>344.15027187222103</v>
      </c>
      <c r="E951" s="20">
        <v>-0.23815750785340301</v>
      </c>
      <c r="F951" s="20">
        <v>-1.6442242058914101</v>
      </c>
      <c r="G951" s="20">
        <v>1.6613826283509101</v>
      </c>
      <c r="H951" s="20">
        <v>7.1142203113004898E-3</v>
      </c>
      <c r="I951" s="20">
        <v>111.55076875904</v>
      </c>
      <c r="J951" s="20">
        <v>571.62228968154238</v>
      </c>
      <c r="K951" s="20">
        <v>7.2596030789555881</v>
      </c>
      <c r="L951" s="20">
        <f t="shared" si="34"/>
        <v>571.62113923389529</v>
      </c>
      <c r="M951" s="20">
        <f t="shared" si="35"/>
        <v>-7.2595884682995093</v>
      </c>
    </row>
    <row r="952" spans="1:13" x14ac:dyDescent="0.2">
      <c r="A952" s="23">
        <v>231.25</v>
      </c>
      <c r="B952" s="20">
        <v>571.20763067016298</v>
      </c>
      <c r="C952" s="20">
        <v>35.669158788379399</v>
      </c>
      <c r="D952" s="20">
        <v>344.12410607534599</v>
      </c>
      <c r="E952" s="20">
        <v>-0.23846922814948801</v>
      </c>
      <c r="F952" s="20">
        <v>-1.6432170501753101</v>
      </c>
      <c r="G952" s="20">
        <v>1.66043062088154</v>
      </c>
      <c r="H952" s="20">
        <v>7.1213103016279904E-3</v>
      </c>
      <c r="I952" s="20">
        <v>111.61812416049101</v>
      </c>
      <c r="J952" s="20">
        <v>572.32138234146589</v>
      </c>
      <c r="K952" s="20">
        <v>7.2684815557366171</v>
      </c>
      <c r="L952" s="20">
        <f t="shared" si="34"/>
        <v>572.32023048682447</v>
      </c>
      <c r="M952" s="20">
        <f t="shared" si="35"/>
        <v>-7.2684669272117448</v>
      </c>
    </row>
    <row r="953" spans="1:13" x14ac:dyDescent="0.2">
      <c r="A953" s="23">
        <v>231.5</v>
      </c>
      <c r="B953" s="20">
        <v>571.90188216519402</v>
      </c>
      <c r="C953" s="20">
        <v>35.761924484997103</v>
      </c>
      <c r="D953" s="20">
        <v>344.09793501835799</v>
      </c>
      <c r="E953" s="20">
        <v>-0.238780559330764</v>
      </c>
      <c r="F953" s="20">
        <v>-1.642208676968</v>
      </c>
      <c r="G953" s="20">
        <v>1.65947747626273</v>
      </c>
      <c r="H953" s="20">
        <v>7.1283746505142196E-3</v>
      </c>
      <c r="I953" s="20">
        <v>111.685504764358</v>
      </c>
      <c r="J953" s="20">
        <v>573.02006923738884</v>
      </c>
      <c r="K953" s="20">
        <v>7.2773548793148386</v>
      </c>
      <c r="L953" s="20">
        <f t="shared" si="34"/>
        <v>573.01891597656891</v>
      </c>
      <c r="M953" s="20">
        <f t="shared" si="35"/>
        <v>-7.2773402329315342</v>
      </c>
    </row>
    <row r="954" spans="1:13" x14ac:dyDescent="0.2">
      <c r="A954" s="23">
        <v>231.75</v>
      </c>
      <c r="B954" s="20">
        <v>572.595717737153</v>
      </c>
      <c r="C954" s="20">
        <v>35.854764374719998</v>
      </c>
      <c r="D954" s="20">
        <v>344.071758732783</v>
      </c>
      <c r="E954" s="20">
        <v>-0.239091500430999</v>
      </c>
      <c r="F954" s="20">
        <v>-1.6411990904618701</v>
      </c>
      <c r="G954" s="20">
        <v>1.6585231985447799</v>
      </c>
      <c r="H954" s="20">
        <v>7.13541353626862E-3</v>
      </c>
      <c r="I954" s="20">
        <v>111.75291000240099</v>
      </c>
      <c r="J954" s="20">
        <v>573.7183498933166</v>
      </c>
      <c r="K954" s="20">
        <v>7.286223043645121</v>
      </c>
      <c r="L954" s="20">
        <f t="shared" si="34"/>
        <v>573.71719522713636</v>
      </c>
      <c r="M954" s="20">
        <f t="shared" si="35"/>
        <v>-7.2862083794137762</v>
      </c>
    </row>
    <row r="955" spans="1:13" x14ac:dyDescent="0.2">
      <c r="A955" s="23">
        <v>232</v>
      </c>
      <c r="B955" s="20">
        <v>573.28913691802995</v>
      </c>
      <c r="C955" s="20">
        <v>35.947678178485802</v>
      </c>
      <c r="D955" s="20">
        <v>344.04557724998102</v>
      </c>
      <c r="E955" s="20">
        <v>-0.23940205047955701</v>
      </c>
      <c r="F955" s="20">
        <v>-1.6401882948180999</v>
      </c>
      <c r="G955" s="20">
        <v>1.65756779174553</v>
      </c>
      <c r="H955" s="20">
        <v>7.1424271365057301E-3</v>
      </c>
      <c r="I955" s="20">
        <v>111.82033930886</v>
      </c>
      <c r="J955" s="20">
        <v>574.4162238350026</v>
      </c>
      <c r="K955" s="20">
        <v>7.2950860427045336</v>
      </c>
      <c r="L955" s="20">
        <f t="shared" si="34"/>
        <v>574.41506776428116</v>
      </c>
      <c r="M955" s="20">
        <f t="shared" si="35"/>
        <v>-7.2950713606355508</v>
      </c>
    </row>
    <row r="956" spans="1:13" x14ac:dyDescent="0.2">
      <c r="A956" s="23">
        <v>232.25</v>
      </c>
      <c r="B956" s="20">
        <v>573.98213924162997</v>
      </c>
      <c r="C956" s="20">
        <v>36.040665616964901</v>
      </c>
      <c r="D956" s="20">
        <v>344.01939060114898</v>
      </c>
      <c r="E956" s="20">
        <v>-0.239712208501417</v>
      </c>
      <c r="F956" s="20">
        <v>-1.6391762941669099</v>
      </c>
      <c r="G956" s="20">
        <v>1.6566112598504801</v>
      </c>
      <c r="H956" s="20">
        <v>7.1494156281463996E-3</v>
      </c>
      <c r="I956" s="20">
        <v>111.887792120447</v>
      </c>
      <c r="J956" s="20">
        <v>575.11369058993102</v>
      </c>
      <c r="K956" s="20">
        <v>7.3039438704921249</v>
      </c>
      <c r="L956" s="20">
        <f t="shared" si="34"/>
        <v>575.11253311548671</v>
      </c>
      <c r="M956" s="20">
        <f t="shared" si="35"/>
        <v>-7.3039291705958975</v>
      </c>
    </row>
    <row r="957" spans="1:13" x14ac:dyDescent="0.2">
      <c r="A957" s="23">
        <v>232.5</v>
      </c>
      <c r="B957" s="20">
        <v>574.67472424356401</v>
      </c>
      <c r="C957" s="20">
        <v>36.133726410563902</v>
      </c>
      <c r="D957" s="20">
        <v>343.99319881731901</v>
      </c>
      <c r="E957" s="20">
        <v>-0.24002197351718399</v>
      </c>
      <c r="F957" s="20">
        <v>-1.63816309260765</v>
      </c>
      <c r="G957" s="20">
        <v>1.6556536068130101</v>
      </c>
      <c r="H957" s="20">
        <v>7.1563791874192902E-3</v>
      </c>
      <c r="I957" s="20">
        <v>111.955267876326</v>
      </c>
      <c r="J957" s="20">
        <v>575.81074968730331</v>
      </c>
      <c r="K957" s="20">
        <v>7.3127965210287531</v>
      </c>
      <c r="L957" s="20">
        <f t="shared" si="34"/>
        <v>575.80959080995672</v>
      </c>
      <c r="M957" s="20">
        <f t="shared" si="35"/>
        <v>-7.3127818033157013</v>
      </c>
    </row>
    <row r="958" spans="1:13" x14ac:dyDescent="0.2">
      <c r="A958" s="23">
        <v>232.75</v>
      </c>
      <c r="B958" s="20">
        <v>575.36689146123297</v>
      </c>
      <c r="C958" s="20">
        <v>36.2268602794299</v>
      </c>
      <c r="D958" s="20">
        <v>343.96700192935702</v>
      </c>
      <c r="E958" s="20">
        <v>-0.24033134454310101</v>
      </c>
      <c r="F958" s="20">
        <v>-1.6371486942090201</v>
      </c>
      <c r="G958" s="20">
        <v>1.65469483655452</v>
      </c>
      <c r="H958" s="20">
        <v>7.16331798986212E-3</v>
      </c>
      <c r="I958" s="20">
        <v>112.02276601811</v>
      </c>
      <c r="J958" s="20">
        <v>576.50740065802574</v>
      </c>
      <c r="K958" s="20">
        <v>7.3216439883569269</v>
      </c>
      <c r="L958" s="20">
        <f t="shared" si="34"/>
        <v>576.5062403785995</v>
      </c>
      <c r="M958" s="20">
        <f t="shared" si="35"/>
        <v>-7.3216292528375</v>
      </c>
    </row>
    <row r="959" spans="1:13" x14ac:dyDescent="0.2">
      <c r="A959" s="23">
        <v>233</v>
      </c>
      <c r="B959" s="20">
        <v>576.05864043381098</v>
      </c>
      <c r="C959" s="20">
        <v>36.320066943454002</v>
      </c>
      <c r="D959" s="20">
        <v>343.940799967967</v>
      </c>
      <c r="E959" s="20">
        <v>-0.24064032059106499</v>
      </c>
      <c r="F959" s="20">
        <v>-1.6361331030092501</v>
      </c>
      <c r="G959" s="20">
        <v>1.6537349529646099</v>
      </c>
      <c r="H959" s="20">
        <v>7.1702322103232904E-3</v>
      </c>
      <c r="I959" s="20">
        <v>112.090285989845</v>
      </c>
      <c r="J959" s="20">
        <v>577.20364303469682</v>
      </c>
      <c r="K959" s="20">
        <v>7.3304862665406505</v>
      </c>
      <c r="L959" s="20">
        <f t="shared" si="34"/>
        <v>577.20248135401118</v>
      </c>
      <c r="M959" s="20">
        <f t="shared" si="35"/>
        <v>-7.3304715132252642</v>
      </c>
    </row>
    <row r="960" spans="1:13" x14ac:dyDescent="0.2">
      <c r="A960" s="23">
        <v>233.25</v>
      </c>
      <c r="B960" s="20">
        <v>576.74997070223799</v>
      </c>
      <c r="C960" s="20">
        <v>36.4133461222753</v>
      </c>
      <c r="D960" s="20">
        <v>343.91459296368703</v>
      </c>
      <c r="E960" s="20">
        <v>-0.240948900668643</v>
      </c>
      <c r="F960" s="20">
        <v>-1.63511632301621</v>
      </c>
      <c r="G960" s="20">
        <v>1.6527739599011999</v>
      </c>
      <c r="H960" s="20">
        <v>7.1771220229632704E-3</v>
      </c>
      <c r="I960" s="20">
        <v>112.157827238</v>
      </c>
      <c r="J960" s="20">
        <v>577.89947635158842</v>
      </c>
      <c r="K960" s="20">
        <v>7.3393233496651735</v>
      </c>
      <c r="L960" s="20">
        <f t="shared" si="34"/>
        <v>577.89831327046886</v>
      </c>
      <c r="M960" s="20">
        <f t="shared" si="35"/>
        <v>-7.339308578564312</v>
      </c>
    </row>
    <row r="961" spans="1:13" x14ac:dyDescent="0.2">
      <c r="A961" s="23">
        <v>233.5</v>
      </c>
      <c r="B961" s="20">
        <v>577.440881809198</v>
      </c>
      <c r="C961" s="20">
        <v>36.506697535283998</v>
      </c>
      <c r="D961" s="20">
        <v>343.88838094689299</v>
      </c>
      <c r="E961" s="20">
        <v>-0.241257083779083</v>
      </c>
      <c r="F961" s="20">
        <v>-1.6340983582076301</v>
      </c>
      <c r="G961" s="20">
        <v>1.65181186119075</v>
      </c>
      <c r="H961" s="20">
        <v>7.1839876012562004E-3</v>
      </c>
      <c r="I961" s="20">
        <v>112.225389211455</v>
      </c>
      <c r="J961" s="20">
        <v>578.59490014463927</v>
      </c>
      <c r="K961" s="20">
        <v>7.3481552318369197</v>
      </c>
      <c r="L961" s="20">
        <f t="shared" si="34"/>
        <v>578.59373566390855</v>
      </c>
      <c r="M961" s="20">
        <f t="shared" si="35"/>
        <v>-7.3481404429610322</v>
      </c>
    </row>
    <row r="962" spans="1:13" x14ac:dyDescent="0.2">
      <c r="A962" s="23">
        <v>233.75</v>
      </c>
      <c r="B962" s="20">
        <v>578.13137329911399</v>
      </c>
      <c r="C962" s="20">
        <v>36.600120901626198</v>
      </c>
      <c r="D962" s="20">
        <v>343.86216394779501</v>
      </c>
      <c r="E962" s="20">
        <v>-0.241564868921329</v>
      </c>
      <c r="F962" s="20">
        <v>-1.6330792125312401</v>
      </c>
      <c r="G962" s="20">
        <v>1.6508486606284201</v>
      </c>
      <c r="H962" s="20">
        <v>7.1908291179913304E-3</v>
      </c>
      <c r="I962" s="20">
        <v>112.29297136149199</v>
      </c>
      <c r="J962" s="20">
        <v>579.28991395143726</v>
      </c>
      <c r="K962" s="20">
        <v>7.3569819071832532</v>
      </c>
      <c r="L962" s="20">
        <f t="shared" si="34"/>
        <v>579.28874807192062</v>
      </c>
      <c r="M962" s="20">
        <f t="shared" si="35"/>
        <v>-7.3569671005428203</v>
      </c>
    </row>
    <row r="963" spans="1:13" x14ac:dyDescent="0.2">
      <c r="A963" s="23">
        <v>234</v>
      </c>
      <c r="B963" s="20">
        <v>578.82144471812899</v>
      </c>
      <c r="C963" s="20">
        <v>36.693615940206499</v>
      </c>
      <c r="D963" s="20">
        <v>343.83594199644</v>
      </c>
      <c r="E963" s="20">
        <v>-0.24187225509003599</v>
      </c>
      <c r="F963" s="20">
        <v>-1.63205888990495</v>
      </c>
      <c r="G963" s="20">
        <v>1.64988436197817</v>
      </c>
      <c r="H963" s="20">
        <v>7.1976467452747502E-3</v>
      </c>
      <c r="I963" s="20">
        <v>112.36057314178299</v>
      </c>
      <c r="J963" s="20">
        <v>579.98451731120633</v>
      </c>
      <c r="K963" s="20">
        <v>7.3658033698523209</v>
      </c>
      <c r="L963" s="20">
        <f t="shared" si="34"/>
        <v>579.98335003373109</v>
      </c>
      <c r="M963" s="20">
        <f t="shared" si="35"/>
        <v>-7.365788545457848</v>
      </c>
    </row>
    <row r="964" spans="1:13" x14ac:dyDescent="0.2">
      <c r="A964" s="23">
        <v>234.25</v>
      </c>
      <c r="B964" s="20">
        <v>579.511095614091</v>
      </c>
      <c r="C964" s="20">
        <v>36.787182369692601</v>
      </c>
      <c r="D964" s="20">
        <v>343.80971512270798</v>
      </c>
      <c r="E964" s="20">
        <v>-0.24217924127558499</v>
      </c>
      <c r="F964" s="20">
        <v>-1.631037394217</v>
      </c>
      <c r="G964" s="20">
        <v>1.6489189689729999</v>
      </c>
      <c r="H964" s="20">
        <v>7.2044406545309801E-3</v>
      </c>
      <c r="I964" s="20">
        <v>112.42819400837899</v>
      </c>
      <c r="J964" s="20">
        <v>580.67870976479401</v>
      </c>
      <c r="K964" s="20">
        <v>7.3746196140128841</v>
      </c>
      <c r="L964" s="20">
        <f t="shared" si="34"/>
        <v>580.67754109018642</v>
      </c>
      <c r="M964" s="20">
        <f t="shared" si="35"/>
        <v>-7.3746047718748668</v>
      </c>
    </row>
    <row r="965" spans="1:13" x14ac:dyDescent="0.2">
      <c r="A965" s="23">
        <v>234.5</v>
      </c>
      <c r="B965" s="20">
        <v>580.20032553654505</v>
      </c>
      <c r="C965" s="20">
        <v>36.880819908518198</v>
      </c>
      <c r="D965" s="20">
        <v>343.78348335631898</v>
      </c>
      <c r="E965" s="20">
        <v>-0.242485826464098</v>
      </c>
      <c r="F965" s="20">
        <v>-1.63001472932612</v>
      </c>
      <c r="G965" s="20">
        <v>1.64795248531506</v>
      </c>
      <c r="H965" s="20">
        <v>7.2112110165046296E-3</v>
      </c>
      <c r="I965" s="20">
        <v>112.495833419699</v>
      </c>
      <c r="J965" s="20">
        <v>581.37249085465851</v>
      </c>
      <c r="K965" s="20">
        <v>7.3834306338541644</v>
      </c>
      <c r="L965" s="20">
        <f t="shared" si="34"/>
        <v>581.37132078374611</v>
      </c>
      <c r="M965" s="20">
        <f t="shared" si="35"/>
        <v>-7.3834157739831099</v>
      </c>
    </row>
    <row r="966" spans="1:13" x14ac:dyDescent="0.2">
      <c r="A966" s="23">
        <v>234.75</v>
      </c>
      <c r="B966" s="20">
        <v>580.889134036717</v>
      </c>
      <c r="C966" s="20">
        <v>36.974528274887398</v>
      </c>
      <c r="D966" s="20">
        <v>343.75724672682497</v>
      </c>
      <c r="E966" s="20">
        <v>-0.24279200963745201</v>
      </c>
      <c r="F966" s="20">
        <v>-1.6289908990617099</v>
      </c>
      <c r="G966" s="20">
        <v>1.6469849146758</v>
      </c>
      <c r="H966" s="20">
        <v>7.2179580012620304E-3</v>
      </c>
      <c r="I966" s="20">
        <v>112.56349083652</v>
      </c>
      <c r="J966" s="20">
        <v>582.06586012485457</v>
      </c>
      <c r="K966" s="20">
        <v>7.3922364235856532</v>
      </c>
      <c r="L966" s="20">
        <f t="shared" si="34"/>
        <v>582.06468865846637</v>
      </c>
      <c r="M966" s="20">
        <f t="shared" si="35"/>
        <v>-7.3922215459920917</v>
      </c>
    </row>
    <row r="967" spans="1:13" x14ac:dyDescent="0.2">
      <c r="A967" s="23">
        <v>235</v>
      </c>
      <c r="B967" s="20">
        <v>581.57752066749902</v>
      </c>
      <c r="C967" s="20">
        <v>37.068307186777602</v>
      </c>
      <c r="D967" s="20">
        <v>343.73100526361799</v>
      </c>
      <c r="E967" s="20">
        <v>-0.24309778977329299</v>
      </c>
      <c r="F967" s="20">
        <v>-1.62796590722399</v>
      </c>
      <c r="G967" s="20">
        <v>1.6460162606962001</v>
      </c>
      <c r="H967" s="20">
        <v>7.2246817781929902E-3</v>
      </c>
      <c r="I967" s="20">
        <v>112.63116572197001</v>
      </c>
      <c r="J967" s="20">
        <v>582.75881712102114</v>
      </c>
      <c r="K967" s="20">
        <v>7.4010369774369682</v>
      </c>
      <c r="L967" s="20">
        <f t="shared" si="34"/>
        <v>582.75764425998614</v>
      </c>
      <c r="M967" s="20">
        <f t="shared" si="35"/>
        <v>-7.4010220821314281</v>
      </c>
    </row>
    <row r="968" spans="1:13" x14ac:dyDescent="0.2">
      <c r="A968" s="23">
        <v>235.25</v>
      </c>
      <c r="B968" s="20">
        <v>582.26548498343902</v>
      </c>
      <c r="C968" s="20">
        <v>37.162156361943701</v>
      </c>
      <c r="D968" s="20">
        <v>343.70475899592299</v>
      </c>
      <c r="E968" s="20">
        <v>-0.243403165845055</v>
      </c>
      <c r="F968" s="20">
        <v>-1.62693975758418</v>
      </c>
      <c r="G968" s="20">
        <v>1.64504652698684</v>
      </c>
      <c r="H968" s="20">
        <v>7.2313825160126603E-3</v>
      </c>
      <c r="I968" s="20">
        <v>112.698857541511</v>
      </c>
      <c r="J968" s="20">
        <v>583.45136139036617</v>
      </c>
      <c r="K968" s="20">
        <v>7.4098322896576505</v>
      </c>
      <c r="L968" s="20">
        <f t="shared" si="34"/>
        <v>583.45018713551633</v>
      </c>
      <c r="M968" s="20">
        <f t="shared" si="35"/>
        <v>-7.4098173766506976</v>
      </c>
    </row>
    <row r="969" spans="1:13" x14ac:dyDescent="0.2">
      <c r="A969" s="23">
        <v>235.5</v>
      </c>
      <c r="B969" s="20">
        <v>582.95302654072498</v>
      </c>
      <c r="C969" s="20">
        <v>37.256075517921403</v>
      </c>
      <c r="D969" s="20">
        <v>343.678507952801</v>
      </c>
      <c r="E969" s="20">
        <v>-0.24370813682197201</v>
      </c>
      <c r="F969" s="20">
        <v>-1.6259124538845999</v>
      </c>
      <c r="G969" s="20">
        <v>1.6440757171281</v>
      </c>
      <c r="H969" s="20">
        <v>7.2380603827630098E-3</v>
      </c>
      <c r="I969" s="20">
        <v>112.766565762933</v>
      </c>
      <c r="J969" s="20">
        <v>584.14349248165809</v>
      </c>
      <c r="K969" s="20">
        <v>7.4186223545170584</v>
      </c>
      <c r="L969" s="20">
        <f t="shared" si="34"/>
        <v>584.14231683382457</v>
      </c>
      <c r="M969" s="20">
        <f t="shared" si="35"/>
        <v>-7.418607423819247</v>
      </c>
    </row>
    <row r="970" spans="1:13" x14ac:dyDescent="0.2">
      <c r="A970" s="23">
        <v>235.75</v>
      </c>
      <c r="B970" s="20">
        <v>583.64014489717204</v>
      </c>
      <c r="C970" s="20">
        <v>37.350064372030801</v>
      </c>
      <c r="D970" s="20">
        <v>343.65225216315002</v>
      </c>
      <c r="E970" s="20">
        <v>-0.244012701669092</v>
      </c>
      <c r="F970" s="20">
        <v>-1.62488399983892</v>
      </c>
      <c r="G970" s="20">
        <v>1.6431038346703399</v>
      </c>
      <c r="H970" s="20">
        <v>7.2447155458149103E-3</v>
      </c>
      <c r="I970" s="20">
        <v>112.834289856346</v>
      </c>
      <c r="J970" s="20">
        <v>584.83520994520779</v>
      </c>
      <c r="K970" s="20">
        <v>7.4274071663041399</v>
      </c>
      <c r="L970" s="20">
        <f t="shared" si="34"/>
        <v>584.83403290522244</v>
      </c>
      <c r="M970" s="20">
        <f t="shared" si="35"/>
        <v>-7.4273922179260348</v>
      </c>
    </row>
    <row r="971" spans="1:13" x14ac:dyDescent="0.2">
      <c r="A971" s="23">
        <v>236</v>
      </c>
      <c r="B971" s="20">
        <v>584.32683961221301</v>
      </c>
      <c r="C971" s="20">
        <v>37.444122641379998</v>
      </c>
      <c r="D971" s="20">
        <v>343.62599165570498</v>
      </c>
      <c r="E971" s="20">
        <v>-0.24431685934729899</v>
      </c>
      <c r="F971" s="20">
        <v>-1.6238543991322201</v>
      </c>
      <c r="G971" s="20">
        <v>1.64213088313399</v>
      </c>
      <c r="H971" s="20">
        <v>7.25134817186978E-3</v>
      </c>
      <c r="I971" s="20">
        <v>112.902029294166</v>
      </c>
      <c r="J971" s="20">
        <v>585.52651333285974</v>
      </c>
      <c r="K971" s="20">
        <v>7.4361867193273188</v>
      </c>
      <c r="L971" s="20">
        <f t="shared" si="34"/>
        <v>585.52533490155622</v>
      </c>
      <c r="M971" s="20">
        <f t="shared" si="35"/>
        <v>-7.4361717532795097</v>
      </c>
    </row>
    <row r="972" spans="1:13" x14ac:dyDescent="0.2">
      <c r="A972" s="23">
        <v>236.25</v>
      </c>
      <c r="B972" s="20">
        <v>585.01311024688096</v>
      </c>
      <c r="C972" s="20">
        <v>37.538250042868597</v>
      </c>
      <c r="D972" s="20">
        <v>343.59972645903599</v>
      </c>
      <c r="E972" s="20">
        <v>-0.24462060881332201</v>
      </c>
      <c r="F972" s="20">
        <v>-1.6228236554212501</v>
      </c>
      <c r="G972" s="20">
        <v>1.64115686600976</v>
      </c>
      <c r="H972" s="20">
        <v>7.2579584269614897E-3</v>
      </c>
      <c r="I972" s="20">
        <v>112.969783551105</v>
      </c>
      <c r="J972" s="20">
        <v>586.21740219797653</v>
      </c>
      <c r="K972" s="20">
        <v>7.4449610079143023</v>
      </c>
      <c r="L972" s="20">
        <f t="shared" si="34"/>
        <v>586.21622237618965</v>
      </c>
      <c r="M972" s="20">
        <f t="shared" si="35"/>
        <v>-7.4449460242073879</v>
      </c>
    </row>
    <row r="973" spans="1:13" x14ac:dyDescent="0.2">
      <c r="A973" s="23">
        <v>236.5</v>
      </c>
      <c r="B973" s="20">
        <v>585.69895636379795</v>
      </c>
      <c r="C973" s="20">
        <v>37.6324462931913</v>
      </c>
      <c r="D973" s="20">
        <v>343.57345660154903</v>
      </c>
      <c r="E973" s="20">
        <v>-0.24492394901975301</v>
      </c>
      <c r="F973" s="20">
        <v>-1.6217917723344799</v>
      </c>
      <c r="G973" s="20">
        <v>1.64018178675879</v>
      </c>
      <c r="H973" s="20">
        <v>7.2645464764581804E-3</v>
      </c>
      <c r="I973" s="20">
        <v>113.03755210416701</v>
      </c>
      <c r="J973" s="20">
        <v>586.90787609542826</v>
      </c>
      <c r="K973" s="20">
        <v>7.4537300264119395</v>
      </c>
      <c r="L973" s="20">
        <f t="shared" si="34"/>
        <v>586.9066948839926</v>
      </c>
      <c r="M973" s="20">
        <f t="shared" si="35"/>
        <v>-7.4537150250565203</v>
      </c>
    </row>
    <row r="974" spans="1:13" x14ac:dyDescent="0.2">
      <c r="A974" s="23">
        <v>236.75</v>
      </c>
      <c r="B974" s="20">
        <v>586.384377527163</v>
      </c>
      <c r="C974" s="20">
        <v>37.7267111088413</v>
      </c>
      <c r="D974" s="20">
        <v>343.54718211148599</v>
      </c>
      <c r="E974" s="20">
        <v>-0.245226878915066</v>
      </c>
      <c r="F974" s="20">
        <v>-1.62075875347234</v>
      </c>
      <c r="G974" s="20">
        <v>1.63920564881275</v>
      </c>
      <c r="H974" s="20">
        <v>7.2711124850640598E-3</v>
      </c>
      <c r="I974" s="20">
        <v>113.105334432634</v>
      </c>
      <c r="J974" s="20">
        <v>587.59793458157765</v>
      </c>
      <c r="K974" s="20">
        <v>7.462493769186036</v>
      </c>
      <c r="L974" s="20">
        <f t="shared" si="34"/>
        <v>587.59675198132982</v>
      </c>
      <c r="M974" s="20">
        <f t="shared" si="35"/>
        <v>-7.462478750192739</v>
      </c>
    </row>
    <row r="975" spans="1:13" x14ac:dyDescent="0.2">
      <c r="A975" s="23">
        <v>237</v>
      </c>
      <c r="B975" s="20">
        <v>587.069373302739</v>
      </c>
      <c r="C975" s="20">
        <v>37.821044206113697</v>
      </c>
      <c r="D975" s="20">
        <v>343.52090301692601</v>
      </c>
      <c r="E975" s="20">
        <v>-0.245529397443629</v>
      </c>
      <c r="F975" s="20">
        <v>-1.61972460240733</v>
      </c>
      <c r="G975" s="20">
        <v>1.63822845557407</v>
      </c>
      <c r="H975" s="20">
        <v>7.2776566168215196E-3</v>
      </c>
      <c r="I975" s="20">
        <v>113.17313001805501</v>
      </c>
      <c r="J975" s="20">
        <v>588.28757721426973</v>
      </c>
      <c r="K975" s="20">
        <v>7.471252230621225</v>
      </c>
      <c r="L975" s="20">
        <f t="shared" si="34"/>
        <v>588.28639322604727</v>
      </c>
      <c r="M975" s="20">
        <f t="shared" si="35"/>
        <v>-7.4712371940006852</v>
      </c>
    </row>
    <row r="976" spans="1:13" x14ac:dyDescent="0.2">
      <c r="A976" s="23">
        <v>237.25</v>
      </c>
      <c r="B976" s="20">
        <v>587.75394325783702</v>
      </c>
      <c r="C976" s="20">
        <v>37.915445301109301</v>
      </c>
      <c r="D976" s="20">
        <v>343.494619345785</v>
      </c>
      <c r="E976" s="20">
        <v>-0.245831503545722</v>
      </c>
      <c r="F976" s="20">
        <v>-1.6186893226841801</v>
      </c>
      <c r="G976" s="20">
        <v>1.63725021041603</v>
      </c>
      <c r="H976" s="20">
        <v>7.2841790351127504E-3</v>
      </c>
      <c r="I976" s="20">
        <v>113.240938344242</v>
      </c>
      <c r="J976" s="20">
        <v>588.97680355281796</v>
      </c>
      <c r="K976" s="20">
        <v>7.4800054051207887</v>
      </c>
      <c r="L976" s="20">
        <f t="shared" si="34"/>
        <v>588.97561817745748</v>
      </c>
      <c r="M976" s="20">
        <f t="shared" si="35"/>
        <v>-7.4799903508836305</v>
      </c>
    </row>
    <row r="977" spans="1:13" x14ac:dyDescent="0.2">
      <c r="A977" s="23">
        <v>237.5</v>
      </c>
      <c r="B977" s="20">
        <v>588.43808696130895</v>
      </c>
      <c r="C977" s="20">
        <v>38.009914109737402</v>
      </c>
      <c r="D977" s="20">
        <v>343.46833112581299</v>
      </c>
      <c r="E977" s="20">
        <v>-0.246133196157555</v>
      </c>
      <c r="F977" s="20">
        <v>-1.6176529178200301</v>
      </c>
      <c r="G977" s="20">
        <v>1.6362709166829199</v>
      </c>
      <c r="H977" s="20">
        <v>7.2906799026618398E-3</v>
      </c>
      <c r="I977" s="20">
        <v>113.30875889725699</v>
      </c>
      <c r="J977" s="20">
        <v>589.66561315799129</v>
      </c>
      <c r="K977" s="20">
        <v>7.4887532871064897</v>
      </c>
      <c r="L977" s="20">
        <f t="shared" si="34"/>
        <v>589.66442639633146</v>
      </c>
      <c r="M977" s="20">
        <f t="shared" si="35"/>
        <v>-7.4887382152633641</v>
      </c>
    </row>
    <row r="978" spans="1:13" x14ac:dyDescent="0.2">
      <c r="A978" s="23">
        <v>237.75</v>
      </c>
      <c r="B978" s="20">
        <v>589.121803983532</v>
      </c>
      <c r="C978" s="20">
        <v>38.104450347720103</v>
      </c>
      <c r="D978" s="20">
        <v>343.44203838459799</v>
      </c>
      <c r="E978" s="20">
        <v>-0.24643447421128101</v>
      </c>
      <c r="F978" s="20">
        <v>-1.61661539130453</v>
      </c>
      <c r="G978" s="20">
        <v>1.63529057769024</v>
      </c>
      <c r="H978" s="20">
        <v>7.2971593815367199E-3</v>
      </c>
      <c r="I978" s="20">
        <v>113.376591165405</v>
      </c>
      <c r="J978" s="20">
        <v>590.35400559200343</v>
      </c>
      <c r="K978" s="20">
        <v>7.4974958710184429</v>
      </c>
      <c r="L978" s="20">
        <f t="shared" si="34"/>
        <v>590.35281744488441</v>
      </c>
      <c r="M978" s="20">
        <f t="shared" si="35"/>
        <v>-7.4974807815800224</v>
      </c>
    </row>
    <row r="979" spans="1:13" x14ac:dyDescent="0.2">
      <c r="A979" s="23">
        <v>238</v>
      </c>
      <c r="B979" s="20">
        <v>589.80509389639496</v>
      </c>
      <c r="C979" s="20">
        <v>38.199053730594798</v>
      </c>
      <c r="D979" s="20">
        <v>343.41574114956501</v>
      </c>
      <c r="E979" s="20">
        <v>-0.24673533663501701</v>
      </c>
      <c r="F979" s="20">
        <v>-1.6155767466000399</v>
      </c>
      <c r="G979" s="20">
        <v>1.63430919672477</v>
      </c>
      <c r="H979" s="20">
        <v>7.3036176331509103E-3</v>
      </c>
      <c r="I979" s="20">
        <v>113.444434639224</v>
      </c>
      <c r="J979" s="20">
        <v>591.04198041849918</v>
      </c>
      <c r="K979" s="20">
        <v>7.5062331513149392</v>
      </c>
      <c r="L979" s="20">
        <f t="shared" si="34"/>
        <v>591.0407908867611</v>
      </c>
      <c r="M979" s="20">
        <f t="shared" si="35"/>
        <v>-7.5062180442918915</v>
      </c>
    </row>
    <row r="980" spans="1:13" x14ac:dyDescent="0.2">
      <c r="A980" s="23">
        <v>238.25</v>
      </c>
      <c r="B980" s="20">
        <v>590.48795627328695</v>
      </c>
      <c r="C980" s="20">
        <v>38.293723973718102</v>
      </c>
      <c r="D980" s="20">
        <v>343.38943944797398</v>
      </c>
      <c r="E980" s="20">
        <v>-0.247035782352856</v>
      </c>
      <c r="F980" s="20">
        <v>-1.6145369871417701</v>
      </c>
      <c r="G980" s="20">
        <v>1.6333267770447799</v>
      </c>
      <c r="H980" s="20">
        <v>7.3100548182657198E-3</v>
      </c>
      <c r="I980" s="20">
        <v>113.512288811476</v>
      </c>
      <c r="J980" s="20">
        <v>591.72953720254134</v>
      </c>
      <c r="K980" s="20">
        <v>7.5149651224722751</v>
      </c>
      <c r="L980" s="20">
        <f t="shared" si="34"/>
        <v>591.72834628702594</v>
      </c>
      <c r="M980" s="20">
        <f t="shared" si="35"/>
        <v>-7.5149499978752896</v>
      </c>
    </row>
    <row r="981" spans="1:13" x14ac:dyDescent="0.2">
      <c r="A981" s="23">
        <v>238.5</v>
      </c>
      <c r="B981" s="20">
        <v>591.17039068908605</v>
      </c>
      <c r="C981" s="20">
        <v>38.3884607922692</v>
      </c>
      <c r="D981" s="20">
        <v>343.36313330692099</v>
      </c>
      <c r="E981" s="20">
        <v>-0.24733581028488799</v>
      </c>
      <c r="F981" s="20">
        <v>-1.61349611633789</v>
      </c>
      <c r="G981" s="20">
        <v>1.63234332188016</v>
      </c>
      <c r="H981" s="20">
        <v>7.3164710969920096E-3</v>
      </c>
      <c r="I981" s="20">
        <v>113.58015317714199</v>
      </c>
      <c r="J981" s="20">
        <v>592.41667551060152</v>
      </c>
      <c r="K981" s="20">
        <v>7.5236917789846398</v>
      </c>
      <c r="L981" s="20">
        <f t="shared" si="34"/>
        <v>592.41548321215089</v>
      </c>
      <c r="M981" s="20">
        <f t="shared" si="35"/>
        <v>-7.523676636824411</v>
      </c>
    </row>
    <row r="982" spans="1:13" x14ac:dyDescent="0.2">
      <c r="A982" s="23">
        <v>238.75</v>
      </c>
      <c r="B982" s="20">
        <v>591.85239672014495</v>
      </c>
      <c r="C982" s="20">
        <v>38.483263901252798</v>
      </c>
      <c r="D982" s="20">
        <v>343.33682275334201</v>
      </c>
      <c r="E982" s="20">
        <v>-0.247635419347218</v>
      </c>
      <c r="F982" s="20">
        <v>-1.6124541375697501</v>
      </c>
      <c r="G982" s="20">
        <v>1.63135883443253</v>
      </c>
      <c r="H982" s="20">
        <v>7.3228666287922604E-3</v>
      </c>
      <c r="I982" s="20">
        <v>113.64802723340701</v>
      </c>
      <c r="J982" s="20">
        <v>593.10339491054469</v>
      </c>
      <c r="K982" s="20">
        <v>7.5324131153639184</v>
      </c>
      <c r="L982" s="20">
        <f t="shared" si="34"/>
        <v>593.10220123000158</v>
      </c>
      <c r="M982" s="20">
        <f t="shared" si="35"/>
        <v>-7.5323979556511507</v>
      </c>
    </row>
    <row r="983" spans="1:13" x14ac:dyDescent="0.2">
      <c r="A983" s="23">
        <v>239</v>
      </c>
      <c r="B983" s="20">
        <v>592.53397394428202</v>
      </c>
      <c r="C983" s="20">
        <v>38.5781330155029</v>
      </c>
      <c r="D983" s="20">
        <v>343.31050781400501</v>
      </c>
      <c r="E983" s="20">
        <v>-0.24793460845197801</v>
      </c>
      <c r="F983" s="20">
        <v>-1.61141105419195</v>
      </c>
      <c r="G983" s="20">
        <v>1.63037331787547</v>
      </c>
      <c r="H983" s="20">
        <v>7.3292415724825798E-3</v>
      </c>
      <c r="I983" s="20">
        <v>113.71591047965801</v>
      </c>
      <c r="J983" s="20">
        <v>593.78969497162052</v>
      </c>
      <c r="K983" s="20">
        <v>7.5411291261395812</v>
      </c>
      <c r="L983" s="20">
        <f t="shared" si="34"/>
        <v>593.78849990982894</v>
      </c>
      <c r="M983" s="20">
        <f t="shared" si="35"/>
        <v>-7.5411139488849921</v>
      </c>
    </row>
    <row r="984" spans="1:13" x14ac:dyDescent="0.2">
      <c r="A984" s="23">
        <v>239.25</v>
      </c>
      <c r="B984" s="20">
        <v>593.21512194076399</v>
      </c>
      <c r="C984" s="20">
        <v>38.6730678496859</v>
      </c>
      <c r="D984" s="20">
        <v>343.284188515518</v>
      </c>
      <c r="E984" s="20">
        <v>-0.248233376507349</v>
      </c>
      <c r="F984" s="20">
        <v>-1.6103668695325599</v>
      </c>
      <c r="G984" s="20">
        <v>1.6293867753545701</v>
      </c>
      <c r="H984" s="20">
        <v>7.3355960862346104E-3</v>
      </c>
      <c r="I984" s="20">
        <v>113.783802417472</v>
      </c>
      <c r="J984" s="20">
        <v>594.47557526444677</v>
      </c>
      <c r="K984" s="20">
        <v>7.5498398058584746</v>
      </c>
      <c r="L984" s="20">
        <f t="shared" si="34"/>
        <v>594.47437882225154</v>
      </c>
      <c r="M984" s="20">
        <f t="shared" si="35"/>
        <v>-7.5498246110727942</v>
      </c>
    </row>
    <row r="985" spans="1:13" x14ac:dyDescent="0.2">
      <c r="A985" s="23">
        <v>239.5</v>
      </c>
      <c r="B985" s="20">
        <v>593.895840290298</v>
      </c>
      <c r="C985" s="20">
        <v>38.768068118303603</v>
      </c>
      <c r="D985" s="20">
        <v>343.257864884323</v>
      </c>
      <c r="E985" s="20">
        <v>-0.24853172241757801</v>
      </c>
      <c r="F985" s="20">
        <v>-1.60932158689321</v>
      </c>
      <c r="G985" s="20">
        <v>1.6283992099876301</v>
      </c>
      <c r="H985" s="20">
        <v>7.3419303275775102E-3</v>
      </c>
      <c r="I985" s="20">
        <v>113.85170255061099</v>
      </c>
      <c r="J985" s="20">
        <v>595.16103536100059</v>
      </c>
      <c r="K985" s="20">
        <v>7.5585451490847086</v>
      </c>
      <c r="L985" s="20">
        <f t="shared" si="34"/>
        <v>595.15983753924843</v>
      </c>
      <c r="M985" s="20">
        <f t="shared" si="35"/>
        <v>-7.5585299367786893</v>
      </c>
    </row>
    <row r="986" spans="1:13" x14ac:dyDescent="0.2">
      <c r="A986" s="23">
        <v>239.75</v>
      </c>
      <c r="B986" s="20">
        <v>594.57612857501704</v>
      </c>
      <c r="C986" s="20">
        <v>38.863133535696903</v>
      </c>
      <c r="D986" s="20">
        <v>343.23153694670299</v>
      </c>
      <c r="E986" s="20">
        <v>-0.24882964508299399</v>
      </c>
      <c r="F986" s="20">
        <v>-1.6082752095492601</v>
      </c>
      <c r="G986" s="20">
        <v>1.6274106248647999</v>
      </c>
      <c r="H986" s="20">
        <v>7.3482444534000296E-3</v>
      </c>
      <c r="I986" s="20">
        <v>113.919610385011</v>
      </c>
      <c r="J986" s="20">
        <v>595.84607483460798</v>
      </c>
      <c r="K986" s="20">
        <v>7.5672451503995219</v>
      </c>
      <c r="L986" s="20">
        <f t="shared" si="34"/>
        <v>595.84487563414405</v>
      </c>
      <c r="M986" s="20">
        <f t="shared" si="35"/>
        <v>-7.5672299205838982</v>
      </c>
    </row>
    <row r="987" spans="1:13" x14ac:dyDescent="0.2">
      <c r="A987" s="23">
        <v>240</v>
      </c>
      <c r="B987" s="20">
        <v>595.25598637846997</v>
      </c>
      <c r="C987" s="20">
        <v>38.958263816048998</v>
      </c>
      <c r="D987" s="20">
        <v>343.205204728772</v>
      </c>
      <c r="E987" s="20">
        <v>-0.24912714340002801</v>
      </c>
      <c r="F987" s="20">
        <v>-1.60722774074995</v>
      </c>
      <c r="G987" s="20">
        <v>1.6264210230487199</v>
      </c>
      <c r="H987" s="20">
        <v>7.3545386199524599E-3</v>
      </c>
      <c r="I987" s="20">
        <v>113.987525428776</v>
      </c>
      <c r="J987" s="20">
        <v>596.53069325992703</v>
      </c>
      <c r="K987" s="20">
        <v>7.5759398044010728</v>
      </c>
      <c r="L987" s="20">
        <f t="shared" si="34"/>
        <v>596.52949268159921</v>
      </c>
      <c r="M987" s="20">
        <f t="shared" si="35"/>
        <v>-7.5759245570866138</v>
      </c>
    </row>
    <row r="988" spans="1:13" x14ac:dyDescent="0.2">
      <c r="A988" s="23">
        <v>240.25</v>
      </c>
      <c r="B988" s="20">
        <v>595.93541328560798</v>
      </c>
      <c r="C988" s="20">
        <v>39.053458673388199</v>
      </c>
      <c r="D988" s="20">
        <v>343.17886825648498</v>
      </c>
      <c r="E988" s="20">
        <v>-0.24942421626122999</v>
      </c>
      <c r="F988" s="20">
        <v>-1.60617918371854</v>
      </c>
      <c r="G988" s="20">
        <v>1.62543040757464</v>
      </c>
      <c r="H988" s="20">
        <v>7.3608129828486198E-3</v>
      </c>
      <c r="I988" s="20">
        <v>114.05544719217001</v>
      </c>
      <c r="J988" s="20">
        <v>597.21489021293996</v>
      </c>
      <c r="K988" s="20">
        <v>7.5846291057043382</v>
      </c>
      <c r="L988" s="20">
        <f t="shared" ref="L988:L1051" si="36">SQRT(B988^2+C988^2)</f>
        <v>597.21368825759714</v>
      </c>
      <c r="M988" s="20">
        <f t="shared" ref="M988:M1051" si="37">-L988/A$25*100</f>
        <v>-7.5846138409018229</v>
      </c>
    </row>
    <row r="989" spans="1:13" x14ac:dyDescent="0.2">
      <c r="A989" s="23">
        <v>240.5</v>
      </c>
      <c r="B989" s="20">
        <v>596.61440888277298</v>
      </c>
      <c r="C989" s="20">
        <v>39.148717821591397</v>
      </c>
      <c r="D989" s="20">
        <v>343.15252755563199</v>
      </c>
      <c r="E989" s="20">
        <v>-0.249720862555286</v>
      </c>
      <c r="F989" s="20">
        <v>-1.60512954165243</v>
      </c>
      <c r="G989" s="20">
        <v>1.6244387814505901</v>
      </c>
      <c r="H989" s="20">
        <v>7.3670676970678103E-3</v>
      </c>
      <c r="I989" s="20">
        <v>114.12337518760999</v>
      </c>
      <c r="J989" s="20">
        <v>597.89866527094182</v>
      </c>
      <c r="K989" s="20">
        <v>7.5933130489409608</v>
      </c>
      <c r="L989" s="20">
        <f t="shared" si="36"/>
        <v>597.89746193943256</v>
      </c>
      <c r="M989" s="20">
        <f t="shared" si="37"/>
        <v>-7.5932977666611663</v>
      </c>
    </row>
    <row r="990" spans="1:13" x14ac:dyDescent="0.2">
      <c r="A990" s="23">
        <v>240.75</v>
      </c>
      <c r="B990" s="20">
        <v>597.29297275768499</v>
      </c>
      <c r="C990" s="20">
        <v>39.244040974387502</v>
      </c>
      <c r="D990" s="20">
        <v>343.12618265184199</v>
      </c>
      <c r="E990" s="20">
        <v>-0.25001708116704102</v>
      </c>
      <c r="F990" s="20">
        <v>-1.60407881772335</v>
      </c>
      <c r="G990" s="20">
        <v>1.6234461476575199</v>
      </c>
      <c r="H990" s="20">
        <v>7.3733029169570303E-3</v>
      </c>
      <c r="I990" s="20">
        <v>114.191308929657</v>
      </c>
      <c r="J990" s="20">
        <v>598.58201801252449</v>
      </c>
      <c r="K990" s="20">
        <v>7.6019916287590608</v>
      </c>
      <c r="L990" s="20">
        <f t="shared" si="36"/>
        <v>598.58081330569894</v>
      </c>
      <c r="M990" s="20">
        <f t="shared" si="37"/>
        <v>-7.6019763290127846</v>
      </c>
    </row>
    <row r="991" spans="1:13" x14ac:dyDescent="0.2">
      <c r="A991" s="23">
        <v>241</v>
      </c>
      <c r="B991" s="20">
        <v>597.97110449943204</v>
      </c>
      <c r="C991" s="20">
        <v>39.339427845359999</v>
      </c>
      <c r="D991" s="20">
        <v>343.099833570577</v>
      </c>
      <c r="E991" s="20">
        <v>-0.25031287097751098</v>
      </c>
      <c r="F991" s="20">
        <v>-1.6030270150774599</v>
      </c>
      <c r="G991" s="20">
        <v>1.62245250914939</v>
      </c>
      <c r="H991" s="20">
        <v>7.37951879623263E-3</v>
      </c>
      <c r="I991" s="20">
        <v>114.25924793501299</v>
      </c>
      <c r="J991" s="20">
        <v>599.26494801757053</v>
      </c>
      <c r="K991" s="20">
        <v>7.610664839823146</v>
      </c>
      <c r="L991" s="20">
        <f t="shared" si="36"/>
        <v>599.26374193627885</v>
      </c>
      <c r="M991" s="20">
        <f t="shared" si="37"/>
        <v>-7.6106495226211841</v>
      </c>
    </row>
    <row r="992" spans="1:13" x14ac:dyDescent="0.2">
      <c r="A992" s="23">
        <v>241.25</v>
      </c>
      <c r="B992" s="20">
        <v>598.64880369845798</v>
      </c>
      <c r="C992" s="20">
        <v>39.434878147950499</v>
      </c>
      <c r="D992" s="20">
        <v>343.07348033713998</v>
      </c>
      <c r="E992" s="20">
        <v>-0.25060823086390799</v>
      </c>
      <c r="F992" s="20">
        <v>-1.60197413683551</v>
      </c>
      <c r="G992" s="20">
        <v>1.62145786885341</v>
      </c>
      <c r="H992" s="20">
        <v>7.3857154879826102E-3</v>
      </c>
      <c r="I992" s="20">
        <v>114.327191722507</v>
      </c>
      <c r="J992" s="20">
        <v>599.94745486723787</v>
      </c>
      <c r="K992" s="20">
        <v>7.6193326768139213</v>
      </c>
      <c r="L992" s="20">
        <f t="shared" si="36"/>
        <v>599.94624741233156</v>
      </c>
      <c r="M992" s="20">
        <f t="shared" si="37"/>
        <v>-7.6193173421670881</v>
      </c>
    </row>
    <row r="993" spans="1:13" x14ac:dyDescent="0.2">
      <c r="A993" s="23">
        <v>241.5</v>
      </c>
      <c r="B993" s="20">
        <v>599.326069946551</v>
      </c>
      <c r="C993" s="20">
        <v>39.5303915954619</v>
      </c>
      <c r="D993" s="20">
        <v>343.04712297666902</v>
      </c>
      <c r="E993" s="20">
        <v>-0.25090315969965399</v>
      </c>
      <c r="F993" s="20">
        <v>-1.60092018609299</v>
      </c>
      <c r="G993" s="20">
        <v>1.6204622296700599</v>
      </c>
      <c r="H993" s="20">
        <v>7.3918931446685003E-3</v>
      </c>
      <c r="I993" s="20">
        <v>114.395139813095</v>
      </c>
      <c r="J993" s="20">
        <v>600.62953814394928</v>
      </c>
      <c r="K993" s="20">
        <v>7.627995134428156</v>
      </c>
      <c r="L993" s="20">
        <f t="shared" si="36"/>
        <v>600.62832931628247</v>
      </c>
      <c r="M993" s="20">
        <f t="shared" si="37"/>
        <v>-7.6279797823472997</v>
      </c>
    </row>
    <row r="994" spans="1:13" x14ac:dyDescent="0.2">
      <c r="A994" s="23">
        <v>241.75</v>
      </c>
      <c r="B994" s="20">
        <v>600.00290283682705</v>
      </c>
      <c r="C994" s="20">
        <v>39.625967901061102</v>
      </c>
      <c r="D994" s="20">
        <v>343.020761514139</v>
      </c>
      <c r="E994" s="20">
        <v>-0.251197656354402</v>
      </c>
      <c r="F994" s="20">
        <v>-1.5998651659202201</v>
      </c>
      <c r="G994" s="20">
        <v>1.61946559447334</v>
      </c>
      <c r="H994" s="20">
        <v>7.3980519181273E-3</v>
      </c>
      <c r="I994" s="20">
        <v>114.463091729851</v>
      </c>
      <c r="J994" s="20">
        <v>601.31119743138174</v>
      </c>
      <c r="K994" s="20">
        <v>7.6366522073785488</v>
      </c>
      <c r="L994" s="20">
        <f t="shared" si="36"/>
        <v>601.30998723180608</v>
      </c>
      <c r="M994" s="20">
        <f t="shared" si="37"/>
        <v>-7.6366368378744847</v>
      </c>
    </row>
    <row r="995" spans="1:13" x14ac:dyDescent="0.2">
      <c r="A995" s="23">
        <v>242</v>
      </c>
      <c r="B995" s="20">
        <v>600.67930196372799</v>
      </c>
      <c r="C995" s="20">
        <v>39.721606777782597</v>
      </c>
      <c r="D995" s="20">
        <v>342.99439597436299</v>
      </c>
      <c r="E995" s="20">
        <v>-0.25149171969405798</v>
      </c>
      <c r="F995" s="20">
        <v>-1.59880907936258</v>
      </c>
      <c r="G995" s="20">
        <v>1.6184679661108201</v>
      </c>
      <c r="H995" s="20">
        <v>7.4041919595735301E-3</v>
      </c>
      <c r="I995" s="20">
        <v>114.531046997956</v>
      </c>
      <c r="J995" s="20">
        <v>601.99243231445405</v>
      </c>
      <c r="K995" s="20">
        <v>7.6453038903935662</v>
      </c>
      <c r="L995" s="20">
        <f t="shared" si="36"/>
        <v>601.99122074382467</v>
      </c>
      <c r="M995" s="20">
        <f t="shared" si="37"/>
        <v>-7.6452885034771541</v>
      </c>
    </row>
    <row r="996" spans="1:13" x14ac:dyDescent="0.2">
      <c r="A996" s="23">
        <v>242.25</v>
      </c>
      <c r="B996" s="20">
        <v>601.35526692300095</v>
      </c>
      <c r="C996" s="20">
        <v>39.817307938531002</v>
      </c>
      <c r="D996" s="20">
        <v>342.96802638199102</v>
      </c>
      <c r="E996" s="20">
        <v>-0.25178534858079499</v>
      </c>
      <c r="F996" s="20">
        <v>-1.59775192944055</v>
      </c>
      <c r="G996" s="20">
        <v>1.61746934740383</v>
      </c>
      <c r="H996" s="20">
        <v>7.41031341960126E-3</v>
      </c>
      <c r="I996" s="20">
        <v>114.5990051447</v>
      </c>
      <c r="J996" s="20">
        <v>602.67324237931655</v>
      </c>
      <c r="K996" s="20">
        <v>7.6539501782173209</v>
      </c>
      <c r="L996" s="20">
        <f t="shared" si="36"/>
        <v>602.67202943848781</v>
      </c>
      <c r="M996" s="20">
        <f t="shared" si="37"/>
        <v>-7.6539347738994108</v>
      </c>
    </row>
    <row r="997" spans="1:13" x14ac:dyDescent="0.2">
      <c r="A997" s="23">
        <v>242.5</v>
      </c>
      <c r="B997" s="20">
        <v>602.03079731169203</v>
      </c>
      <c r="C997" s="20">
        <v>39.913071096084401</v>
      </c>
      <c r="D997" s="20">
        <v>342.94165276150898</v>
      </c>
      <c r="E997" s="20">
        <v>-0.25207854187307599</v>
      </c>
      <c r="F997" s="20">
        <v>-1.59669371914992</v>
      </c>
      <c r="G997" s="20">
        <v>1.6164697411475599</v>
      </c>
      <c r="H997" s="20">
        <v>7.4164164481859097E-3</v>
      </c>
      <c r="I997" s="20">
        <v>114.666965699466</v>
      </c>
      <c r="J997" s="20">
        <v>603.35362721333809</v>
      </c>
      <c r="K997" s="20">
        <v>7.6625910656093934</v>
      </c>
      <c r="L997" s="20">
        <f t="shared" si="36"/>
        <v>603.35241290316617</v>
      </c>
      <c r="M997" s="20">
        <f t="shared" si="37"/>
        <v>-7.662575643900861</v>
      </c>
    </row>
    <row r="998" spans="1:13" x14ac:dyDescent="0.2">
      <c r="A998" s="23">
        <v>242.75</v>
      </c>
      <c r="B998" s="20">
        <v>602.70589272813299</v>
      </c>
      <c r="C998" s="20">
        <v>40.008895963097501</v>
      </c>
      <c r="D998" s="20">
        <v>342.915275137241</v>
      </c>
      <c r="E998" s="20">
        <v>-0.25237129842567402</v>
      </c>
      <c r="F998" s="20">
        <v>-1.5956344514618801</v>
      </c>
      <c r="G998" s="20">
        <v>1.6154691501112399</v>
      </c>
      <c r="H998" s="20">
        <v>7.4225011946864403E-3</v>
      </c>
      <c r="I998" s="20">
        <v>114.734928193733</v>
      </c>
      <c r="J998" s="20">
        <v>604.0335864050968</v>
      </c>
      <c r="K998" s="20">
        <v>7.6712265473447294</v>
      </c>
      <c r="L998" s="20">
        <f t="shared" si="36"/>
        <v>604.03237072643856</v>
      </c>
      <c r="M998" s="20">
        <f t="shared" si="37"/>
        <v>-7.6712111082564549</v>
      </c>
    </row>
    <row r="999" spans="1:13" x14ac:dyDescent="0.2">
      <c r="A999" s="23">
        <v>243</v>
      </c>
      <c r="B999" s="20">
        <v>603.38055277192905</v>
      </c>
      <c r="C999" s="20">
        <v>40.104782252104002</v>
      </c>
      <c r="D999" s="20">
        <v>342.88889353334901</v>
      </c>
      <c r="E999" s="20">
        <v>-0.25266361708968899</v>
      </c>
      <c r="F999" s="20">
        <v>-1.5945741293232001</v>
      </c>
      <c r="G999" s="20">
        <v>1.61446757703823</v>
      </c>
      <c r="H999" s="20">
        <v>7.4285678078471499E-3</v>
      </c>
      <c r="I999" s="20">
        <v>114.80289216106399</v>
      </c>
      <c r="J999" s="20">
        <v>604.71311954436703</v>
      </c>
      <c r="K999" s="20">
        <v>7.6798566182134609</v>
      </c>
      <c r="L999" s="20">
        <f t="shared" si="36"/>
        <v>604.71190249808001</v>
      </c>
      <c r="M999" s="20">
        <f t="shared" si="37"/>
        <v>-7.679841161756336</v>
      </c>
    </row>
    <row r="1000" spans="1:13" x14ac:dyDescent="0.2">
      <c r="A1000" s="23">
        <v>243.25</v>
      </c>
      <c r="B1000" s="20">
        <v>604.05477704395003</v>
      </c>
      <c r="C1000" s="20">
        <v>40.200729675520499</v>
      </c>
      <c r="D1000" s="20">
        <v>342.86250797383099</v>
      </c>
      <c r="E1000" s="20">
        <v>-0.252955496712572</v>
      </c>
      <c r="F1000" s="20">
        <v>-1.59351275565632</v>
      </c>
      <c r="G1000" s="20">
        <v>1.6134650246461899</v>
      </c>
      <c r="H1000" s="20">
        <v>7.4346164357996904E-3</v>
      </c>
      <c r="I1000" s="20">
        <v>114.87085713710201</v>
      </c>
      <c r="J1000" s="20">
        <v>605.39222622211116</v>
      </c>
      <c r="K1000" s="20">
        <v>7.6884812730208125</v>
      </c>
      <c r="L1000" s="20">
        <f t="shared" si="36"/>
        <v>605.39100780905267</v>
      </c>
      <c r="M1000" s="20">
        <f t="shared" si="37"/>
        <v>-7.6884657992057219</v>
      </c>
    </row>
    <row r="1001" spans="1:13" x14ac:dyDescent="0.2">
      <c r="A1001" s="23">
        <v>243.5</v>
      </c>
      <c r="B1001" s="20">
        <v>604.72856514631803</v>
      </c>
      <c r="C1001" s="20">
        <v>40.296737945648502</v>
      </c>
      <c r="D1001" s="20">
        <v>342.836118482524</v>
      </c>
      <c r="E1001" s="20">
        <v>-0.25324693613814198</v>
      </c>
      <c r="F1001" s="20">
        <v>-1.5924503333595299</v>
      </c>
      <c r="G1001" s="20">
        <v>1.6124614956271801</v>
      </c>
      <c r="H1001" s="20">
        <v>7.44064722606496E-3</v>
      </c>
      <c r="I1001" s="20">
        <v>114.938822659563</v>
      </c>
      <c r="J1001" s="20">
        <v>606.07090603046481</v>
      </c>
      <c r="K1001" s="20">
        <v>7.6971005065869038</v>
      </c>
      <c r="L1001" s="20">
        <f t="shared" si="36"/>
        <v>606.06968625149443</v>
      </c>
      <c r="M1001" s="20">
        <f t="shared" si="37"/>
        <v>-7.6970850154247676</v>
      </c>
    </row>
    <row r="1002" spans="1:13" x14ac:dyDescent="0.2">
      <c r="A1002" s="23">
        <v>243.75</v>
      </c>
      <c r="B1002" s="20">
        <v>605.40191668239595</v>
      </c>
      <c r="C1002" s="20">
        <v>40.392806774677901</v>
      </c>
      <c r="D1002" s="20">
        <v>342.809725083101</v>
      </c>
      <c r="E1002" s="20">
        <v>-0.25353793420660697</v>
      </c>
      <c r="F1002" s="20">
        <v>-1.59138686530706</v>
      </c>
      <c r="G1002" s="20">
        <v>1.6114569926478199</v>
      </c>
      <c r="H1002" s="20">
        <v>7.44666032555514E-3</v>
      </c>
      <c r="I1002" s="20">
        <v>115.006788268233</v>
      </c>
      <c r="J1002" s="20">
        <v>606.74915856272912</v>
      </c>
      <c r="K1002" s="20">
        <v>7.7057143137466602</v>
      </c>
      <c r="L1002" s="20">
        <f t="shared" si="36"/>
        <v>606.74793741870701</v>
      </c>
      <c r="M1002" s="20">
        <f t="shared" si="37"/>
        <v>-7.7056988052484021</v>
      </c>
    </row>
    <row r="1003" spans="1:13" x14ac:dyDescent="0.2">
      <c r="A1003" s="23">
        <v>244</v>
      </c>
      <c r="B1003" s="20">
        <v>606.07483125677504</v>
      </c>
      <c r="C1003" s="20">
        <v>40.48893587469</v>
      </c>
      <c r="D1003" s="20">
        <v>342.78332779907203</v>
      </c>
      <c r="E1003" s="20">
        <v>-0.25382848975458799</v>
      </c>
      <c r="F1003" s="20">
        <v>-1.59032235434924</v>
      </c>
      <c r="G1003" s="20">
        <v>1.6104515183494399</v>
      </c>
      <c r="H1003" s="20">
        <v>7.4526558805754397E-3</v>
      </c>
      <c r="I1003" s="20">
        <v>115.074753504961</v>
      </c>
      <c r="J1003" s="20">
        <v>607.42698341335699</v>
      </c>
      <c r="K1003" s="20">
        <v>7.7143226893496344</v>
      </c>
      <c r="L1003" s="20">
        <f t="shared" si="36"/>
        <v>607.42576090514399</v>
      </c>
      <c r="M1003" s="20">
        <f t="shared" si="37"/>
        <v>-7.7143071635261862</v>
      </c>
    </row>
    <row r="1004" spans="1:13" x14ac:dyDescent="0.2">
      <c r="A1004" s="23">
        <v>244.25</v>
      </c>
      <c r="B1004" s="20">
        <v>606.747308475267</v>
      </c>
      <c r="C1004" s="20">
        <v>40.585124957659801</v>
      </c>
      <c r="D1004" s="20">
        <v>342.75692665378699</v>
      </c>
      <c r="E1004" s="20">
        <v>-0.254118601615135</v>
      </c>
      <c r="F1004" s="20">
        <v>-1.58925680331265</v>
      </c>
      <c r="G1004" s="20">
        <v>1.60944507534814</v>
      </c>
      <c r="H1004" s="20">
        <v>7.4586340368261997E-3</v>
      </c>
      <c r="I1004" s="20">
        <v>115.142717913653</v>
      </c>
      <c r="J1004" s="20">
        <v>608.10438017794502</v>
      </c>
      <c r="K1004" s="20">
        <v>7.7229256282599028</v>
      </c>
      <c r="L1004" s="20">
        <f t="shared" si="36"/>
        <v>608.10315630640309</v>
      </c>
      <c r="M1004" s="20">
        <f t="shared" si="37"/>
        <v>-7.7229100851222112</v>
      </c>
    </row>
    <row r="1005" spans="1:13" x14ac:dyDescent="0.2">
      <c r="A1005" s="23">
        <v>244.5</v>
      </c>
      <c r="B1005" s="20">
        <v>607.41934794488895</v>
      </c>
      <c r="C1005" s="20">
        <v>40.681373735459502</v>
      </c>
      <c r="D1005" s="20">
        <v>342.73052167043198</v>
      </c>
      <c r="E1005" s="20">
        <v>-0.25440826861774801</v>
      </c>
      <c r="F1005" s="20">
        <v>-1.5881902150002101</v>
      </c>
      <c r="G1005" s="20">
        <v>1.608437666235</v>
      </c>
      <c r="H1005" s="20">
        <v>7.4645949394045999E-3</v>
      </c>
      <c r="I1005" s="20">
        <v>115.21068104026899</v>
      </c>
      <c r="J1005" s="20">
        <v>608.78134845322165</v>
      </c>
      <c r="K1005" s="20">
        <v>7.731523125355916</v>
      </c>
      <c r="L1005" s="20">
        <f t="shared" si="36"/>
        <v>608.78012321921142</v>
      </c>
      <c r="M1005" s="20">
        <f t="shared" si="37"/>
        <v>-7.731507564914911</v>
      </c>
    </row>
    <row r="1006" spans="1:13" x14ac:dyDescent="0.2">
      <c r="A1006" s="23">
        <v>244.75</v>
      </c>
      <c r="B1006" s="20">
        <v>608.09094927385797</v>
      </c>
      <c r="C1006" s="20">
        <v>40.777681919860903</v>
      </c>
      <c r="D1006" s="20">
        <v>342.70411287202899</v>
      </c>
      <c r="E1006" s="20">
        <v>-0.25469748958840399</v>
      </c>
      <c r="F1006" s="20">
        <v>-1.5871225921913401</v>
      </c>
      <c r="G1006" s="20">
        <v>1.60742929357618</v>
      </c>
      <c r="H1006" s="20">
        <v>7.47053873280667E-3</v>
      </c>
      <c r="I1006" s="20">
        <v>115.278642432815</v>
      </c>
      <c r="J1006" s="20">
        <v>609.45788783703392</v>
      </c>
      <c r="K1006" s="20">
        <v>7.740115175530331</v>
      </c>
      <c r="L1006" s="20">
        <f t="shared" si="36"/>
        <v>609.45666124142008</v>
      </c>
      <c r="M1006" s="20">
        <f t="shared" si="37"/>
        <v>-7.7400995977969957</v>
      </c>
    </row>
    <row r="1007" spans="1:13" x14ac:dyDescent="0.2">
      <c r="A1007" s="23">
        <v>245</v>
      </c>
      <c r="B1007" s="20">
        <v>608.76211207157405</v>
      </c>
      <c r="C1007" s="20">
        <v>40.874049222538801</v>
      </c>
      <c r="D1007" s="20">
        <v>342.67770028144002</v>
      </c>
      <c r="E1007" s="20">
        <v>-0.25498626334957197</v>
      </c>
      <c r="F1007" s="20">
        <v>-1.5860539376420999</v>
      </c>
      <c r="G1007" s="20">
        <v>1.60641995991303</v>
      </c>
      <c r="H1007" s="20">
        <v>7.4764655609290903E-3</v>
      </c>
      <c r="I1007" s="20">
        <v>115.346601641341</v>
      </c>
      <c r="J1007" s="20">
        <v>610.13399792834093</v>
      </c>
      <c r="K1007" s="20">
        <v>7.7487017736899295</v>
      </c>
      <c r="L1007" s="20">
        <f t="shared" si="36"/>
        <v>610.1327699719875</v>
      </c>
      <c r="M1007" s="20">
        <f t="shared" si="37"/>
        <v>-7.7486861786752366</v>
      </c>
    </row>
    <row r="1008" spans="1:13" x14ac:dyDescent="0.2">
      <c r="A1008" s="23">
        <v>245.25</v>
      </c>
      <c r="B1008" s="20">
        <v>609.43283594861202</v>
      </c>
      <c r="C1008" s="20">
        <v>40.9704753550729</v>
      </c>
      <c r="D1008" s="20">
        <v>342.65128392136398</v>
      </c>
      <c r="E1008" s="20">
        <v>-0.25527458872023701</v>
      </c>
      <c r="F1008" s="20">
        <v>-1.5849842540852701</v>
      </c>
      <c r="G1008" s="20">
        <v>1.60540966776226</v>
      </c>
      <c r="H1008" s="20">
        <v>7.4823755670710502E-3</v>
      </c>
      <c r="I1008" s="20">
        <v>115.414558217936</v>
      </c>
      <c r="J1008" s="20">
        <v>610.80967832720023</v>
      </c>
      <c r="K1008" s="20">
        <v>7.7572829147554438</v>
      </c>
      <c r="L1008" s="20">
        <f t="shared" si="36"/>
        <v>610.80844901097146</v>
      </c>
      <c r="M1008" s="20">
        <f t="shared" si="37"/>
        <v>-7.7572673024703667</v>
      </c>
    </row>
    <row r="1009" spans="1:13" x14ac:dyDescent="0.2">
      <c r="A1009" s="23">
        <v>245.5</v>
      </c>
      <c r="B1009" s="20">
        <v>610.10312051671394</v>
      </c>
      <c r="C1009" s="20">
        <v>41.066960028951499</v>
      </c>
      <c r="D1009" s="20">
        <v>342.62486381433803</v>
      </c>
      <c r="E1009" s="20">
        <v>-0.25556246451592302</v>
      </c>
      <c r="F1009" s="20">
        <v>-1.5839135442305601</v>
      </c>
      <c r="G1009" s="20">
        <v>1.6043984196160499</v>
      </c>
      <c r="H1009" s="20">
        <v>7.4882688939361102E-3</v>
      </c>
      <c r="I1009" s="20">
        <v>115.48251171672</v>
      </c>
      <c r="J1009" s="20">
        <v>611.48492863475963</v>
      </c>
      <c r="K1009" s="20">
        <v>7.7658585936614486</v>
      </c>
      <c r="L1009" s="20">
        <f t="shared" si="36"/>
        <v>611.48369795952158</v>
      </c>
      <c r="M1009" s="20">
        <f t="shared" si="37"/>
        <v>-7.7658429641169882</v>
      </c>
    </row>
    <row r="1010" spans="1:13" x14ac:dyDescent="0.2">
      <c r="A1010" s="23">
        <v>245.75</v>
      </c>
      <c r="B1010" s="20">
        <v>610.77296538877101</v>
      </c>
      <c r="C1010" s="20">
        <v>41.163502955573698</v>
      </c>
      <c r="D1010" s="20">
        <v>342.59843998273499</v>
      </c>
      <c r="E1010" s="20">
        <v>-0.25584988954871102</v>
      </c>
      <c r="F1010" s="20">
        <v>-1.58284181076467</v>
      </c>
      <c r="G1010" s="20">
        <v>1.6033862179421601</v>
      </c>
      <c r="H1010" s="20">
        <v>7.49414568363396E-3</v>
      </c>
      <c r="I1010" s="20">
        <v>115.550461693846</v>
      </c>
      <c r="J1010" s="20">
        <v>612.15974845324263</v>
      </c>
      <c r="K1010" s="20">
        <v>7.7744288053561821</v>
      </c>
      <c r="L1010" s="20">
        <f t="shared" si="36"/>
        <v>612.15851641986194</v>
      </c>
      <c r="M1010" s="20">
        <f t="shared" si="37"/>
        <v>-7.7744131585633438</v>
      </c>
    </row>
    <row r="1011" spans="1:13" x14ac:dyDescent="0.2">
      <c r="A1011" s="23">
        <v>246</v>
      </c>
      <c r="B1011" s="20">
        <v>611.44237017881903</v>
      </c>
      <c r="C1011" s="20">
        <v>41.260103846252498</v>
      </c>
      <c r="D1011" s="20">
        <v>342.57201244876802</v>
      </c>
      <c r="E1011" s="20">
        <v>-0.25613686262726698</v>
      </c>
      <c r="F1011" s="20">
        <v>-1.5817690563514399</v>
      </c>
      <c r="G1011" s="20">
        <v>1.60237306518409</v>
      </c>
      <c r="H1011" s="20">
        <v>7.5000060776822001E-3</v>
      </c>
      <c r="I1011" s="20">
        <v>115.618407707489</v>
      </c>
      <c r="J1011" s="20">
        <v>612.83413738594379</v>
      </c>
      <c r="K1011" s="20">
        <v>7.7829935448014869</v>
      </c>
      <c r="L1011" s="20">
        <f t="shared" si="36"/>
        <v>612.83290399528607</v>
      </c>
      <c r="M1011" s="20">
        <f t="shared" si="37"/>
        <v>-7.7829778807712646</v>
      </c>
    </row>
    <row r="1012" spans="1:13" x14ac:dyDescent="0.2">
      <c r="A1012" s="23">
        <v>246.25</v>
      </c>
      <c r="B1012" s="20">
        <v>612.11133450202794</v>
      </c>
      <c r="C1012" s="20">
        <v>41.356762412217101</v>
      </c>
      <c r="D1012" s="20">
        <v>342.54558123448697</v>
      </c>
      <c r="E1012" s="20">
        <v>-0.25642338255685698</v>
      </c>
      <c r="F1012" s="20">
        <v>-1.5806952836320001</v>
      </c>
      <c r="G1012" s="20">
        <v>1.6013589637612</v>
      </c>
      <c r="H1012" s="20">
        <v>7.5058502170082201E-3</v>
      </c>
      <c r="I1012" s="20">
        <v>115.686349317848</v>
      </c>
      <c r="J1012" s="20">
        <v>613.508095037212</v>
      </c>
      <c r="K1012" s="20">
        <v>7.791552806972593</v>
      </c>
      <c r="L1012" s="20">
        <f t="shared" si="36"/>
        <v>613.50686029014707</v>
      </c>
      <c r="M1012" s="20">
        <f t="shared" si="37"/>
        <v>-7.7915371257160349</v>
      </c>
    </row>
    <row r="1013" spans="1:13" x14ac:dyDescent="0.2">
      <c r="A1013" s="23">
        <v>246.5</v>
      </c>
      <c r="B1013" s="20">
        <v>612.779857974685</v>
      </c>
      <c r="C1013" s="20">
        <v>41.453478364616103</v>
      </c>
      <c r="D1013" s="20">
        <v>342.51914636177901</v>
      </c>
      <c r="E1013" s="20">
        <v>-0.25670944813937602</v>
      </c>
      <c r="F1013" s="20">
        <v>-1.57962049522488</v>
      </c>
      <c r="G1013" s="20">
        <v>1.60034391606883</v>
      </c>
      <c r="H1013" s="20">
        <v>7.5116782419508699E-3</v>
      </c>
      <c r="I1013" s="20">
        <v>115.754286087137</v>
      </c>
      <c r="J1013" s="20">
        <v>614.18162101244525</v>
      </c>
      <c r="K1013" s="20">
        <v>7.800106586858055</v>
      </c>
      <c r="L1013" s="20">
        <f t="shared" si="36"/>
        <v>614.18038490984134</v>
      </c>
      <c r="M1013" s="20">
        <f t="shared" si="37"/>
        <v>-7.800090888386185</v>
      </c>
    </row>
    <row r="1014" spans="1:13" x14ac:dyDescent="0.2">
      <c r="A1014" s="23">
        <v>246.75</v>
      </c>
      <c r="B1014" s="20">
        <v>613.44794021419102</v>
      </c>
      <c r="C1014" s="20">
        <v>41.550251414519799</v>
      </c>
      <c r="D1014" s="20">
        <v>342.49270785237002</v>
      </c>
      <c r="E1014" s="20">
        <v>-0.25699505817336599</v>
      </c>
      <c r="F1014" s="20">
        <v>-1.5785446937261201</v>
      </c>
      <c r="G1014" s="20">
        <v>1.59932792447842</v>
      </c>
      <c r="H1014" s="20">
        <v>7.5174902922622699E-3</v>
      </c>
      <c r="I1014" s="20">
        <v>115.822217579586</v>
      </c>
      <c r="J1014" s="20">
        <v>614.85471491807755</v>
      </c>
      <c r="K1014" s="20">
        <v>7.8086548794595849</v>
      </c>
      <c r="L1014" s="20">
        <f t="shared" si="36"/>
        <v>614.85347746080402</v>
      </c>
      <c r="M1014" s="20">
        <f t="shared" si="37"/>
        <v>-7.8086391637834458</v>
      </c>
    </row>
    <row r="1015" spans="1:13" x14ac:dyDescent="0.2">
      <c r="A1015" s="23">
        <v>247</v>
      </c>
      <c r="B1015" s="20">
        <v>614.11558083904595</v>
      </c>
      <c r="C1015" s="20">
        <v>41.647081272923103</v>
      </c>
      <c r="D1015" s="20">
        <v>342.46626572782299</v>
      </c>
      <c r="E1015" s="20">
        <v>-0.25728021145404301</v>
      </c>
      <c r="F1015" s="20">
        <v>-1.5774678817094401</v>
      </c>
      <c r="G1015" s="20">
        <v>1.5983109913376401</v>
      </c>
      <c r="H1015" s="20">
        <v>7.5232865071093403E-3</v>
      </c>
      <c r="I1015" s="20">
        <v>115.890143361432</v>
      </c>
      <c r="J1015" s="20">
        <v>615.5273763615686</v>
      </c>
      <c r="K1015" s="20">
        <v>7.8171976797919225</v>
      </c>
      <c r="L1015" s="20">
        <f t="shared" si="36"/>
        <v>615.52613755049606</v>
      </c>
      <c r="M1015" s="20">
        <f t="shared" si="37"/>
        <v>-7.8171819469225685</v>
      </c>
    </row>
    <row r="1016" spans="1:13" x14ac:dyDescent="0.2">
      <c r="A1016" s="23">
        <v>247.25</v>
      </c>
      <c r="B1016" s="20">
        <v>614.782779468841</v>
      </c>
      <c r="C1016" s="20">
        <v>41.743967650747898</v>
      </c>
      <c r="D1016" s="20">
        <v>342.43982000954099</v>
      </c>
      <c r="E1016" s="20">
        <v>-0.25756490677331501</v>
      </c>
      <c r="F1016" s="20">
        <v>-1.57639006172633</v>
      </c>
      <c r="G1016" s="20">
        <v>1.5972931189705599</v>
      </c>
      <c r="H1016" s="20">
        <v>7.5290670250758003E-3</v>
      </c>
      <c r="I1016" s="20">
        <v>115.958063000923</v>
      </c>
      <c r="J1016" s="20">
        <v>616.19960495139651</v>
      </c>
      <c r="K1016" s="20">
        <v>7.8257349828827358</v>
      </c>
      <c r="L1016" s="20">
        <f t="shared" si="36"/>
        <v>616.19836478739558</v>
      </c>
      <c r="M1016" s="20">
        <f t="shared" si="37"/>
        <v>-7.8257192328312266</v>
      </c>
    </row>
    <row r="1017" spans="1:13" x14ac:dyDescent="0.2">
      <c r="A1017" s="23">
        <v>247.5</v>
      </c>
      <c r="B1017" s="20">
        <v>615.44953572424504</v>
      </c>
      <c r="C1017" s="20">
        <v>41.840910258846201</v>
      </c>
      <c r="D1017" s="20">
        <v>342.41337071876302</v>
      </c>
      <c r="E1017" s="20">
        <v>-0.25784914291980998</v>
      </c>
      <c r="F1017" s="20">
        <v>-1.5753112363061701</v>
      </c>
      <c r="G1017" s="20">
        <v>1.5962743096776799</v>
      </c>
      <c r="H1017" s="20">
        <v>7.5348319841635203E-3</v>
      </c>
      <c r="I1017" s="20">
        <v>116.025976068307</v>
      </c>
      <c r="J1017" s="20">
        <v>616.8714002970421</v>
      </c>
      <c r="K1017" s="20">
        <v>7.8342667837724349</v>
      </c>
      <c r="L1017" s="20">
        <f t="shared" si="36"/>
        <v>616.87015878098498</v>
      </c>
      <c r="M1017" s="20">
        <f t="shared" si="37"/>
        <v>-7.8342510165498469</v>
      </c>
    </row>
    <row r="1018" spans="1:13" x14ac:dyDescent="0.2">
      <c r="A1018" s="23">
        <v>247.75</v>
      </c>
      <c r="B1018" s="20">
        <v>616.11584922699899</v>
      </c>
      <c r="C1018" s="20">
        <v>41.9379088080019</v>
      </c>
      <c r="D1018" s="20">
        <v>342.38691787656501</v>
      </c>
      <c r="E1018" s="20">
        <v>-0.25813291867889598</v>
      </c>
      <c r="F1018" s="20">
        <v>-1.5742314079564099</v>
      </c>
      <c r="G1018" s="20">
        <v>1.5952545657361701</v>
      </c>
      <c r="H1018" s="20">
        <v>7.5405815217944403E-3</v>
      </c>
      <c r="I1018" s="20">
        <v>116.093882135835</v>
      </c>
      <c r="J1018" s="20">
        <v>617.5427620089846</v>
      </c>
      <c r="K1018" s="20">
        <v>7.8427930775141039</v>
      </c>
      <c r="L1018" s="20">
        <f t="shared" si="36"/>
        <v>617.5415191417452</v>
      </c>
      <c r="M1018" s="20">
        <f t="shared" si="37"/>
        <v>-7.8427772931315349</v>
      </c>
    </row>
    <row r="1019" spans="1:13" x14ac:dyDescent="0.2">
      <c r="A1019" s="23">
        <v>248</v>
      </c>
      <c r="B1019" s="20">
        <v>616.78171959989902</v>
      </c>
      <c r="C1019" s="20">
        <v>42.034963008934298</v>
      </c>
      <c r="D1019" s="20">
        <v>342.36046150386602</v>
      </c>
      <c r="E1019" s="20">
        <v>-0.25841623283270898</v>
      </c>
      <c r="F1019" s="20">
        <v>-1.5731505791626099</v>
      </c>
      <c r="G1019" s="20">
        <v>1.59423388939989</v>
      </c>
      <c r="H1019" s="20">
        <v>7.5463157748119703E-3</v>
      </c>
      <c r="I1019" s="20">
        <v>116.16178077775299</v>
      </c>
      <c r="J1019" s="20">
        <v>618.21368969868945</v>
      </c>
      <c r="K1019" s="20">
        <v>7.8513138591733558</v>
      </c>
      <c r="L1019" s="20">
        <f t="shared" si="36"/>
        <v>618.21244548113953</v>
      </c>
      <c r="M1019" s="20">
        <f t="shared" si="37"/>
        <v>-7.8512980576418769</v>
      </c>
    </row>
    <row r="1020" spans="1:13" x14ac:dyDescent="0.2">
      <c r="A1020" s="23">
        <v>248.25</v>
      </c>
      <c r="B1020" s="20">
        <v>617.44714646679301</v>
      </c>
      <c r="C1020" s="20">
        <v>42.132072572299997</v>
      </c>
      <c r="D1020" s="20">
        <v>342.33400162141601</v>
      </c>
      <c r="E1020" s="20">
        <v>-0.25869908416017101</v>
      </c>
      <c r="F1020" s="20">
        <v>-1.5720687523886501</v>
      </c>
      <c r="G1020" s="20">
        <v>1.59321228289959</v>
      </c>
      <c r="H1020" s="20">
        <v>7.5520348794827401E-3</v>
      </c>
      <c r="I1020" s="20">
        <v>116.229671570306</v>
      </c>
      <c r="J1020" s="20">
        <v>618.88418297859539</v>
      </c>
      <c r="K1020" s="20">
        <v>7.8598291238281615</v>
      </c>
      <c r="L1020" s="20">
        <f t="shared" si="36"/>
        <v>618.8829374116101</v>
      </c>
      <c r="M1020" s="20">
        <f t="shared" si="37"/>
        <v>-7.8598133051588874</v>
      </c>
    </row>
    <row r="1021" spans="1:13" x14ac:dyDescent="0.2">
      <c r="A1021" s="23">
        <v>248.5</v>
      </c>
      <c r="B1021" s="20">
        <v>618.11212945256705</v>
      </c>
      <c r="C1021" s="20">
        <v>42.229237208695601</v>
      </c>
      <c r="D1021" s="20">
        <v>342.30753824981002</v>
      </c>
      <c r="E1021" s="20">
        <v>-0.258981471437018</v>
      </c>
      <c r="F1021" s="20">
        <v>-1.5709859300768001</v>
      </c>
      <c r="G1021" s="20">
        <v>1.5921897484429901</v>
      </c>
      <c r="H1021" s="20">
        <v>7.5577389714980899E-3</v>
      </c>
      <c r="I1021" s="20">
        <v>116.29755409172699</v>
      </c>
      <c r="J1021" s="20">
        <v>619.55424146211055</v>
      </c>
      <c r="K1021" s="20">
        <v>7.8683388665688039</v>
      </c>
      <c r="L1021" s="20">
        <f t="shared" si="36"/>
        <v>619.55299454656438</v>
      </c>
      <c r="M1021" s="20">
        <f t="shared" si="37"/>
        <v>-7.8683230307728405</v>
      </c>
    </row>
    <row r="1022" spans="1:13" x14ac:dyDescent="0.2">
      <c r="A1022" s="23">
        <v>248.75</v>
      </c>
      <c r="B1022" s="20">
        <v>618.77666818313503</v>
      </c>
      <c r="C1022" s="20">
        <v>42.326456628660402</v>
      </c>
      <c r="D1022" s="20">
        <v>342.28107140947702</v>
      </c>
      <c r="E1022" s="20">
        <v>-0.259263393435824</v>
      </c>
      <c r="F1022" s="20">
        <v>-1.56990211464785</v>
      </c>
      <c r="G1022" s="20">
        <v>1.59116628821492</v>
      </c>
      <c r="H1022" s="20">
        <v>7.5634281859756599E-3</v>
      </c>
      <c r="I1022" s="20">
        <v>116.365427922244</v>
      </c>
      <c r="J1022" s="20">
        <v>620.22386476359543</v>
      </c>
      <c r="K1022" s="20">
        <v>7.876843082497663</v>
      </c>
      <c r="L1022" s="20">
        <f t="shared" si="36"/>
        <v>620.22261650036546</v>
      </c>
      <c r="M1022" s="20">
        <f t="shared" si="37"/>
        <v>-7.8768272295861488</v>
      </c>
    </row>
    <row r="1023" spans="1:13" x14ac:dyDescent="0.2">
      <c r="A1023" s="23">
        <v>249</v>
      </c>
      <c r="B1023" s="20">
        <v>619.44076228542804</v>
      </c>
      <c r="C1023" s="20">
        <v>42.423730542678697</v>
      </c>
      <c r="D1023" s="20">
        <v>342.25460112068498</v>
      </c>
      <c r="E1023" s="20">
        <v>-0.25954484892602497</v>
      </c>
      <c r="F1023" s="20">
        <v>-1.56881730850124</v>
      </c>
      <c r="G1023" s="20">
        <v>1.5901419043774401</v>
      </c>
      <c r="H1023" s="20">
        <v>7.5691026574609003E-3</v>
      </c>
      <c r="I1023" s="20">
        <v>116.43329264406999</v>
      </c>
      <c r="J1023" s="20">
        <v>620.89305249836036</v>
      </c>
      <c r="K1023" s="20">
        <v>7.8853417667291774</v>
      </c>
      <c r="L1023" s="20">
        <f t="shared" si="36"/>
        <v>620.89180288832131</v>
      </c>
      <c r="M1023" s="20">
        <f t="shared" si="37"/>
        <v>-7.8853258967132218</v>
      </c>
    </row>
    <row r="1024" spans="1:13" x14ac:dyDescent="0.2">
      <c r="A1024" s="23">
        <v>249.25</v>
      </c>
      <c r="B1024" s="20">
        <v>620.10441138738895</v>
      </c>
      <c r="C1024" s="20">
        <v>42.521058661182401</v>
      </c>
      <c r="D1024" s="20">
        <v>342.22812740354101</v>
      </c>
      <c r="E1024" s="20">
        <v>-0.25982583667394199</v>
      </c>
      <c r="F1024" s="20">
        <v>-1.5677315140151999</v>
      </c>
      <c r="G1024" s="20">
        <v>1.58911659906997</v>
      </c>
      <c r="H1024" s="20">
        <v>7.57476251992854E-3</v>
      </c>
      <c r="I1024" s="20">
        <v>116.501147841405</v>
      </c>
      <c r="J1024" s="20">
        <v>621.5618042826485</v>
      </c>
      <c r="K1024" s="20">
        <v>7.893834914389636</v>
      </c>
      <c r="L1024" s="20">
        <f t="shared" si="36"/>
        <v>621.56055332667938</v>
      </c>
      <c r="M1024" s="20">
        <f t="shared" si="37"/>
        <v>-7.8938190272804034</v>
      </c>
    </row>
    <row r="1025" spans="1:13" x14ac:dyDescent="0.2">
      <c r="A1025" s="23">
        <v>249.5</v>
      </c>
      <c r="B1025" s="20">
        <v>620.76761511795598</v>
      </c>
      <c r="C1025" s="20">
        <v>42.6184406945533</v>
      </c>
      <c r="D1025" s="20">
        <v>342.20165027798902</v>
      </c>
      <c r="E1025" s="20">
        <v>-0.26010635544281002</v>
      </c>
      <c r="F1025" s="20">
        <v>-1.5666447335468401</v>
      </c>
      <c r="G1025" s="20">
        <v>1.5880903744093999</v>
      </c>
      <c r="H1025" s="20">
        <v>7.5804079067840697E-3</v>
      </c>
      <c r="I1025" s="20">
        <v>116.568993100432</v>
      </c>
      <c r="J1025" s="20">
        <v>622.23011973363305</v>
      </c>
      <c r="K1025" s="20">
        <v>7.9023225206171404</v>
      </c>
      <c r="L1025" s="20">
        <f t="shared" si="36"/>
        <v>622.22886743261108</v>
      </c>
      <c r="M1025" s="20">
        <f t="shared" si="37"/>
        <v>-7.9023066164257711</v>
      </c>
    </row>
    <row r="1026" spans="1:13" x14ac:dyDescent="0.2">
      <c r="A1026" s="23">
        <v>249.75</v>
      </c>
      <c r="B1026" s="20">
        <v>621.43037310705699</v>
      </c>
      <c r="C1026" s="20">
        <v>42.715876353125701</v>
      </c>
      <c r="D1026" s="20">
        <v>342.17516976381398</v>
      </c>
      <c r="E1026" s="20">
        <v>-0.2603864039928</v>
      </c>
      <c r="F1026" s="20">
        <v>-1.56555696943227</v>
      </c>
      <c r="G1026" s="20">
        <v>1.5870632324902001</v>
      </c>
      <c r="H1026" s="20">
        <v>7.5860389508651599E-3</v>
      </c>
      <c r="I1026" s="20">
        <v>116.63682800932</v>
      </c>
      <c r="J1026" s="20">
        <v>622.89799846940082</v>
      </c>
      <c r="K1026" s="20">
        <v>7.9108045805613907</v>
      </c>
      <c r="L1026" s="20">
        <f t="shared" si="36"/>
        <v>622.8967448242056</v>
      </c>
      <c r="M1026" s="20">
        <f t="shared" si="37"/>
        <v>-7.9107886592990546</v>
      </c>
    </row>
    <row r="1027" spans="1:13" x14ac:dyDescent="0.2">
      <c r="A1027" s="23">
        <v>250</v>
      </c>
      <c r="B1027" s="20">
        <v>622.09268498559902</v>
      </c>
      <c r="C1027" s="20">
        <v>42.8133653471888</v>
      </c>
      <c r="D1027" s="20">
        <v>342.14868588063501</v>
      </c>
      <c r="E1027" s="20">
        <v>-0.260665981081043</v>
      </c>
      <c r="F1027" s="20">
        <v>-1.56446822398676</v>
      </c>
      <c r="G1027" s="20">
        <v>1.58603517538459</v>
      </c>
      <c r="H1027" s="20">
        <v>7.5916557844430696E-3</v>
      </c>
      <c r="I1027" s="20">
        <v>116.70465215821601</v>
      </c>
      <c r="J1027" s="20">
        <v>623.56544010894902</v>
      </c>
      <c r="K1027" s="20">
        <v>7.9192810893836532</v>
      </c>
      <c r="L1027" s="20">
        <f t="shared" si="36"/>
        <v>623.56418512046025</v>
      </c>
      <c r="M1027" s="20">
        <f t="shared" si="37"/>
        <v>-7.9192651510615217</v>
      </c>
    </row>
    <row r="1028" spans="1:13" x14ac:dyDescent="0.2">
      <c r="A1028" s="23">
        <v>250.25</v>
      </c>
      <c r="B1028" s="20">
        <v>622.75455038545795</v>
      </c>
      <c r="C1028" s="20">
        <v>42.910907386988796</v>
      </c>
      <c r="D1028" s="20">
        <v>342.12219864791399</v>
      </c>
      <c r="E1028" s="20">
        <v>-0.26094508546166101</v>
      </c>
      <c r="F1028" s="20">
        <v>-1.5633784995048301</v>
      </c>
      <c r="G1028" s="20">
        <v>1.5850062051425999</v>
      </c>
      <c r="H1028" s="20">
        <v>7.5972585392240204E-3</v>
      </c>
      <c r="I1028" s="20">
        <v>116.77246513925</v>
      </c>
      <c r="J1028" s="20">
        <v>624.23244427217116</v>
      </c>
      <c r="K1028" s="20">
        <v>7.9277520422565733</v>
      </c>
      <c r="L1028" s="20">
        <f t="shared" si="36"/>
        <v>624.23118794126958</v>
      </c>
      <c r="M1028" s="20">
        <f t="shared" si="37"/>
        <v>-7.9277360868858349</v>
      </c>
    </row>
    <row r="1029" spans="1:13" x14ac:dyDescent="0.2">
      <c r="A1029" s="23">
        <v>250.5</v>
      </c>
      <c r="B1029" s="20">
        <v>623.41596893946701</v>
      </c>
      <c r="C1029" s="20">
        <v>43.008502182731803</v>
      </c>
      <c r="D1029" s="20">
        <v>342.095708084948</v>
      </c>
      <c r="E1029" s="20">
        <v>-0.26122371588578802</v>
      </c>
      <c r="F1029" s="20">
        <v>-1.56228779826035</v>
      </c>
      <c r="G1029" s="20">
        <v>1.58397632379223</v>
      </c>
      <c r="H1029" s="20">
        <v>7.60284734635059E-3</v>
      </c>
      <c r="I1029" s="20">
        <v>116.840266546527</v>
      </c>
      <c r="J1029" s="20">
        <v>624.89901057984923</v>
      </c>
      <c r="K1029" s="20">
        <v>7.9362174343640861</v>
      </c>
      <c r="L1029" s="20">
        <f t="shared" si="36"/>
        <v>624.89775290741488</v>
      </c>
      <c r="M1029" s="20">
        <f t="shared" si="37"/>
        <v>-7.9362014619559131</v>
      </c>
    </row>
    <row r="1030" spans="1:13" x14ac:dyDescent="0.2">
      <c r="A1030" s="23">
        <v>250.75</v>
      </c>
      <c r="B1030" s="20">
        <v>624.07694028141202</v>
      </c>
      <c r="C1030" s="20">
        <v>43.106149444585803</v>
      </c>
      <c r="D1030" s="20">
        <v>342.06921421087299</v>
      </c>
      <c r="E1030" s="20">
        <v>-0.261501871101598</v>
      </c>
      <c r="F1030" s="20">
        <v>-1.5611961225067199</v>
      </c>
      <c r="G1030" s="20">
        <v>1.5829455333395599</v>
      </c>
      <c r="H1030" s="20">
        <v>7.6084223364028597E-3</v>
      </c>
      <c r="I1030" s="20">
        <v>116.908055976135</v>
      </c>
      <c r="J1030" s="20">
        <v>625.56513865364343</v>
      </c>
      <c r="K1030" s="20">
        <v>7.9446772609012717</v>
      </c>
      <c r="L1030" s="20">
        <f t="shared" si="36"/>
        <v>625.56387964055921</v>
      </c>
      <c r="M1030" s="20">
        <f t="shared" si="37"/>
        <v>-7.9446612714668809</v>
      </c>
    </row>
    <row r="1031" spans="1:13" x14ac:dyDescent="0.2">
      <c r="A1031" s="23">
        <v>251</v>
      </c>
      <c r="B1031" s="20">
        <v>624.73746404601604</v>
      </c>
      <c r="C1031" s="20">
        <v>43.203848882682799</v>
      </c>
      <c r="D1031" s="20">
        <v>342.04271704466498</v>
      </c>
      <c r="E1031" s="20">
        <v>-0.26177954985433199</v>
      </c>
      <c r="F1031" s="20">
        <v>-1.56010347447694</v>
      </c>
      <c r="G1031" s="20">
        <v>1.58191383576886</v>
      </c>
      <c r="H1031" s="20">
        <v>7.6139836393998902E-3</v>
      </c>
      <c r="I1031" s="20">
        <v>116.97583302613501</v>
      </c>
      <c r="J1031" s="20">
        <v>626.23082811608333</v>
      </c>
      <c r="K1031" s="20">
        <v>7.9531315170742589</v>
      </c>
      <c r="L1031" s="20">
        <f t="shared" si="36"/>
        <v>626.22956776323235</v>
      </c>
      <c r="M1031" s="20">
        <f t="shared" si="37"/>
        <v>-7.9531155106248637</v>
      </c>
    </row>
    <row r="1032" spans="1:13" x14ac:dyDescent="0.2">
      <c r="A1032" s="23">
        <v>251.25</v>
      </c>
      <c r="B1032" s="20">
        <v>625.39753986893197</v>
      </c>
      <c r="C1032" s="20">
        <v>43.301600207121702</v>
      </c>
      <c r="D1032" s="20">
        <v>342.01621660513803</v>
      </c>
      <c r="E1032" s="20">
        <v>-0.26205675088632202</v>
      </c>
      <c r="F1032" s="20">
        <v>-1.55900985638372</v>
      </c>
      <c r="G1032" s="20">
        <v>1.58088123304272</v>
      </c>
      <c r="H1032" s="20">
        <v>7.6195313848008003E-3</v>
      </c>
      <c r="I1032" s="20">
        <v>117.043597296568</v>
      </c>
      <c r="J1032" s="20">
        <v>626.89607859055968</v>
      </c>
      <c r="K1032" s="20">
        <v>7.9615801981001084</v>
      </c>
      <c r="L1032" s="20">
        <f t="shared" si="36"/>
        <v>626.89481689882382</v>
      </c>
      <c r="M1032" s="20">
        <f t="shared" si="37"/>
        <v>-7.9615641746469095</v>
      </c>
    </row>
    <row r="1033" spans="1:13" x14ac:dyDescent="0.2">
      <c r="A1033" s="23">
        <v>251.5</v>
      </c>
      <c r="B1033" s="20">
        <v>626.05716738673698</v>
      </c>
      <c r="C1033" s="20">
        <v>43.399403127970203</v>
      </c>
      <c r="D1033" s="20">
        <v>341.98971291094199</v>
      </c>
      <c r="E1033" s="20">
        <v>-0.26233347293702097</v>
      </c>
      <c r="F1033" s="20">
        <v>-1.55791527041964</v>
      </c>
      <c r="G1033" s="20">
        <v>1.57984772710217</v>
      </c>
      <c r="H1033" s="20">
        <v>7.62506570150612E-3</v>
      </c>
      <c r="I1033" s="20">
        <v>117.111348389451</v>
      </c>
      <c r="J1033" s="20">
        <v>627.56088970131179</v>
      </c>
      <c r="K1033" s="20">
        <v>7.9700232992066606</v>
      </c>
      <c r="L1033" s="20">
        <f t="shared" si="36"/>
        <v>627.55962667157678</v>
      </c>
      <c r="M1033" s="20">
        <f t="shared" si="37"/>
        <v>-7.9700072587609059</v>
      </c>
    </row>
    <row r="1034" spans="1:13" x14ac:dyDescent="0.2">
      <c r="A1034" s="23">
        <v>251.75</v>
      </c>
      <c r="B1034" s="20">
        <v>626.71634623691602</v>
      </c>
      <c r="C1034" s="20">
        <v>43.497257355267003</v>
      </c>
      <c r="D1034" s="20">
        <v>341.963205980569</v>
      </c>
      <c r="E1034" s="20">
        <v>-0.26260971474302802</v>
      </c>
      <c r="F1034" s="20">
        <v>-1.5568197187572499</v>
      </c>
      <c r="G1034" s="20">
        <v>1.5788133198668</v>
      </c>
      <c r="H1034" s="20">
        <v>7.6305867178587802E-3</v>
      </c>
      <c r="I1034" s="20">
        <v>117.179085908777</v>
      </c>
      <c r="J1034" s="20">
        <v>628.22526107342219</v>
      </c>
      <c r="K1034" s="20">
        <v>7.978460815632463</v>
      </c>
      <c r="L1034" s="20">
        <f t="shared" si="36"/>
        <v>628.22399670657308</v>
      </c>
      <c r="M1034" s="20">
        <f t="shared" si="37"/>
        <v>-7.9784447582053915</v>
      </c>
    </row>
    <row r="1035" spans="1:13" x14ac:dyDescent="0.2">
      <c r="A1035" s="23">
        <v>252</v>
      </c>
      <c r="B1035" s="20">
        <v>627.37507605785595</v>
      </c>
      <c r="C1035" s="20">
        <v>43.595162599024398</v>
      </c>
      <c r="D1035" s="20">
        <v>341.93669583234703</v>
      </c>
      <c r="E1035" s="20">
        <v>-0.26288547503811599</v>
      </c>
      <c r="F1035" s="20">
        <v>-1.5557232035491699</v>
      </c>
      <c r="G1035" s="20">
        <v>1.57777801323485</v>
      </c>
      <c r="H1035" s="20">
        <v>7.6360945616453998E-3</v>
      </c>
      <c r="I1035" s="20">
        <v>117.246809460515</v>
      </c>
      <c r="J1035" s="20">
        <v>628.88919233280467</v>
      </c>
      <c r="K1035" s="20">
        <v>7.9868927426266199</v>
      </c>
      <c r="L1035" s="20">
        <f t="shared" si="36"/>
        <v>628.88792662972617</v>
      </c>
      <c r="M1035" s="20">
        <f t="shared" si="37"/>
        <v>-7.9868766682294705</v>
      </c>
    </row>
    <row r="1036" spans="1:13" x14ac:dyDescent="0.2">
      <c r="A1036" s="23">
        <v>252.25</v>
      </c>
      <c r="B1036" s="20">
        <v>628.03335648883797</v>
      </c>
      <c r="C1036" s="20">
        <v>43.693118569230101</v>
      </c>
      <c r="D1036" s="20">
        <v>341.910182484443</v>
      </c>
      <c r="E1036" s="20">
        <v>-0.26316075255325799</v>
      </c>
      <c r="F1036" s="20">
        <v>-1.55462572692824</v>
      </c>
      <c r="G1036" s="20">
        <v>1.57674180908338</v>
      </c>
      <c r="H1036" s="20">
        <v>7.6415893600973797E-3</v>
      </c>
      <c r="I1036" s="20">
        <v>117.314518652613</v>
      </c>
      <c r="J1036" s="20">
        <v>629.5526831061959</v>
      </c>
      <c r="K1036" s="20">
        <v>7.9953190754486885</v>
      </c>
      <c r="L1036" s="20">
        <f t="shared" si="36"/>
        <v>629.55141606777488</v>
      </c>
      <c r="M1036" s="20">
        <f t="shared" si="37"/>
        <v>-7.9953029840927226</v>
      </c>
    </row>
    <row r="1037" spans="1:13" x14ac:dyDescent="0.2">
      <c r="A1037" s="23">
        <v>252.5</v>
      </c>
      <c r="B1037" s="20">
        <v>628.69118717002505</v>
      </c>
      <c r="C1037" s="20">
        <v>43.791124975849797</v>
      </c>
      <c r="D1037" s="20">
        <v>341.88366595486298</v>
      </c>
      <c r="E1037" s="20">
        <v>-0.26343554601666003</v>
      </c>
      <c r="F1037" s="20">
        <v>-1.5535272910075899</v>
      </c>
      <c r="G1037" s="20">
        <v>1.57570470926835</v>
      </c>
      <c r="H1037" s="20">
        <v>7.6470712398919198E-3</v>
      </c>
      <c r="I1037" s="20">
        <v>117.382213094995</v>
      </c>
      <c r="J1037" s="20">
        <v>630.21573302114575</v>
      </c>
      <c r="K1037" s="20">
        <v>8.0037398093685521</v>
      </c>
      <c r="L1037" s="20">
        <f t="shared" si="36"/>
        <v>630.21446464827034</v>
      </c>
      <c r="M1037" s="20">
        <f t="shared" si="37"/>
        <v>-8.0037237010650486</v>
      </c>
    </row>
    <row r="1038" spans="1:13" x14ac:dyDescent="0.2">
      <c r="A1038" s="23">
        <v>252.75</v>
      </c>
      <c r="B1038" s="20">
        <v>629.34856774245304</v>
      </c>
      <c r="C1038" s="20">
        <v>43.889181528828999</v>
      </c>
      <c r="D1038" s="20">
        <v>341.85714626145301</v>
      </c>
      <c r="E1038" s="20">
        <v>-0.26370985415378001</v>
      </c>
      <c r="F1038" s="20">
        <v>-1.5524278978807999</v>
      </c>
      <c r="G1038" s="20">
        <v>1.57466671562474</v>
      </c>
      <c r="H1038" s="20">
        <v>7.6525403271528996E-3</v>
      </c>
      <c r="I1038" s="20">
        <v>117.449892399563</v>
      </c>
      <c r="J1038" s="20">
        <v>630.87834170600979</v>
      </c>
      <c r="K1038" s="20">
        <v>8.0121549396663241</v>
      </c>
      <c r="L1038" s="20">
        <f t="shared" si="36"/>
        <v>630.87707199956753</v>
      </c>
      <c r="M1038" s="20">
        <f t="shared" si="37"/>
        <v>-8.0121388144265566</v>
      </c>
    </row>
    <row r="1039" spans="1:13" x14ac:dyDescent="0.2">
      <c r="A1039" s="23">
        <v>253</v>
      </c>
      <c r="B1039" s="20">
        <v>630.00549784802297</v>
      </c>
      <c r="C1039" s="20">
        <v>43.987287938095498</v>
      </c>
      <c r="D1039" s="20">
        <v>341.83062342189299</v>
      </c>
      <c r="E1039" s="20">
        <v>-0.26398367568736703</v>
      </c>
      <c r="F1039" s="20">
        <v>-1.551327549622</v>
      </c>
      <c r="G1039" s="20">
        <v>1.5736278299666699</v>
      </c>
      <c r="H1039" s="20">
        <v>7.6579967474521898E-3</v>
      </c>
      <c r="I1039" s="20">
        <v>117.51755618019899</v>
      </c>
      <c r="J1039" s="20">
        <v>631.54050878993917</v>
      </c>
      <c r="K1039" s="20">
        <v>8.0205644616322278</v>
      </c>
      <c r="L1039" s="20">
        <f t="shared" si="36"/>
        <v>631.53923775081796</v>
      </c>
      <c r="M1039" s="20">
        <f t="shared" si="37"/>
        <v>-8.0205483194674709</v>
      </c>
    </row>
    <row r="1040" spans="1:13" x14ac:dyDescent="0.2">
      <c r="A1040" s="23">
        <v>253.25</v>
      </c>
      <c r="B1040" s="20">
        <v>630.66197712949304</v>
      </c>
      <c r="C1040" s="20">
        <v>44.0854439135612</v>
      </c>
      <c r="D1040" s="20">
        <v>341.80409745370702</v>
      </c>
      <c r="E1040" s="20">
        <v>-0.26425700933747998</v>
      </c>
      <c r="F1040" s="20">
        <v>-1.5502262482859701</v>
      </c>
      <c r="G1040" s="20">
        <v>1.5725880540875301</v>
      </c>
      <c r="H1040" s="20">
        <v>7.6634406258103104E-3</v>
      </c>
      <c r="I1040" s="20">
        <v>117.585204052764</v>
      </c>
      <c r="J1040" s="20">
        <v>632.20223390287049</v>
      </c>
      <c r="K1040" s="20">
        <v>8.0289683705664547</v>
      </c>
      <c r="L1040" s="20">
        <f t="shared" si="36"/>
        <v>632.20096153196175</v>
      </c>
      <c r="M1040" s="20">
        <f t="shared" si="37"/>
        <v>-8.028952211488031</v>
      </c>
    </row>
    <row r="1041" spans="1:13" x14ac:dyDescent="0.2">
      <c r="A1041" s="23">
        <v>253.5</v>
      </c>
      <c r="B1041" s="20">
        <v>631.318005230464</v>
      </c>
      <c r="C1041" s="20">
        <v>44.183649165124699</v>
      </c>
      <c r="D1041" s="20">
        <v>341.77756837425397</v>
      </c>
      <c r="E1041" s="20">
        <v>-0.264529853821523</v>
      </c>
      <c r="F1041" s="20">
        <v>-1.5491239959082901</v>
      </c>
      <c r="G1041" s="20">
        <v>1.57154738976008</v>
      </c>
      <c r="H1041" s="20">
        <v>7.6688720866974801E-3</v>
      </c>
      <c r="I1041" s="20">
        <v>117.652835635101</v>
      </c>
      <c r="J1041" s="20">
        <v>632.86351667552049</v>
      </c>
      <c r="K1041" s="20">
        <v>8.0373666617791102</v>
      </c>
      <c r="L1041" s="20">
        <f t="shared" si="36"/>
        <v>632.86224297371302</v>
      </c>
      <c r="M1041" s="20">
        <f t="shared" si="37"/>
        <v>-8.0373504857983047</v>
      </c>
    </row>
    <row r="1042" spans="1:13" x14ac:dyDescent="0.2">
      <c r="A1042" s="23">
        <v>253.75</v>
      </c>
      <c r="B1042" s="20">
        <v>631.97358179537503</v>
      </c>
      <c r="C1042" s="20">
        <v>44.281903402672697</v>
      </c>
      <c r="D1042" s="20">
        <v>341.75103620073298</v>
      </c>
      <c r="E1042" s="20">
        <v>-0.264802207854273</v>
      </c>
      <c r="F1042" s="20">
        <v>-1.5480207945054301</v>
      </c>
      <c r="G1042" s="20">
        <v>1.57050583873659</v>
      </c>
      <c r="H1042" s="20">
        <v>7.67429125403442E-3</v>
      </c>
      <c r="I1042" s="20">
        <v>117.72045054703599</v>
      </c>
      <c r="J1042" s="20">
        <v>633.52435673937248</v>
      </c>
      <c r="K1042" s="20">
        <v>8.0457593305900321</v>
      </c>
      <c r="L1042" s="20">
        <f t="shared" si="36"/>
        <v>633.52308170755646</v>
      </c>
      <c r="M1042" s="20">
        <f t="shared" si="37"/>
        <v>-8.0457431377181496</v>
      </c>
    </row>
    <row r="1043" spans="1:13" x14ac:dyDescent="0.2">
      <c r="A1043" s="23">
        <v>254</v>
      </c>
      <c r="B1043" s="20">
        <v>632.62870646949602</v>
      </c>
      <c r="C1043" s="20">
        <v>44.380206336082701</v>
      </c>
      <c r="D1043" s="20">
        <v>341.72450095018002</v>
      </c>
      <c r="E1043" s="20">
        <v>-0.26507407014790602</v>
      </c>
      <c r="F1043" s="20">
        <v>-1.54691664607484</v>
      </c>
      <c r="G1043" s="20">
        <v>1.5694634027489101</v>
      </c>
      <c r="H1043" s="20">
        <v>7.6796982511932099E-3</v>
      </c>
      <c r="I1043" s="20">
        <v>117.78804841038099</v>
      </c>
      <c r="J1043" s="20">
        <v>634.18475372667001</v>
      </c>
      <c r="K1043" s="20">
        <v>8.0541463723287094</v>
      </c>
      <c r="L1043" s="20">
        <f t="shared" si="36"/>
        <v>634.18347736573924</v>
      </c>
      <c r="M1043" s="20">
        <f t="shared" si="37"/>
        <v>-8.0541301625771062</v>
      </c>
    </row>
    <row r="1044" spans="1:13" x14ac:dyDescent="0.2">
      <c r="A1044" s="23">
        <v>254.25</v>
      </c>
      <c r="B1044" s="20">
        <v>633.283378898911</v>
      </c>
      <c r="C1044" s="20">
        <v>44.478557675224899</v>
      </c>
      <c r="D1044" s="20">
        <v>341.697962639472</v>
      </c>
      <c r="E1044" s="20">
        <v>-0.26534543941203198</v>
      </c>
      <c r="F1044" s="20">
        <v>-1.5458115525951099</v>
      </c>
      <c r="G1044" s="20">
        <v>1.5684200835086499</v>
      </c>
      <c r="H1044" s="20">
        <v>7.6850932009980798E-3</v>
      </c>
      <c r="I1044" s="20">
        <v>117.855628848931</v>
      </c>
      <c r="J1044" s="20">
        <v>634.84470727040912</v>
      </c>
      <c r="K1044" s="20">
        <v>8.0625277823341968</v>
      </c>
      <c r="L1044" s="20">
        <f t="shared" si="36"/>
        <v>634.84342958125512</v>
      </c>
      <c r="M1044" s="20">
        <f t="shared" si="37"/>
        <v>-8.06251155571419</v>
      </c>
    </row>
    <row r="1045" spans="1:13" x14ac:dyDescent="0.2">
      <c r="A1045" s="23">
        <v>254.5</v>
      </c>
      <c r="B1045" s="20">
        <v>633.93759873051897</v>
      </c>
      <c r="C1045" s="20">
        <v>44.576957129963901</v>
      </c>
      <c r="D1045" s="20">
        <v>341.67142128532402</v>
      </c>
      <c r="E1045" s="20">
        <v>-0.26561631435372002</v>
      </c>
      <c r="F1045" s="20">
        <v>-1.5447055160260901</v>
      </c>
      <c r="G1045" s="20">
        <v>1.5673758827072299</v>
      </c>
      <c r="H1045" s="20">
        <v>7.6904762257260202E-3</v>
      </c>
      <c r="I1045" s="20">
        <v>117.92319148847299</v>
      </c>
      <c r="J1045" s="20">
        <v>635.50421700432901</v>
      </c>
      <c r="K1045" s="20">
        <v>8.0709035559549793</v>
      </c>
      <c r="L1045" s="20">
        <f t="shared" si="36"/>
        <v>635.50293798784526</v>
      </c>
      <c r="M1045" s="20">
        <f t="shared" si="37"/>
        <v>-8.0708873124779181</v>
      </c>
    </row>
    <row r="1046" spans="1:13" x14ac:dyDescent="0.2">
      <c r="A1046" s="23">
        <v>254.75</v>
      </c>
      <c r="B1046" s="20">
        <v>634.59136561201501</v>
      </c>
      <c r="C1046" s="20">
        <v>44.6754044101611</v>
      </c>
      <c r="D1046" s="20">
        <v>341.644876904287</v>
      </c>
      <c r="E1046" s="20">
        <v>-0.26588669367753198</v>
      </c>
      <c r="F1046" s="20">
        <v>-1.5435985383089299</v>
      </c>
      <c r="G1046" s="20">
        <v>1.56633080201605</v>
      </c>
      <c r="H1046" s="20">
        <v>7.6958474471077098E-3</v>
      </c>
      <c r="I1046" s="20">
        <v>117.99073595678399</v>
      </c>
      <c r="J1046" s="20">
        <v>636.16328256290024</v>
      </c>
      <c r="K1046" s="20">
        <v>8.0792736885488345</v>
      </c>
      <c r="L1046" s="20">
        <f t="shared" si="36"/>
        <v>636.16200221997974</v>
      </c>
      <c r="M1046" s="20">
        <f t="shared" si="37"/>
        <v>-8.0792574282260592</v>
      </c>
    </row>
    <row r="1047" spans="1:13" x14ac:dyDescent="0.2">
      <c r="A1047" s="23">
        <v>255</v>
      </c>
      <c r="B1047" s="20">
        <v>635.24467919189101</v>
      </c>
      <c r="C1047" s="20">
        <v>44.773899225676402</v>
      </c>
      <c r="D1047" s="20">
        <v>341.61832951275301</v>
      </c>
      <c r="E1047" s="20">
        <v>-0.26615657608554999</v>
      </c>
      <c r="F1047" s="20">
        <v>-1.5424906213662799</v>
      </c>
      <c r="G1047" s="20">
        <v>1.56528484308656</v>
      </c>
      <c r="H1047" s="20">
        <v>7.7012069863279303E-3</v>
      </c>
      <c r="I1047" s="20">
        <v>118.058261883635</v>
      </c>
      <c r="J1047" s="20">
        <v>636.82190358131982</v>
      </c>
      <c r="K1047" s="20">
        <v>8.0876381754827626</v>
      </c>
      <c r="L1047" s="20">
        <f t="shared" si="36"/>
        <v>636.8206219128582</v>
      </c>
      <c r="M1047" s="20">
        <f t="shared" si="37"/>
        <v>-8.0876218983256507</v>
      </c>
    </row>
    <row r="1048" spans="1:13" x14ac:dyDescent="0.2">
      <c r="A1048" s="23">
        <v>255.25</v>
      </c>
      <c r="B1048" s="20">
        <v>635.89753911942103</v>
      </c>
      <c r="C1048" s="20">
        <v>44.872441286370602</v>
      </c>
      <c r="D1048" s="20">
        <v>341.59177912695299</v>
      </c>
      <c r="E1048" s="20">
        <v>-0.266425960277412</v>
      </c>
      <c r="F1048" s="20">
        <v>-1.54138176710235</v>
      </c>
      <c r="G1048" s="20">
        <v>1.5642380075504201</v>
      </c>
      <c r="H1048" s="20">
        <v>7.7065549640262798E-3</v>
      </c>
      <c r="I1048" s="20">
        <v>118.125768900792</v>
      </c>
      <c r="J1048" s="20">
        <v>637.48007969550281</v>
      </c>
      <c r="K1048" s="20">
        <v>8.0959970121328855</v>
      </c>
      <c r="L1048" s="20">
        <f t="shared" si="36"/>
        <v>637.4787967023957</v>
      </c>
      <c r="M1048" s="20">
        <f t="shared" si="37"/>
        <v>-8.0959807181528092</v>
      </c>
    </row>
    <row r="1049" spans="1:13" x14ac:dyDescent="0.2">
      <c r="A1049" s="23">
        <v>255.5</v>
      </c>
      <c r="B1049" s="20">
        <v>636.54994504465105</v>
      </c>
      <c r="C1049" s="20">
        <v>44.971030302106797</v>
      </c>
      <c r="D1049" s="20">
        <v>341.565225762956</v>
      </c>
      <c r="E1049" s="20">
        <v>-0.26669484495033702</v>
      </c>
      <c r="F1049" s="20">
        <v>-1.54027197740302</v>
      </c>
      <c r="G1049" s="20">
        <v>1.5631902970195599</v>
      </c>
      <c r="H1049" s="20">
        <v>7.7118915002977904E-3</v>
      </c>
      <c r="I1049" s="20">
        <v>118.193256642024</v>
      </c>
      <c r="J1049" s="20">
        <v>638.13781054207038</v>
      </c>
      <c r="K1049" s="20">
        <v>8.1043501938842937</v>
      </c>
      <c r="L1049" s="20">
        <f t="shared" si="36"/>
        <v>638.13652622521249</v>
      </c>
      <c r="M1049" s="20">
        <f t="shared" si="37"/>
        <v>-8.1043338830926164</v>
      </c>
    </row>
    <row r="1050" spans="1:13" x14ac:dyDescent="0.2">
      <c r="A1050" s="23">
        <v>255.75</v>
      </c>
      <c r="B1050" s="20">
        <v>637.201896618398</v>
      </c>
      <c r="C1050" s="20">
        <v>45.069665982752603</v>
      </c>
      <c r="D1050" s="20">
        <v>341.53866943666702</v>
      </c>
      <c r="E1050" s="20">
        <v>-0.26696322879916101</v>
      </c>
      <c r="F1050" s="20">
        <v>-1.53916125413601</v>
      </c>
      <c r="G1050" s="20">
        <v>1.56214171308637</v>
      </c>
      <c r="H1050" s="20">
        <v>7.7172167146932697E-3</v>
      </c>
      <c r="I1050" s="20">
        <v>118.2607247431</v>
      </c>
      <c r="J1050" s="20">
        <v>638.79509575834356</v>
      </c>
      <c r="K1050" s="20">
        <v>8.1126977161309632</v>
      </c>
      <c r="L1050" s="20">
        <f t="shared" si="36"/>
        <v>638.79381011863325</v>
      </c>
      <c r="M1050" s="20">
        <f t="shared" si="37"/>
        <v>-8.1126813885390927</v>
      </c>
    </row>
    <row r="1051" spans="1:13" x14ac:dyDescent="0.2">
      <c r="A1051" s="23">
        <v>256</v>
      </c>
      <c r="B1051" s="20">
        <v>637.85339349223295</v>
      </c>
      <c r="C1051" s="20">
        <v>45.168348038182003</v>
      </c>
      <c r="D1051" s="20">
        <v>341.512110163834</v>
      </c>
      <c r="E1051" s="20">
        <v>-0.267231110516364</v>
      </c>
      <c r="F1051" s="20">
        <v>-1.53804959915091</v>
      </c>
      <c r="G1051" s="20">
        <v>1.56109225732372</v>
      </c>
      <c r="H1051" s="20">
        <v>7.7225307262199002E-3</v>
      </c>
      <c r="I1051" s="20">
        <v>118.328172841796</v>
      </c>
      <c r="J1051" s="20">
        <v>639.45193498233641</v>
      </c>
      <c r="K1051" s="20">
        <v>8.1210395742756738</v>
      </c>
      <c r="L1051" s="20">
        <f t="shared" si="36"/>
        <v>639.45064802067066</v>
      </c>
      <c r="M1051" s="20">
        <f t="shared" si="37"/>
        <v>-8.1210232298950018</v>
      </c>
    </row>
    <row r="1052" spans="1:13" x14ac:dyDescent="0.2">
      <c r="A1052" s="23">
        <v>256.25</v>
      </c>
      <c r="B1052" s="20">
        <v>638.504435318476</v>
      </c>
      <c r="C1052" s="20">
        <v>45.2670761782773</v>
      </c>
      <c r="D1052" s="20">
        <v>341.48554796003998</v>
      </c>
      <c r="E1052" s="20">
        <v>-0.26749848879210902</v>
      </c>
      <c r="F1052" s="20">
        <v>-1.5369370142793499</v>
      </c>
      <c r="G1052" s="20">
        <v>1.5600419312851801</v>
      </c>
      <c r="H1052" s="20">
        <v>7.7278336533416299E-3</v>
      </c>
      <c r="I1052" s="20">
        <v>118.39560057789799</v>
      </c>
      <c r="J1052" s="20">
        <v>640.1083278527434</v>
      </c>
      <c r="K1052" s="20">
        <v>8.1293757637298416</v>
      </c>
      <c r="L1052" s="20">
        <f t="shared" ref="L1052:L1115" si="38">SQRT(B1052^2+C1052^2)</f>
        <v>640.10703957002056</v>
      </c>
      <c r="M1052" s="20">
        <f t="shared" ref="M1052:M1115" si="39">-L1052/A$25*100</f>
        <v>-8.1293594025717795</v>
      </c>
    </row>
    <row r="1053" spans="1:13" x14ac:dyDescent="0.2">
      <c r="A1053" s="23">
        <v>256.5</v>
      </c>
      <c r="B1053" s="20">
        <v>639.15502175018901</v>
      </c>
      <c r="C1053" s="20">
        <v>45.3658501129309</v>
      </c>
      <c r="D1053" s="20">
        <v>341.45898284070898</v>
      </c>
      <c r="E1053" s="20">
        <v>-0.26776536231426901</v>
      </c>
      <c r="F1053" s="20">
        <v>-1.53582350133509</v>
      </c>
      <c r="G1053" s="20">
        <v>1.55899073650502</v>
      </c>
      <c r="H1053" s="20">
        <v>7.7331256139794398E-3</v>
      </c>
      <c r="I1053" s="20">
        <v>118.463007593206</v>
      </c>
      <c r="J1053" s="20">
        <v>640.76427400893579</v>
      </c>
      <c r="K1053" s="20">
        <v>8.1377062799134858</v>
      </c>
      <c r="L1053" s="20">
        <f t="shared" si="38"/>
        <v>640.76298440605433</v>
      </c>
      <c r="M1053" s="20">
        <f t="shared" si="39"/>
        <v>-8.1376899019894413</v>
      </c>
    </row>
    <row r="1054" spans="1:13" x14ac:dyDescent="0.2">
      <c r="A1054" s="23">
        <v>256.75</v>
      </c>
      <c r="B1054" s="20">
        <v>639.80515244116498</v>
      </c>
      <c r="C1054" s="20">
        <v>45.464669552047098</v>
      </c>
      <c r="D1054" s="20">
        <v>341.43241482110102</v>
      </c>
      <c r="E1054" s="20">
        <v>-0.26803172976845802</v>
      </c>
      <c r="F1054" s="20">
        <v>-1.5347090621141399</v>
      </c>
      <c r="G1054" s="20">
        <v>1.55793867449843</v>
      </c>
      <c r="H1054" s="20">
        <v>7.73840672551185E-3</v>
      </c>
      <c r="I1054" s="20">
        <v>118.530393531539</v>
      </c>
      <c r="J1054" s="20">
        <v>641.41977309094852</v>
      </c>
      <c r="K1054" s="20">
        <v>8.1460311182550473</v>
      </c>
      <c r="L1054" s="20">
        <f t="shared" si="38"/>
        <v>641.41848216880931</v>
      </c>
      <c r="M1054" s="20">
        <f t="shared" si="39"/>
        <v>-8.1460147235764619</v>
      </c>
    </row>
    <row r="1055" spans="1:13" x14ac:dyDescent="0.2">
      <c r="A1055" s="23">
        <v>257</v>
      </c>
      <c r="B1055" s="20">
        <v>640.45482704591996</v>
      </c>
      <c r="C1055" s="20">
        <v>45.563534205543903</v>
      </c>
      <c r="D1055" s="20">
        <v>341.405843916317</v>
      </c>
      <c r="E1055" s="20">
        <v>-0.26829758983807001</v>
      </c>
      <c r="F1055" s="20">
        <v>-1.5335936983948499</v>
      </c>
      <c r="G1055" s="20">
        <v>1.55688574676157</v>
      </c>
      <c r="H1055" s="20">
        <v>7.7436771047749197E-3</v>
      </c>
      <c r="I1055" s="20">
        <v>118.59775803873799</v>
      </c>
      <c r="J1055" s="20">
        <v>642.07482473947687</v>
      </c>
      <c r="K1055" s="20">
        <v>8.1543502741913567</v>
      </c>
      <c r="L1055" s="20">
        <f t="shared" si="38"/>
        <v>642.07353249898028</v>
      </c>
      <c r="M1055" s="20">
        <f t="shared" si="39"/>
        <v>-8.1543338627696667</v>
      </c>
    </row>
    <row r="1056" spans="1:13" x14ac:dyDescent="0.2">
      <c r="A1056" s="23">
        <v>257.25</v>
      </c>
      <c r="B1056" s="20">
        <v>641.10404521968496</v>
      </c>
      <c r="C1056" s="20">
        <v>45.662443783355101</v>
      </c>
      <c r="D1056" s="20">
        <v>341.37927014129502</v>
      </c>
      <c r="E1056" s="20">
        <v>-0.26856294120430901</v>
      </c>
      <c r="F1056" s="20">
        <v>-1.53247741193806</v>
      </c>
      <c r="G1056" s="20">
        <v>1.5558319547716899</v>
      </c>
      <c r="H1056" s="20">
        <v>7.7489368680627004E-3</v>
      </c>
      <c r="I1056" s="20">
        <v>118.66510076266999</v>
      </c>
      <c r="J1056" s="20">
        <v>642.72942859586419</v>
      </c>
      <c r="K1056" s="20">
        <v>8.1626637431674745</v>
      </c>
      <c r="L1056" s="20">
        <f t="shared" si="38"/>
        <v>642.72813503791156</v>
      </c>
      <c r="M1056" s="20">
        <f t="shared" si="39"/>
        <v>-8.1626473150141283</v>
      </c>
    </row>
    <row r="1057" spans="1:13" x14ac:dyDescent="0.2">
      <c r="A1057" s="23">
        <v>257.5</v>
      </c>
      <c r="B1057" s="20">
        <v>641.75280661839702</v>
      </c>
      <c r="C1057" s="20">
        <v>45.761397995431402</v>
      </c>
      <c r="D1057" s="20">
        <v>341.352693510812</v>
      </c>
      <c r="E1057" s="20">
        <v>-0.26882778254622097</v>
      </c>
      <c r="F1057" s="20">
        <v>-1.5313602044871699</v>
      </c>
      <c r="G1057" s="20">
        <v>1.55477729998727</v>
      </c>
      <c r="H1057" s="20">
        <v>7.7541861311272598E-3</v>
      </c>
      <c r="I1057" s="20">
        <v>118.732421353238</v>
      </c>
      <c r="J1057" s="20">
        <v>643.38358430209678</v>
      </c>
      <c r="K1057" s="20">
        <v>8.1709715206366305</v>
      </c>
      <c r="L1057" s="20">
        <f t="shared" si="38"/>
        <v>643.38228942758906</v>
      </c>
      <c r="M1057" s="20">
        <f t="shared" si="39"/>
        <v>-8.1709550757630645</v>
      </c>
    </row>
    <row r="1058" spans="1:13" x14ac:dyDescent="0.2">
      <c r="A1058" s="23">
        <v>257.75</v>
      </c>
      <c r="B1058" s="20">
        <v>642.40111089869401</v>
      </c>
      <c r="C1058" s="20">
        <v>45.860396551743101</v>
      </c>
      <c r="D1058" s="20">
        <v>341.32611403948198</v>
      </c>
      <c r="E1058" s="20">
        <v>-0.26909211254073101</v>
      </c>
      <c r="F1058" s="20">
        <v>-1.5302420777682699</v>
      </c>
      <c r="G1058" s="20">
        <v>1.5537217838481201</v>
      </c>
      <c r="H1058" s="20">
        <v>7.7594250091788603E-3</v>
      </c>
      <c r="I1058" s="20">
        <v>118.799719462377</v>
      </c>
      <c r="J1058" s="20">
        <v>644.03729150079323</v>
      </c>
      <c r="K1058" s="20">
        <v>8.1792736020600749</v>
      </c>
      <c r="L1058" s="20">
        <f t="shared" si="38"/>
        <v>644.03599531063423</v>
      </c>
      <c r="M1058" s="20">
        <f t="shared" si="39"/>
        <v>-8.1792571404777714</v>
      </c>
    </row>
    <row r="1059" spans="1:13" x14ac:dyDescent="0.2">
      <c r="A1059" s="23">
        <v>258</v>
      </c>
      <c r="B1059" s="20">
        <v>643.04895771790098</v>
      </c>
      <c r="C1059" s="20">
        <v>45.959439162280901</v>
      </c>
      <c r="D1059" s="20">
        <v>341.29953174176001</v>
      </c>
      <c r="E1059" s="20">
        <v>-0.26935592986267398</v>
      </c>
      <c r="F1059" s="20">
        <v>-1.5291230334902499</v>
      </c>
      <c r="G1059" s="20">
        <v>1.55266540777548</v>
      </c>
      <c r="H1059" s="20">
        <v>7.7646536168859501E-3</v>
      </c>
      <c r="I1059" s="20">
        <v>118.86699474407</v>
      </c>
      <c r="J1059" s="20">
        <v>644.69054983519891</v>
      </c>
      <c r="K1059" s="20">
        <v>8.1875699829070268</v>
      </c>
      <c r="L1059" s="20">
        <f t="shared" si="38"/>
        <v>644.68925233029142</v>
      </c>
      <c r="M1059" s="20">
        <f t="shared" si="39"/>
        <v>-8.1875535046274504</v>
      </c>
    </row>
    <row r="1060" spans="1:13" x14ac:dyDescent="0.2">
      <c r="A1060" s="23">
        <v>258.25</v>
      </c>
      <c r="B1060" s="20">
        <v>643.69634673402697</v>
      </c>
      <c r="C1060" s="20">
        <v>46.058525537058202</v>
      </c>
      <c r="D1060" s="20">
        <v>341.272946631938</v>
      </c>
      <c r="E1060" s="20">
        <v>-0.269619233184834</v>
      </c>
      <c r="F1060" s="20">
        <v>-1.5280030733448899</v>
      </c>
      <c r="G1060" s="20">
        <v>1.5516081731721501</v>
      </c>
      <c r="H1060" s="20">
        <v>7.7698720683751403E-3</v>
      </c>
      <c r="I1060" s="20">
        <v>118.934246854346</v>
      </c>
      <c r="J1060" s="20">
        <v>645.34335894917592</v>
      </c>
      <c r="K1060" s="20">
        <v>8.1958606586545351</v>
      </c>
      <c r="L1060" s="20">
        <f t="shared" si="38"/>
        <v>645.34206013042456</v>
      </c>
      <c r="M1060" s="20">
        <f t="shared" si="39"/>
        <v>-8.1958441636891752</v>
      </c>
    </row>
    <row r="1061" spans="1:13" x14ac:dyDescent="0.2">
      <c r="A1061" s="23">
        <v>258.5</v>
      </c>
      <c r="B1061" s="20">
        <v>644.34327760575297</v>
      </c>
      <c r="C1061" s="20">
        <v>46.157655386112403</v>
      </c>
      <c r="D1061" s="20">
        <v>341.24635872414598</v>
      </c>
      <c r="E1061" s="20">
        <v>-0.269882021177974</v>
      </c>
      <c r="F1061" s="20">
        <v>-1.5268821990070101</v>
      </c>
      <c r="G1061" s="20">
        <v>1.5505500814225901</v>
      </c>
      <c r="H1061" s="20">
        <v>7.7750804772312304E-3</v>
      </c>
      <c r="I1061" s="20">
        <v>119.00147545128701</v>
      </c>
      <c r="J1061" s="20">
        <v>645.99571848719654</v>
      </c>
      <c r="K1061" s="20">
        <v>8.2041456247873974</v>
      </c>
      <c r="L1061" s="20">
        <f t="shared" si="38"/>
        <v>645.99441835550522</v>
      </c>
      <c r="M1061" s="20">
        <f t="shared" si="39"/>
        <v>-8.204129113147733</v>
      </c>
    </row>
    <row r="1062" spans="1:13" x14ac:dyDescent="0.2">
      <c r="A1062" s="23">
        <v>258.75</v>
      </c>
      <c r="B1062" s="20">
        <v>644.98974999242603</v>
      </c>
      <c r="C1062" s="20">
        <v>46.256828419507102</v>
      </c>
      <c r="D1062" s="20">
        <v>341.21976803235202</v>
      </c>
      <c r="E1062" s="20">
        <v>-0.27014429251087502</v>
      </c>
      <c r="F1062" s="20">
        <v>-1.52576041213455</v>
      </c>
      <c r="G1062" s="20">
        <v>1.5494911338930599</v>
      </c>
      <c r="H1062" s="20">
        <v>7.7802789564970698E-3</v>
      </c>
      <c r="I1062" s="20">
        <v>119.06868019503899</v>
      </c>
      <c r="J1062" s="20">
        <v>646.64762809433307</v>
      </c>
      <c r="K1062" s="20">
        <v>8.2124248767980301</v>
      </c>
      <c r="L1062" s="20">
        <f t="shared" si="38"/>
        <v>646.64632665060731</v>
      </c>
      <c r="M1062" s="20">
        <f t="shared" si="39"/>
        <v>-8.212408348495563</v>
      </c>
    </row>
    <row r="1063" spans="1:13" x14ac:dyDescent="0.2">
      <c r="A1063" s="23">
        <v>259</v>
      </c>
      <c r="B1063" s="20">
        <v>645.63576355405303</v>
      </c>
      <c r="C1063" s="20">
        <v>46.356044347332997</v>
      </c>
      <c r="D1063" s="20">
        <v>341.19317457036499</v>
      </c>
      <c r="E1063" s="20">
        <v>-0.27040604585036998</v>
      </c>
      <c r="F1063" s="20">
        <v>-1.52463771436868</v>
      </c>
      <c r="G1063" s="20">
        <v>1.5484313319317</v>
      </c>
      <c r="H1063" s="20">
        <v>7.7854676186733399E-3</v>
      </c>
      <c r="I1063" s="20">
        <v>119.135860747812</v>
      </c>
      <c r="J1063" s="20">
        <v>647.29908741625366</v>
      </c>
      <c r="K1063" s="20">
        <v>8.2206984101864222</v>
      </c>
      <c r="L1063" s="20">
        <f t="shared" si="38"/>
        <v>647.29778466140067</v>
      </c>
      <c r="M1063" s="20">
        <f t="shared" si="39"/>
        <v>-8.2206818652326703</v>
      </c>
    </row>
    <row r="1064" spans="1:13" x14ac:dyDescent="0.2">
      <c r="A1064" s="23">
        <v>259.25</v>
      </c>
      <c r="B1064" s="20">
        <v>646.28131795128695</v>
      </c>
      <c r="C1064" s="20">
        <v>46.455302879710302</v>
      </c>
      <c r="D1064" s="20">
        <v>341.16657835182798</v>
      </c>
      <c r="E1064" s="20">
        <v>-0.27066727986137901</v>
      </c>
      <c r="F1064" s="20">
        <v>-1.52351410733391</v>
      </c>
      <c r="G1064" s="20">
        <v>1.5473706768686699</v>
      </c>
      <c r="H1064" s="20">
        <v>7.7906465757183298E-3</v>
      </c>
      <c r="I1064" s="20">
        <v>119.20301677389</v>
      </c>
      <c r="J1064" s="20">
        <v>647.95009609921215</v>
      </c>
      <c r="K1064" s="20">
        <v>8.2289662204599949</v>
      </c>
      <c r="L1064" s="20">
        <f t="shared" si="38"/>
        <v>647.94879203413757</v>
      </c>
      <c r="M1064" s="20">
        <f t="shared" si="39"/>
        <v>-8.2289496588664637</v>
      </c>
    </row>
    <row r="1065" spans="1:13" x14ac:dyDescent="0.2">
      <c r="A1065" s="23">
        <v>259.5</v>
      </c>
      <c r="B1065" s="20">
        <v>646.92641284542503</v>
      </c>
      <c r="C1065" s="20">
        <v>46.554603726789502</v>
      </c>
      <c r="D1065" s="20">
        <v>341.13997939022698</v>
      </c>
      <c r="E1065" s="20">
        <v>-0.27092799320694699</v>
      </c>
      <c r="F1065" s="20">
        <v>-1.52238959263822</v>
      </c>
      <c r="G1065" s="20">
        <v>1.5463091700162399</v>
      </c>
      <c r="H1065" s="20">
        <v>7.7958159390476801E-3</v>
      </c>
      <c r="I1065" s="20">
        <v>119.27014793964</v>
      </c>
      <c r="J1065" s="20">
        <v>648.60065379003822</v>
      </c>
      <c r="K1065" s="20">
        <v>8.2372283031334863</v>
      </c>
      <c r="L1065" s="20">
        <f t="shared" si="38"/>
        <v>648.59934841565155</v>
      </c>
      <c r="M1065" s="20">
        <f t="shared" si="39"/>
        <v>-8.2372117249117238</v>
      </c>
    </row>
    <row r="1066" spans="1:13" x14ac:dyDescent="0.2">
      <c r="A1066" s="23">
        <v>259.75</v>
      </c>
      <c r="B1066" s="20">
        <v>647.57104789839696</v>
      </c>
      <c r="C1066" s="20">
        <v>46.653946598753798</v>
      </c>
      <c r="D1066" s="20">
        <v>341.11337769888098</v>
      </c>
      <c r="E1066" s="20">
        <v>-0.27118818454828297</v>
      </c>
      <c r="F1066" s="20">
        <v>-1.5212641718731299</v>
      </c>
      <c r="G1066" s="20">
        <v>1.5452468126689201</v>
      </c>
      <c r="H1066" s="20">
        <v>7.8009758195340404E-3</v>
      </c>
      <c r="I1066" s="20">
        <v>119.337253913515</v>
      </c>
      <c r="J1066" s="20">
        <v>649.25076013613671</v>
      </c>
      <c r="K1066" s="20">
        <v>8.245484653728937</v>
      </c>
      <c r="L1066" s="20">
        <f t="shared" si="38"/>
        <v>649.24945345334504</v>
      </c>
      <c r="M1066" s="20">
        <f t="shared" si="39"/>
        <v>-8.245468058890463</v>
      </c>
    </row>
    <row r="1067" spans="1:13" x14ac:dyDescent="0.2">
      <c r="A1067" s="23">
        <v>260</v>
      </c>
      <c r="B1067" s="20">
        <v>648.21522277275801</v>
      </c>
      <c r="C1067" s="20">
        <v>46.753331205819798</v>
      </c>
      <c r="D1067" s="20">
        <v>341.08677329095099</v>
      </c>
      <c r="E1067" s="20">
        <v>-0.27144785254478898</v>
      </c>
      <c r="F1067" s="20">
        <v>-1.52013784661386</v>
      </c>
      <c r="G1067" s="20">
        <v>1.5441836061035601</v>
      </c>
      <c r="H1067" s="20">
        <v>7.8061263275065601E-3</v>
      </c>
      <c r="I1067" s="20">
        <v>119.404334366062</v>
      </c>
      <c r="J1067" s="20">
        <v>649.90041478547141</v>
      </c>
      <c r="K1067" s="20">
        <v>8.2537352677754878</v>
      </c>
      <c r="L1067" s="20">
        <f t="shared" si="38"/>
        <v>649.89910679518346</v>
      </c>
      <c r="M1067" s="20">
        <f t="shared" si="39"/>
        <v>-8.253718656331845</v>
      </c>
    </row>
    <row r="1068" spans="1:13" x14ac:dyDescent="0.2">
      <c r="A1068" s="23">
        <v>260.25</v>
      </c>
      <c r="B1068" s="20">
        <v>648.85893713168298</v>
      </c>
      <c r="C1068" s="20">
        <v>46.852757258239997</v>
      </c>
      <c r="D1068" s="20">
        <v>341.06016617943499</v>
      </c>
      <c r="E1068" s="20">
        <v>-0.27170699585410801</v>
      </c>
      <c r="F1068" s="20">
        <v>-1.5190106184193899</v>
      </c>
      <c r="G1068" s="20">
        <v>1.5431195515795</v>
      </c>
      <c r="H1068" s="20">
        <v>7.8112675727505399E-3</v>
      </c>
      <c r="I1068" s="20">
        <v>119.471388969934</v>
      </c>
      <c r="J1068" s="20">
        <v>650.54961738656289</v>
      </c>
      <c r="K1068" s="20">
        <v>8.2619801408093494</v>
      </c>
      <c r="L1068" s="20">
        <f t="shared" si="38"/>
        <v>650.54830808968893</v>
      </c>
      <c r="M1068" s="20">
        <f t="shared" si="39"/>
        <v>-8.2619635127720965</v>
      </c>
    </row>
    <row r="1069" spans="1:13" x14ac:dyDescent="0.2">
      <c r="A1069" s="23">
        <v>260.5</v>
      </c>
      <c r="B1069" s="20">
        <v>649.50219063895599</v>
      </c>
      <c r="C1069" s="20">
        <v>46.952224466303299</v>
      </c>
      <c r="D1069" s="20">
        <v>341.03355637716999</v>
      </c>
      <c r="E1069" s="20">
        <v>-0.27196561313215301</v>
      </c>
      <c r="F1069" s="20">
        <v>-1.5178824888325899</v>
      </c>
      <c r="G1069" s="20">
        <v>1.5420546503386201</v>
      </c>
      <c r="H1069" s="20">
        <v>7.8163996645069095E-3</v>
      </c>
      <c r="I1069" s="20">
        <v>119.538417399894</v>
      </c>
      <c r="J1069" s="20">
        <v>651.19836758847941</v>
      </c>
      <c r="K1069" s="20">
        <v>8.2702192683736886</v>
      </c>
      <c r="L1069" s="20">
        <f t="shared" si="38"/>
        <v>651.1970569859302</v>
      </c>
      <c r="M1069" s="20">
        <f t="shared" si="39"/>
        <v>-8.2702026237543933</v>
      </c>
    </row>
    <row r="1070" spans="1:13" x14ac:dyDescent="0.2">
      <c r="A1070" s="23">
        <v>260.75</v>
      </c>
      <c r="B1070" s="20">
        <v>650.14498295896396</v>
      </c>
      <c r="C1070" s="20">
        <v>47.051732540337198</v>
      </c>
      <c r="D1070" s="20">
        <v>341.00694389682701</v>
      </c>
      <c r="E1070" s="20">
        <v>-0.27222370303314902</v>
      </c>
      <c r="F1070" s="20">
        <v>-1.51675345938033</v>
      </c>
      <c r="G1070" s="20">
        <v>1.5409889036055</v>
      </c>
      <c r="H1070" s="20">
        <v>7.8215227114714295E-3</v>
      </c>
      <c r="I1070" s="20">
        <v>119.605419332823</v>
      </c>
      <c r="J1070" s="20">
        <v>651.84666504082929</v>
      </c>
      <c r="K1070" s="20">
        <v>8.2784526460185326</v>
      </c>
      <c r="L1070" s="20">
        <f t="shared" si="38"/>
        <v>651.8453531335166</v>
      </c>
      <c r="M1070" s="20">
        <f t="shared" si="39"/>
        <v>-8.278435984828775</v>
      </c>
    </row>
    <row r="1071" spans="1:13" x14ac:dyDescent="0.2">
      <c r="A1071" s="23">
        <v>261</v>
      </c>
      <c r="B1071" s="20">
        <v>650.78731375668804</v>
      </c>
      <c r="C1071" s="20">
        <v>47.151281190709</v>
      </c>
      <c r="D1071" s="20">
        <v>340.98032875092099</v>
      </c>
      <c r="E1071" s="20">
        <v>-0.272481264209674</v>
      </c>
      <c r="F1071" s="20">
        <v>-1.51562353157359</v>
      </c>
      <c r="G1071" s="20">
        <v>1.5399223125875301</v>
      </c>
      <c r="H1071" s="20">
        <v>7.8266368217942504E-3</v>
      </c>
      <c r="I1071" s="20">
        <v>119.672394447732</v>
      </c>
      <c r="J1071" s="20">
        <v>652.49450939375481</v>
      </c>
      <c r="K1071" s="20">
        <v>8.2866802693006871</v>
      </c>
      <c r="L1071" s="20">
        <f t="shared" si="38"/>
        <v>652.49319618258949</v>
      </c>
      <c r="M1071" s="20">
        <f t="shared" si="39"/>
        <v>-8.286663591552033</v>
      </c>
    </row>
    <row r="1072" spans="1:13" x14ac:dyDescent="0.2">
      <c r="A1072" s="23">
        <v>261.25</v>
      </c>
      <c r="B1072" s="20">
        <v>651.42918269769802</v>
      </c>
      <c r="C1072" s="20">
        <v>47.250870127827298</v>
      </c>
      <c r="D1072" s="20">
        <v>340.953710951799</v>
      </c>
      <c r="E1072" s="20">
        <v>-0.272738295312692</v>
      </c>
      <c r="F1072" s="20">
        <v>-1.51449270690758</v>
      </c>
      <c r="G1072" s="20">
        <v>1.538854878475</v>
      </c>
      <c r="H1072" s="20">
        <v>7.8317421030790497E-3</v>
      </c>
      <c r="I1072" s="20">
        <v>119.739342425769</v>
      </c>
      <c r="J1072" s="20">
        <v>653.14190029792178</v>
      </c>
      <c r="K1072" s="20">
        <v>8.2949021337836069</v>
      </c>
      <c r="L1072" s="20">
        <f t="shared" si="38"/>
        <v>653.14058578381707</v>
      </c>
      <c r="M1072" s="20">
        <f t="shared" si="39"/>
        <v>-8.2948854394876559</v>
      </c>
    </row>
    <row r="1073" spans="1:13" x14ac:dyDescent="0.2">
      <c r="A1073" s="23">
        <v>261.5</v>
      </c>
      <c r="B1073" s="20">
        <v>652.07058944814196</v>
      </c>
      <c r="C1073" s="20">
        <v>47.350499062143399</v>
      </c>
      <c r="D1073" s="20">
        <v>340.92709051165002</v>
      </c>
      <c r="E1073" s="20">
        <v>-0.27299479499159801</v>
      </c>
      <c r="F1073" s="20">
        <v>-1.5133609868617901</v>
      </c>
      <c r="G1073" s="20">
        <v>1.5377866024412501</v>
      </c>
      <c r="H1073" s="20">
        <v>7.83683866238233E-3</v>
      </c>
      <c r="I1073" s="20">
        <v>119.806262950228</v>
      </c>
      <c r="J1073" s="20">
        <v>653.78883740451568</v>
      </c>
      <c r="K1073" s="20">
        <v>8.3031182350373491</v>
      </c>
      <c r="L1073" s="20">
        <f t="shared" si="38"/>
        <v>653.78752158838381</v>
      </c>
      <c r="M1073" s="20">
        <f t="shared" si="39"/>
        <v>-8.3031015242056867</v>
      </c>
    </row>
    <row r="1074" spans="1:13" x14ac:dyDescent="0.2">
      <c r="A1074" s="23">
        <v>261.75</v>
      </c>
      <c r="B1074" s="20">
        <v>652.71153367474301</v>
      </c>
      <c r="C1074" s="20">
        <v>47.450167704152598</v>
      </c>
      <c r="D1074" s="20">
        <v>340.90046744249901</v>
      </c>
      <c r="E1074" s="20">
        <v>-0.27325076189425401</v>
      </c>
      <c r="F1074" s="20">
        <v>-1.51222837290019</v>
      </c>
      <c r="G1074" s="20">
        <v>1.5367174856427399</v>
      </c>
      <c r="H1074" s="20">
        <v>7.8419266062124699E-3</v>
      </c>
      <c r="I1074" s="20">
        <v>119.873155706557</v>
      </c>
      <c r="J1074" s="20">
        <v>654.43532036523118</v>
      </c>
      <c r="K1074" s="20">
        <v>8.3113285686384355</v>
      </c>
      <c r="L1074" s="20">
        <f t="shared" si="38"/>
        <v>654.4340032479879</v>
      </c>
      <c r="M1074" s="20">
        <f t="shared" si="39"/>
        <v>-8.3113118412826932</v>
      </c>
    </row>
    <row r="1075" spans="1:13" x14ac:dyDescent="0.2">
      <c r="A1075" s="23">
        <v>262</v>
      </c>
      <c r="B1075" s="20">
        <v>653.35201504478596</v>
      </c>
      <c r="C1075" s="20">
        <v>47.5498757643958</v>
      </c>
      <c r="D1075" s="20">
        <v>340.873841756209</v>
      </c>
      <c r="E1075" s="20">
        <v>-0.27350619466703102</v>
      </c>
      <c r="F1075" s="20">
        <v>-1.51109486647126</v>
      </c>
      <c r="G1075" s="20">
        <v>1.5356475292192</v>
      </c>
      <c r="H1075" s="20">
        <v>7.8470060405288495E-3</v>
      </c>
      <c r="I1075" s="20">
        <v>119.940020382371</v>
      </c>
      <c r="J1075" s="20">
        <v>655.0813488322691</v>
      </c>
      <c r="K1075" s="20">
        <v>8.3195331301698179</v>
      </c>
      <c r="L1075" s="20">
        <f t="shared" si="38"/>
        <v>655.08003041482777</v>
      </c>
      <c r="M1075" s="20">
        <f t="shared" si="39"/>
        <v>-8.3195163863015917</v>
      </c>
    </row>
    <row r="1076" spans="1:13" x14ac:dyDescent="0.2">
      <c r="A1076" s="23">
        <v>262.25</v>
      </c>
      <c r="B1076" s="20">
        <v>653.99203322611504</v>
      </c>
      <c r="C1076" s="20">
        <v>47.6496229534607</v>
      </c>
      <c r="D1076" s="20">
        <v>340.847213464481</v>
      </c>
      <c r="E1076" s="20">
        <v>-0.27376109195485099</v>
      </c>
      <c r="F1076" s="20">
        <v>-1.5099604690081301</v>
      </c>
      <c r="G1076" s="20">
        <v>1.53457673429372</v>
      </c>
      <c r="H1076" s="20">
        <v>7.8520770707408601E-3</v>
      </c>
      <c r="I1076" s="20">
        <v>120.00685666746099</v>
      </c>
      <c r="J1076" s="20">
        <v>655.72692245832297</v>
      </c>
      <c r="K1076" s="20">
        <v>8.3277319152207028</v>
      </c>
      <c r="L1076" s="20">
        <f t="shared" si="38"/>
        <v>655.72560274160026</v>
      </c>
      <c r="M1076" s="20">
        <f t="shared" si="39"/>
        <v>-8.3277151548516333</v>
      </c>
    </row>
    <row r="1077" spans="1:13" x14ac:dyDescent="0.2">
      <c r="A1077" s="23">
        <v>262.5</v>
      </c>
      <c r="B1077" s="20">
        <v>654.63158788712303</v>
      </c>
      <c r="C1077" s="20">
        <v>47.749408981983102</v>
      </c>
      <c r="D1077" s="20">
        <v>340.820582578852</v>
      </c>
      <c r="E1077" s="20">
        <v>-0.27401545240122299</v>
      </c>
      <c r="F1077" s="20">
        <v>-1.50882518192871</v>
      </c>
      <c r="G1077" s="20">
        <v>1.53350510197288</v>
      </c>
      <c r="H1077" s="20">
        <v>7.8571398017067903E-3</v>
      </c>
      <c r="I1077" s="20">
        <v>120.073664253803</v>
      </c>
      <c r="J1077" s="20">
        <v>656.37204089657837</v>
      </c>
      <c r="K1077" s="20">
        <v>8.3359249193865459</v>
      </c>
      <c r="L1077" s="20">
        <f t="shared" si="38"/>
        <v>656.37071988148955</v>
      </c>
      <c r="M1077" s="20">
        <f t="shared" si="39"/>
        <v>-8.3359081425282611</v>
      </c>
    </row>
    <row r="1078" spans="1:13" x14ac:dyDescent="0.2">
      <c r="A1078" s="23">
        <v>262.75</v>
      </c>
      <c r="B1078" s="20">
        <v>655.27067869674704</v>
      </c>
      <c r="C1078" s="20">
        <v>47.849233560648301</v>
      </c>
      <c r="D1078" s="20">
        <v>340.79394911069801</v>
      </c>
      <c r="E1078" s="20">
        <v>-0.27426927464829198</v>
      </c>
      <c r="F1078" s="20">
        <v>-1.50768900663575</v>
      </c>
      <c r="G1078" s="20">
        <v>1.5324326333468601</v>
      </c>
      <c r="H1078" s="20">
        <v>7.8621943377326503E-3</v>
      </c>
      <c r="I1078" s="20">
        <v>120.14044283557</v>
      </c>
      <c r="J1078" s="20">
        <v>657.01670380070198</v>
      </c>
      <c r="K1078" s="20">
        <v>8.3441121382689154</v>
      </c>
      <c r="L1078" s="20">
        <f t="shared" si="38"/>
        <v>657.01538148816348</v>
      </c>
      <c r="M1078" s="20">
        <f t="shared" si="39"/>
        <v>-8.3440953449330522</v>
      </c>
    </row>
    <row r="1079" spans="1:13" x14ac:dyDescent="0.2">
      <c r="A1079" s="23">
        <v>263</v>
      </c>
      <c r="B1079" s="20">
        <v>655.90930532445896</v>
      </c>
      <c r="C1079" s="20">
        <v>47.949096400192502</v>
      </c>
      <c r="D1079" s="20">
        <v>340.76731307123202</v>
      </c>
      <c r="E1079" s="20">
        <v>-0.27452255733687198</v>
      </c>
      <c r="F1079" s="20">
        <v>-1.5065519445169899</v>
      </c>
      <c r="G1079" s="20">
        <v>1.53135932948955</v>
      </c>
      <c r="H1079" s="20">
        <v>7.8672407825711495E-3</v>
      </c>
      <c r="I1079" s="20">
        <v>120.207192109142</v>
      </c>
      <c r="J1079" s="20">
        <v>657.66091082483456</v>
      </c>
      <c r="K1079" s="20">
        <v>8.3522935674753995</v>
      </c>
      <c r="L1079" s="20">
        <f t="shared" si="38"/>
        <v>657.65958721576419</v>
      </c>
      <c r="M1079" s="20">
        <f t="shared" si="39"/>
        <v>-8.3522767576736143</v>
      </c>
    </row>
    <row r="1080" spans="1:13" x14ac:dyDescent="0.2">
      <c r="A1080" s="23">
        <v>263.25</v>
      </c>
      <c r="B1080" s="20">
        <v>656.54746744025897</v>
      </c>
      <c r="C1080" s="20">
        <v>48.048997211403801</v>
      </c>
      <c r="D1080" s="20">
        <v>340.74067447150497</v>
      </c>
      <c r="E1080" s="20">
        <v>-0.27477529910649701</v>
      </c>
      <c r="F1080" s="20">
        <v>-1.50541399694523</v>
      </c>
      <c r="G1080" s="20">
        <v>1.5302851914586599</v>
      </c>
      <c r="H1080" s="20">
        <v>7.8722792394201498E-3</v>
      </c>
      <c r="I1080" s="20">
        <v>120.27391177312001</v>
      </c>
      <c r="J1080" s="20">
        <v>658.30466162358516</v>
      </c>
      <c r="K1080" s="20">
        <v>8.360469202619532</v>
      </c>
      <c r="L1080" s="20">
        <f t="shared" si="38"/>
        <v>658.30333671890151</v>
      </c>
      <c r="M1080" s="20">
        <f t="shared" si="39"/>
        <v>-8.3604523763634901</v>
      </c>
    </row>
    <row r="1081" spans="1:13" x14ac:dyDescent="0.2">
      <c r="A1081" s="23">
        <v>263.5</v>
      </c>
      <c r="B1081" s="20">
        <v>657.18516471466899</v>
      </c>
      <c r="C1081" s="20">
        <v>48.148935705123499</v>
      </c>
      <c r="D1081" s="20">
        <v>340.71403332240402</v>
      </c>
      <c r="E1081" s="20">
        <v>-0.275027498595458</v>
      </c>
      <c r="F1081" s="20">
        <v>-1.50427516527848</v>
      </c>
      <c r="G1081" s="20">
        <v>1.52921022029585</v>
      </c>
      <c r="H1081" s="20">
        <v>7.8773098109215199E-3</v>
      </c>
      <c r="I1081" s="20">
        <v>120.340601528332</v>
      </c>
      <c r="J1081" s="20">
        <v>658.94795585202553</v>
      </c>
      <c r="K1081" s="20">
        <v>8.3686390393207244</v>
      </c>
      <c r="L1081" s="20">
        <f t="shared" si="38"/>
        <v>658.94662965264695</v>
      </c>
      <c r="M1081" s="20">
        <f t="shared" si="39"/>
        <v>-8.3686221966220913</v>
      </c>
    </row>
    <row r="1082" spans="1:13" x14ac:dyDescent="0.2">
      <c r="A1082" s="23">
        <v>263.75</v>
      </c>
      <c r="B1082" s="20">
        <v>657.82239681872397</v>
      </c>
      <c r="C1082" s="20">
        <v>48.248911592247602</v>
      </c>
      <c r="D1082" s="20">
        <v>340.68738963465302</v>
      </c>
      <c r="E1082" s="20">
        <v>-0.275279154440848</v>
      </c>
      <c r="F1082" s="20">
        <v>-1.5031354508600501</v>
      </c>
      <c r="G1082" s="20">
        <v>1.5281344170268301</v>
      </c>
      <c r="H1082" s="20">
        <v>7.8823325991595593E-3</v>
      </c>
      <c r="I1082" s="20">
        <v>120.407261077851</v>
      </c>
      <c r="J1082" s="20">
        <v>659.59079316567886</v>
      </c>
      <c r="K1082" s="20">
        <v>8.3768030732041225</v>
      </c>
      <c r="L1082" s="20">
        <f t="shared" si="38"/>
        <v>659.58946567252519</v>
      </c>
      <c r="M1082" s="20">
        <f t="shared" si="39"/>
        <v>-8.3767862140745777</v>
      </c>
    </row>
    <row r="1083" spans="1:13" x14ac:dyDescent="0.2">
      <c r="A1083" s="23">
        <v>264</v>
      </c>
      <c r="B1083" s="20">
        <v>658.45916342396697</v>
      </c>
      <c r="C1083" s="20">
        <v>48.348924583727602</v>
      </c>
      <c r="D1083" s="20">
        <v>340.660743418815</v>
      </c>
      <c r="E1083" s="20">
        <v>-0.27553026527860602</v>
      </c>
      <c r="F1083" s="20">
        <v>-1.5019948550186499</v>
      </c>
      <c r="G1083" s="20">
        <v>1.52705778266148</v>
      </c>
      <c r="H1083" s="20">
        <v>7.8873477056596204E-3</v>
      </c>
      <c r="I1083" s="20">
        <v>120.473890127006</v>
      </c>
      <c r="J1083" s="20">
        <v>660.23317322051753</v>
      </c>
      <c r="K1083" s="20">
        <v>8.3849612999005725</v>
      </c>
      <c r="L1083" s="20">
        <f t="shared" si="38"/>
        <v>660.23184443450884</v>
      </c>
      <c r="M1083" s="20">
        <f t="shared" si="39"/>
        <v>-8.3849444243518025</v>
      </c>
    </row>
    <row r="1084" spans="1:13" x14ac:dyDescent="0.2">
      <c r="A1084" s="23">
        <v>264.25</v>
      </c>
      <c r="B1084" s="20">
        <v>659.09546420244101</v>
      </c>
      <c r="C1084" s="20">
        <v>48.448974390572197</v>
      </c>
      <c r="D1084" s="20">
        <v>340.63409468528801</v>
      </c>
      <c r="E1084" s="20">
        <v>-0.27578082974356</v>
      </c>
      <c r="F1084" s="20">
        <v>-1.5008533790685099</v>
      </c>
      <c r="G1084" s="20">
        <v>1.5259803181939899</v>
      </c>
      <c r="H1084" s="20">
        <v>7.8923552313863304E-3</v>
      </c>
      <c r="I1084" s="20">
        <v>120.54048838339099</v>
      </c>
      <c r="J1084" s="20">
        <v>660.87509567295331</v>
      </c>
      <c r="K1084" s="20">
        <v>8.3931137150465069</v>
      </c>
      <c r="L1084" s="20">
        <f t="shared" si="38"/>
        <v>660.87376559501092</v>
      </c>
      <c r="M1084" s="20">
        <f t="shared" si="39"/>
        <v>-8.393096823090211</v>
      </c>
    </row>
    <row r="1085" spans="1:13" x14ac:dyDescent="0.2">
      <c r="A1085" s="23">
        <v>264.5</v>
      </c>
      <c r="B1085" s="20">
        <v>659.73129882668104</v>
      </c>
      <c r="C1085" s="20">
        <v>48.549060723847603</v>
      </c>
      <c r="D1085" s="20">
        <v>340.60744344430702</v>
      </c>
      <c r="E1085" s="20">
        <v>-0.27603084646947501</v>
      </c>
      <c r="F1085" s="20">
        <v>-1.49971102430948</v>
      </c>
      <c r="G1085" s="20">
        <v>1.5249020246029099</v>
      </c>
      <c r="H1085" s="20">
        <v>7.8973552767422003E-3</v>
      </c>
      <c r="I1085" s="20">
        <v>120.60705555688099</v>
      </c>
      <c r="J1085" s="20">
        <v>661.51656017983191</v>
      </c>
      <c r="K1085" s="20">
        <v>8.4012603142838671</v>
      </c>
      <c r="L1085" s="20">
        <f t="shared" si="38"/>
        <v>661.51522881087737</v>
      </c>
      <c r="M1085" s="20">
        <f t="shared" si="39"/>
        <v>-8.4012434059317478</v>
      </c>
    </row>
    <row r="1086" spans="1:13" x14ac:dyDescent="0.2">
      <c r="A1086" s="23">
        <v>264.75</v>
      </c>
      <c r="B1086" s="20">
        <v>660.36666696970997</v>
      </c>
      <c r="C1086" s="20">
        <v>48.649183294679801</v>
      </c>
      <c r="D1086" s="20">
        <v>340.58078970594602</v>
      </c>
      <c r="E1086" s="20">
        <v>-0.27628031408909298</v>
      </c>
      <c r="F1086" s="20">
        <v>-1.4985677920271501</v>
      </c>
      <c r="G1086" s="20">
        <v>1.5238229028513399</v>
      </c>
      <c r="H1086" s="20">
        <v>7.9023479415656107E-3</v>
      </c>
      <c r="I1086" s="20">
        <v>120.673591359645</v>
      </c>
      <c r="J1086" s="20">
        <v>662.15756639842596</v>
      </c>
      <c r="K1086" s="20">
        <v>8.4094010932600103</v>
      </c>
      <c r="L1086" s="20">
        <f t="shared" si="38"/>
        <v>662.15623373938206</v>
      </c>
      <c r="M1086" s="20">
        <f t="shared" si="39"/>
        <v>-8.4093841685237898</v>
      </c>
    </row>
    <row r="1087" spans="1:13" x14ac:dyDescent="0.2">
      <c r="A1087" s="23">
        <v>265</v>
      </c>
      <c r="B1087" s="20">
        <v>661.00156830502794</v>
      </c>
      <c r="C1087" s="20">
        <v>48.7493418142545</v>
      </c>
      <c r="D1087" s="20">
        <v>340.55413348011302</v>
      </c>
      <c r="E1087" s="20">
        <v>-0.27652923123418099</v>
      </c>
      <c r="F1087" s="20">
        <v>-1.49742368349294</v>
      </c>
      <c r="G1087" s="20">
        <v>1.5227429538870101</v>
      </c>
      <c r="H1087" s="20">
        <v>7.9073333251291292E-3</v>
      </c>
      <c r="I1087" s="20">
        <v>120.74009550616</v>
      </c>
      <c r="J1087" s="20">
        <v>662.79811398642869</v>
      </c>
      <c r="K1087" s="20">
        <v>8.417536047627646</v>
      </c>
      <c r="L1087" s="20">
        <f t="shared" si="38"/>
        <v>662.79678003821766</v>
      </c>
      <c r="M1087" s="20">
        <f t="shared" si="39"/>
        <v>-8.4175191065190358</v>
      </c>
    </row>
    <row r="1088" spans="1:13" x14ac:dyDescent="0.2">
      <c r="A1088" s="23">
        <v>265.25</v>
      </c>
      <c r="B1088" s="20">
        <v>661.63600250660897</v>
      </c>
      <c r="C1088" s="20">
        <v>48.849535993819202</v>
      </c>
      <c r="D1088" s="20">
        <v>340.52747477655299</v>
      </c>
      <c r="E1088" s="20">
        <v>-0.27677759653558098</v>
      </c>
      <c r="F1088" s="20">
        <v>-1.4962786999642399</v>
      </c>
      <c r="G1088" s="20">
        <v>1.5216621786423901</v>
      </c>
      <c r="H1088" s="20">
        <v>7.9123115261375693E-3</v>
      </c>
      <c r="I1088" s="20">
        <v>120.806567713224</v>
      </c>
      <c r="J1088" s="20">
        <v>663.43820260194582</v>
      </c>
      <c r="K1088" s="20">
        <v>8.4256651730447114</v>
      </c>
      <c r="L1088" s="20">
        <f t="shared" si="38"/>
        <v>663.43686736549159</v>
      </c>
      <c r="M1088" s="20">
        <f t="shared" si="39"/>
        <v>-8.4256482155754462</v>
      </c>
    </row>
    <row r="1089" spans="1:13" x14ac:dyDescent="0.2">
      <c r="A1089" s="23">
        <v>265.5</v>
      </c>
      <c r="B1089" s="20">
        <v>662.26996924889295</v>
      </c>
      <c r="C1089" s="20">
        <v>48.949765544683601</v>
      </c>
      <c r="D1089" s="20">
        <v>340.50081360484899</v>
      </c>
      <c r="E1089" s="20">
        <v>-0.27702540862324798</v>
      </c>
      <c r="F1089" s="20">
        <v>-1.4951328426844901</v>
      </c>
      <c r="G1089" s="20">
        <v>1.5205805780348101</v>
      </c>
      <c r="H1089" s="20">
        <v>7.9172826427260801E-3</v>
      </c>
      <c r="I1089" s="20">
        <v>120.87300769996899</v>
      </c>
      <c r="J1089" s="20">
        <v>664.0778319034913</v>
      </c>
      <c r="K1089" s="20">
        <v>8.4337884651743398</v>
      </c>
      <c r="L1089" s="20">
        <f t="shared" si="38"/>
        <v>664.07649537971838</v>
      </c>
      <c r="M1089" s="20">
        <f t="shared" si="39"/>
        <v>-8.4337714913561577</v>
      </c>
    </row>
    <row r="1090" spans="1:13" x14ac:dyDescent="0.2">
      <c r="A1090" s="23">
        <v>265.75</v>
      </c>
      <c r="B1090" s="20">
        <v>662.90346820677905</v>
      </c>
      <c r="C1090" s="20">
        <v>49.050030178221</v>
      </c>
      <c r="D1090" s="20">
        <v>340.47414997442002</v>
      </c>
      <c r="E1090" s="20">
        <v>-0.27727266612630402</v>
      </c>
      <c r="F1090" s="20">
        <v>-1.4939861128833001</v>
      </c>
      <c r="G1090" s="20">
        <v>1.5194981529666101</v>
      </c>
      <c r="H1090" s="20">
        <v>7.9222467724578902E-3</v>
      </c>
      <c r="I1090" s="20">
        <v>120.93941518788</v>
      </c>
      <c r="J1090" s="20">
        <v>664.7170015499795</v>
      </c>
      <c r="K1090" s="20">
        <v>8.441905919684741</v>
      </c>
      <c r="L1090" s="20">
        <f t="shared" si="38"/>
        <v>664.71566373981329</v>
      </c>
      <c r="M1090" s="20">
        <f t="shared" si="39"/>
        <v>-8.4418889295293962</v>
      </c>
    </row>
    <row r="1091" spans="1:13" x14ac:dyDescent="0.2">
      <c r="A1091" s="23">
        <v>266</v>
      </c>
      <c r="B1091" s="20">
        <v>663.53649905561701</v>
      </c>
      <c r="C1091" s="20">
        <v>49.150329605868997</v>
      </c>
      <c r="D1091" s="20">
        <v>340.447483894519</v>
      </c>
      <c r="E1091" s="20">
        <v>-0.27751936767308399</v>
      </c>
      <c r="F1091" s="20">
        <v>-1.4928385117765699</v>
      </c>
      <c r="G1091" s="20">
        <v>1.51841490432522</v>
      </c>
      <c r="H1091" s="20">
        <v>7.9272040123223707E-3</v>
      </c>
      <c r="I1091" s="20">
        <v>121.005789900805</v>
      </c>
      <c r="J1091" s="20">
        <v>665.35571120071836</v>
      </c>
      <c r="K1091" s="20">
        <v>8.4500175322491238</v>
      </c>
      <c r="L1091" s="20">
        <f t="shared" si="38"/>
        <v>665.35437210508383</v>
      </c>
      <c r="M1091" s="20">
        <f t="shared" si="39"/>
        <v>-8.4500005257683632</v>
      </c>
    </row>
    <row r="1092" spans="1:13" x14ac:dyDescent="0.2">
      <c r="A1092" s="23">
        <v>266.25</v>
      </c>
      <c r="B1092" s="20">
        <v>664.16906147120596</v>
      </c>
      <c r="C1092" s="20">
        <v>49.250663539130997</v>
      </c>
      <c r="D1092" s="20">
        <v>340.42081537423797</v>
      </c>
      <c r="E1092" s="20">
        <v>-0.27776551189118398</v>
      </c>
      <c r="F1092" s="20">
        <v>-1.4916900405665801</v>
      </c>
      <c r="G1092" s="20">
        <v>1.51733083298327</v>
      </c>
      <c r="H1092" s="20">
        <v>7.9321544587326494E-3</v>
      </c>
      <c r="I1092" s="20">
        <v>121.072131564975</v>
      </c>
      <c r="J1092" s="20">
        <v>665.99396051540384</v>
      </c>
      <c r="K1092" s="20">
        <v>8.4581232985456296</v>
      </c>
      <c r="L1092" s="20">
        <f t="shared" si="38"/>
        <v>665.99262013522889</v>
      </c>
      <c r="M1092" s="20">
        <f t="shared" si="39"/>
        <v>-8.4581062757512395</v>
      </c>
    </row>
    <row r="1093" spans="1:13" x14ac:dyDescent="0.2">
      <c r="A1093" s="23">
        <v>266.5</v>
      </c>
      <c r="B1093" s="20">
        <v>664.80115512978102</v>
      </c>
      <c r="C1093" s="20">
        <v>49.351031689576701</v>
      </c>
      <c r="D1093" s="20">
        <v>340.39414442250398</v>
      </c>
      <c r="E1093" s="20">
        <v>-0.27801109740750601</v>
      </c>
      <c r="F1093" s="20">
        <v>-1.4905407004421101</v>
      </c>
      <c r="G1093" s="20">
        <v>1.51624593979874</v>
      </c>
      <c r="H1093" s="20">
        <v>7.93709820752324E-3</v>
      </c>
      <c r="I1093" s="20">
        <v>121.13843990901501</v>
      </c>
      <c r="J1093" s="20">
        <v>666.63174915411412</v>
      </c>
      <c r="K1093" s="20">
        <v>8.4662232142572496</v>
      </c>
      <c r="L1093" s="20">
        <f t="shared" si="38"/>
        <v>666.63040749032496</v>
      </c>
      <c r="M1093" s="20">
        <f t="shared" si="39"/>
        <v>-8.4662061751609929</v>
      </c>
    </row>
    <row r="1094" spans="1:13" x14ac:dyDescent="0.2">
      <c r="A1094" s="23">
        <v>266.75</v>
      </c>
      <c r="B1094" s="20">
        <v>665.43277970801103</v>
      </c>
      <c r="C1094" s="20">
        <v>49.451433768843202</v>
      </c>
      <c r="D1094" s="20">
        <v>340.36747104807802</v>
      </c>
      <c r="E1094" s="20">
        <v>-0.27825612284831303</v>
      </c>
      <c r="F1094" s="20">
        <v>-1.4893904925785499</v>
      </c>
      <c r="G1094" s="20">
        <v>1.51516022561508</v>
      </c>
      <c r="H1094" s="20">
        <v>7.9420353539478902E-3</v>
      </c>
      <c r="I1094" s="20">
        <v>121.204714663966</v>
      </c>
      <c r="J1094" s="20">
        <v>667.26907677730094</v>
      </c>
      <c r="K1094" s="20">
        <v>8.4743172750717228</v>
      </c>
      <c r="L1094" s="20">
        <f t="shared" si="38"/>
        <v>667.26773383082491</v>
      </c>
      <c r="M1094" s="20">
        <f t="shared" si="39"/>
        <v>-8.4743002196853734</v>
      </c>
    </row>
    <row r="1095" spans="1:13" x14ac:dyDescent="0.2">
      <c r="A1095" s="23">
        <v>267</v>
      </c>
      <c r="B1095" s="20">
        <v>666.06393488299295</v>
      </c>
      <c r="C1095" s="20">
        <v>49.551869488636001</v>
      </c>
      <c r="D1095" s="20">
        <v>340.34079525956002</v>
      </c>
      <c r="E1095" s="20">
        <v>-0.27850058683927698</v>
      </c>
      <c r="F1095" s="20">
        <v>-1.4882394181380201</v>
      </c>
      <c r="G1095" s="20">
        <v>1.5140736912613</v>
      </c>
      <c r="H1095" s="20">
        <v>7.9469659926767206E-3</v>
      </c>
      <c r="I1095" s="20">
        <v>121.270955563295</v>
      </c>
      <c r="J1095" s="20">
        <v>667.90594304578485</v>
      </c>
      <c r="K1095" s="20">
        <v>8.4824054766814676</v>
      </c>
      <c r="L1095" s="20">
        <f t="shared" si="38"/>
        <v>667.90459881755169</v>
      </c>
      <c r="M1095" s="20">
        <f t="shared" si="39"/>
        <v>-8.4823884050168363</v>
      </c>
    </row>
    <row r="1096" spans="1:13" x14ac:dyDescent="0.2">
      <c r="A1096" s="23">
        <v>267.25</v>
      </c>
      <c r="B1096" s="20">
        <v>666.69462033224204</v>
      </c>
      <c r="C1096" s="20">
        <v>49.652338560730001</v>
      </c>
      <c r="D1096" s="20">
        <v>340.31411706538398</v>
      </c>
      <c r="E1096" s="20">
        <v>-0.27874448800552498</v>
      </c>
      <c r="F1096" s="20">
        <v>-1.4870874782694501</v>
      </c>
      <c r="G1096" s="20">
        <v>1.51298633755208</v>
      </c>
      <c r="H1096" s="20">
        <v>7.9518902177938295E-3</v>
      </c>
      <c r="I1096" s="20">
        <v>121.33716234291801</v>
      </c>
      <c r="J1096" s="20">
        <v>668.54234762075077</v>
      </c>
      <c r="K1096" s="20">
        <v>8.4904878147835365</v>
      </c>
      <c r="L1096" s="20">
        <f t="shared" si="38"/>
        <v>668.54100211168929</v>
      </c>
      <c r="M1096" s="20">
        <f t="shared" si="39"/>
        <v>-8.4904707268524149</v>
      </c>
    </row>
    <row r="1097" spans="1:13" x14ac:dyDescent="0.2">
      <c r="A1097" s="23">
        <v>267.5</v>
      </c>
      <c r="B1097" s="20">
        <v>667.32483573368802</v>
      </c>
      <c r="C1097" s="20">
        <v>49.752840696970097</v>
      </c>
      <c r="D1097" s="20">
        <v>340.28743647381799</v>
      </c>
      <c r="E1097" s="20">
        <v>-0.278987824971695</v>
      </c>
      <c r="F1097" s="20">
        <v>-1.48593467410874</v>
      </c>
      <c r="G1097" s="20">
        <v>1.51189816528795</v>
      </c>
      <c r="H1097" s="20">
        <v>7.9568081227946192E-3</v>
      </c>
      <c r="I1097" s="20">
        <v>121.40333474121201</v>
      </c>
      <c r="J1097" s="20">
        <v>669.17829016373946</v>
      </c>
      <c r="K1097" s="20">
        <v>8.4985642850794925</v>
      </c>
      <c r="L1097" s="20">
        <f t="shared" si="38"/>
        <v>669.17694337477872</v>
      </c>
      <c r="M1097" s="20">
        <f t="shared" si="39"/>
        <v>-8.4985471808936843</v>
      </c>
    </row>
    <row r="1098" spans="1:13" x14ac:dyDescent="0.2">
      <c r="A1098" s="23">
        <v>267.75</v>
      </c>
      <c r="B1098" s="20">
        <v>667.95458076566797</v>
      </c>
      <c r="C1098" s="20">
        <v>49.853375609272199</v>
      </c>
      <c r="D1098" s="20">
        <v>340.260753492969</v>
      </c>
      <c r="E1098" s="20">
        <v>-0.279230596361985</v>
      </c>
      <c r="F1098" s="20">
        <v>-1.4847810067788101</v>
      </c>
      <c r="G1098" s="20">
        <v>1.5108091752553601</v>
      </c>
      <c r="H1098" s="20">
        <v>7.9617198005829601E-3</v>
      </c>
      <c r="I1098" s="20">
        <v>121.46947249903801</v>
      </c>
      <c r="J1098" s="20">
        <v>669.81377033663989</v>
      </c>
      <c r="K1098" s="20">
        <v>8.5066348832753267</v>
      </c>
      <c r="L1098" s="20">
        <f t="shared" si="38"/>
        <v>669.81242226871132</v>
      </c>
      <c r="M1098" s="20">
        <f t="shared" si="39"/>
        <v>-8.5066177628466608</v>
      </c>
    </row>
    <row r="1099" spans="1:13" x14ac:dyDescent="0.2">
      <c r="A1099" s="23">
        <v>268</v>
      </c>
      <c r="B1099" s="20">
        <v>668.58385510691903</v>
      </c>
      <c r="C1099" s="20">
        <v>49.953943009624297</v>
      </c>
      <c r="D1099" s="20">
        <v>340.23406813077497</v>
      </c>
      <c r="E1099" s="20">
        <v>-0.27947280080020498</v>
      </c>
      <c r="F1099" s="20">
        <v>-1.48362647738978</v>
      </c>
      <c r="G1099" s="20">
        <v>1.5097193682268</v>
      </c>
      <c r="H1099" s="20">
        <v>7.9666253434682605E-3</v>
      </c>
      <c r="I1099" s="20">
        <v>121.535575359753</v>
      </c>
      <c r="J1099" s="20">
        <v>670.44878780168744</v>
      </c>
      <c r="K1099" s="20">
        <v>8.5146996050814305</v>
      </c>
      <c r="L1099" s="20">
        <f t="shared" si="38"/>
        <v>670.44743845572157</v>
      </c>
      <c r="M1099" s="20">
        <f t="shared" si="39"/>
        <v>-8.5146824684217233</v>
      </c>
    </row>
    <row r="1100" spans="1:13" x14ac:dyDescent="0.2">
      <c r="A1100" s="23">
        <v>268.25</v>
      </c>
      <c r="B1100" s="20">
        <v>669.21265843657704</v>
      </c>
      <c r="C1100" s="20">
        <v>50.054542610086699</v>
      </c>
      <c r="D1100" s="20">
        <v>340.20738039501202</v>
      </c>
      <c r="E1100" s="20">
        <v>-0.279714436909831</v>
      </c>
      <c r="F1100" s="20">
        <v>-1.4824710870390101</v>
      </c>
      <c r="G1100" s="20">
        <v>1.5086287449609399</v>
      </c>
      <c r="H1100" s="20">
        <v>7.9715248431625699E-3</v>
      </c>
      <c r="I1100" s="20">
        <v>121.60164306923301</v>
      </c>
      <c r="J1100" s="20">
        <v>671.08334222145595</v>
      </c>
      <c r="K1100" s="20">
        <v>8.5227584462124923</v>
      </c>
      <c r="L1100" s="20">
        <f t="shared" si="38"/>
        <v>671.08199159838568</v>
      </c>
      <c r="M1100" s="20">
        <f t="shared" si="39"/>
        <v>-8.5227412933335902</v>
      </c>
    </row>
    <row r="1101" spans="1:13" x14ac:dyDescent="0.2">
      <c r="A1101" s="23">
        <v>268.5</v>
      </c>
      <c r="B1101" s="20">
        <v>669.84099043416302</v>
      </c>
      <c r="C1101" s="20">
        <v>50.155174122793703</v>
      </c>
      <c r="D1101" s="20">
        <v>340.18069029329001</v>
      </c>
      <c r="E1101" s="20">
        <v>-0.279955503314054</v>
      </c>
      <c r="F1101" s="20">
        <v>-1.4813148368112801</v>
      </c>
      <c r="G1101" s="20">
        <v>1.5075373062027499</v>
      </c>
      <c r="H1101" s="20">
        <v>7.9764183907774996E-3</v>
      </c>
      <c r="I1101" s="20">
        <v>121.66767537589401</v>
      </c>
      <c r="J1101" s="20">
        <v>671.71743325885154</v>
      </c>
      <c r="K1101" s="20">
        <v>8.5308114023874158</v>
      </c>
      <c r="L1101" s="20">
        <f t="shared" si="38"/>
        <v>671.71608135960855</v>
      </c>
      <c r="M1101" s="20">
        <f t="shared" si="39"/>
        <v>-8.5307942333011511</v>
      </c>
    </row>
    <row r="1102" spans="1:13" x14ac:dyDescent="0.2">
      <c r="A1102" s="23">
        <v>268.75</v>
      </c>
      <c r="B1102" s="20">
        <v>670.468850779582</v>
      </c>
      <c r="C1102" s="20">
        <v>50.255837259953402</v>
      </c>
      <c r="D1102" s="20">
        <v>340.15399783305298</v>
      </c>
      <c r="E1102" s="20">
        <v>-0.28019599863583999</v>
      </c>
      <c r="F1102" s="20">
        <v>-1.48015772777883</v>
      </c>
      <c r="G1102" s="20">
        <v>1.50644505268361</v>
      </c>
      <c r="H1102" s="20">
        <v>7.9813060768210396E-3</v>
      </c>
      <c r="I1102" s="20">
        <v>121.733672030702</v>
      </c>
      <c r="J1102" s="20">
        <v>672.35106057710425</v>
      </c>
      <c r="K1102" s="20">
        <v>8.5388584693292238</v>
      </c>
      <c r="L1102" s="20">
        <f t="shared" si="38"/>
        <v>672.34970740262258</v>
      </c>
      <c r="M1102" s="20">
        <f t="shared" si="39"/>
        <v>-8.5388412840474626</v>
      </c>
    </row>
    <row r="1103" spans="1:13" x14ac:dyDescent="0.2">
      <c r="A1103" s="23">
        <v>269</v>
      </c>
      <c r="B1103" s="20">
        <v>671.09623915311704</v>
      </c>
      <c r="C1103" s="20">
        <v>50.356531733849003</v>
      </c>
      <c r="D1103" s="20">
        <v>340.12730302158002</v>
      </c>
      <c r="E1103" s="20">
        <v>-0.28043592149797902</v>
      </c>
      <c r="F1103" s="20">
        <v>-1.4789997610015599</v>
      </c>
      <c r="G1103" s="20">
        <v>1.5053519851214501</v>
      </c>
      <c r="H1103" s="20">
        <v>7.9861879911942903E-3</v>
      </c>
      <c r="I1103" s="20">
        <v>121.799632787204</v>
      </c>
      <c r="J1103" s="20">
        <v>672.98422383976867</v>
      </c>
      <c r="K1103" s="20">
        <v>8.5468996427650623</v>
      </c>
      <c r="L1103" s="20">
        <f t="shared" si="38"/>
        <v>672.98286939098216</v>
      </c>
      <c r="M1103" s="20">
        <f t="shared" si="39"/>
        <v>-8.54688244129966</v>
      </c>
    </row>
    <row r="1104" spans="1:13" x14ac:dyDescent="0.2">
      <c r="A1104" s="23">
        <v>269.25</v>
      </c>
      <c r="B1104" s="20">
        <v>671.72315523542102</v>
      </c>
      <c r="C1104" s="20">
        <v>50.457257256839704</v>
      </c>
      <c r="D1104" s="20">
        <v>340.10060586598598</v>
      </c>
      <c r="E1104" s="20">
        <v>-0.28067527052314001</v>
      </c>
      <c r="F1104" s="20">
        <v>-1.47784093752706</v>
      </c>
      <c r="G1104" s="20">
        <v>1.5042581042208401</v>
      </c>
      <c r="H1104" s="20">
        <v>7.9910642231880696E-3</v>
      </c>
      <c r="I1104" s="20">
        <v>121.865557401541</v>
      </c>
      <c r="J1104" s="20">
        <v>673.6169227107124</v>
      </c>
      <c r="K1104" s="20">
        <v>8.5549349184260475</v>
      </c>
      <c r="L1104" s="20">
        <f t="shared" si="38"/>
        <v>673.61556698855497</v>
      </c>
      <c r="M1104" s="20">
        <f t="shared" si="39"/>
        <v>-8.5549177007888684</v>
      </c>
    </row>
    <row r="1105" spans="1:13" x14ac:dyDescent="0.2">
      <c r="A1105" s="23">
        <v>269.5</v>
      </c>
      <c r="B1105" s="20">
        <v>672.34959870751197</v>
      </c>
      <c r="C1105" s="20">
        <v>50.5580135413609</v>
      </c>
      <c r="D1105" s="20">
        <v>340.07390637321799</v>
      </c>
      <c r="E1105" s="20">
        <v>-0.28091404433393302</v>
      </c>
      <c r="F1105" s="20">
        <v>-1.47668125839076</v>
      </c>
      <c r="G1105" s="20">
        <v>1.5031634106731599</v>
      </c>
      <c r="H1105" s="20">
        <v>7.9959348614795107E-3</v>
      </c>
      <c r="I1105" s="20">
        <v>121.93144563246901</v>
      </c>
      <c r="J1105" s="20">
        <v>674.24915685411088</v>
      </c>
      <c r="K1105" s="20">
        <v>8.5629642920472087</v>
      </c>
      <c r="L1105" s="20">
        <f t="shared" si="38"/>
        <v>674.24779985951818</v>
      </c>
      <c r="M1105" s="20">
        <f t="shared" si="39"/>
        <v>-8.562947058250133</v>
      </c>
    </row>
    <row r="1106" spans="1:13" x14ac:dyDescent="0.2">
      <c r="A1106" s="23">
        <v>269.75</v>
      </c>
      <c r="B1106" s="20">
        <v>672.97556925076901</v>
      </c>
      <c r="C1106" s="20">
        <v>50.658800299925197</v>
      </c>
      <c r="D1106" s="20">
        <v>340.04720455005901</v>
      </c>
      <c r="E1106" s="20">
        <v>-0.28115224155295399</v>
      </c>
      <c r="F1106" s="20">
        <v>-1.47552072461607</v>
      </c>
      <c r="G1106" s="20">
        <v>1.5020679051566801</v>
      </c>
      <c r="H1106" s="20">
        <v>8.0007999941283294E-3</v>
      </c>
      <c r="I1106" s="20">
        <v>121.997297241384</v>
      </c>
      <c r="J1106" s="20">
        <v>674.8809259344456</v>
      </c>
      <c r="K1106" s="20">
        <v>8.5709877593674602</v>
      </c>
      <c r="L1106" s="20">
        <f t="shared" si="38"/>
        <v>674.87956766835384</v>
      </c>
      <c r="M1106" s="20">
        <f t="shared" si="39"/>
        <v>-8.5709705094223771</v>
      </c>
    </row>
    <row r="1107" spans="1:13" x14ac:dyDescent="0.2">
      <c r="A1107" s="23">
        <v>270</v>
      </c>
      <c r="B1107" s="20">
        <v>673.60106654692197</v>
      </c>
      <c r="C1107" s="20">
        <v>50.759617245122897</v>
      </c>
      <c r="D1107" s="20">
        <v>340.02050040312298</v>
      </c>
      <c r="E1107" s="20">
        <v>-0.281389860802854</v>
      </c>
      <c r="F1107" s="20">
        <v>-1.4743593372144399</v>
      </c>
      <c r="G1107" s="20">
        <v>1.5009715883367201</v>
      </c>
      <c r="H1107" s="20">
        <v>8.0056597085734708E-3</v>
      </c>
      <c r="I1107" s="20">
        <v>122.06311199234</v>
      </c>
      <c r="J1107" s="20">
        <v>675.51222961649376</v>
      </c>
      <c r="K1107" s="20">
        <v>8.5790053161294715</v>
      </c>
      <c r="L1107" s="20">
        <f t="shared" si="38"/>
        <v>675.51087007983972</v>
      </c>
      <c r="M1107" s="20">
        <f t="shared" si="39"/>
        <v>-8.5789880500482809</v>
      </c>
    </row>
    <row r="1108" spans="1:13" x14ac:dyDescent="0.2">
      <c r="A1108" s="23">
        <v>270.25</v>
      </c>
      <c r="B1108" s="20">
        <v>674.22609027805095</v>
      </c>
      <c r="C1108" s="20">
        <v>50.860464089622802</v>
      </c>
      <c r="D1108" s="20">
        <v>339.99379393886102</v>
      </c>
      <c r="E1108" s="20">
        <v>-0.28162690070638702</v>
      </c>
      <c r="F1108" s="20">
        <v>-1.4731970971855</v>
      </c>
      <c r="G1108" s="20">
        <v>1.4998744608657399</v>
      </c>
      <c r="H1108" s="20">
        <v>8.0105140916288502E-3</v>
      </c>
      <c r="I1108" s="20">
        <v>122.128889652072</v>
      </c>
      <c r="J1108" s="20">
        <v>676.1430675653271</v>
      </c>
      <c r="K1108" s="20">
        <v>8.5870169580796549</v>
      </c>
      <c r="L1108" s="20">
        <f t="shared" si="38"/>
        <v>676.14170675904791</v>
      </c>
      <c r="M1108" s="20">
        <f t="shared" si="39"/>
        <v>-8.5869996758742566</v>
      </c>
    </row>
    <row r="1109" spans="1:13" x14ac:dyDescent="0.2">
      <c r="A1109" s="23">
        <v>270.5</v>
      </c>
      <c r="B1109" s="20">
        <v>674.85064012657597</v>
      </c>
      <c r="C1109" s="20">
        <v>50.961340546172799</v>
      </c>
      <c r="D1109" s="20">
        <v>339.967085163555</v>
      </c>
      <c r="E1109" s="20">
        <v>-0.28186335988647099</v>
      </c>
      <c r="F1109" s="20">
        <v>-1.4720340055172001</v>
      </c>
      <c r="G1109" s="20">
        <v>1.49877652338349</v>
      </c>
      <c r="H1109" s="20">
        <v>8.0153632294798806E-3</v>
      </c>
      <c r="I1109" s="20">
        <v>122.194629990018</v>
      </c>
      <c r="J1109" s="20">
        <v>676.77343944630184</v>
      </c>
      <c r="K1109" s="20">
        <v>8.5950226809680341</v>
      </c>
      <c r="L1109" s="20">
        <f t="shared" si="38"/>
        <v>676.77207737133506</v>
      </c>
      <c r="M1109" s="20">
        <f t="shared" si="39"/>
        <v>-8.595005382650335</v>
      </c>
    </row>
    <row r="1110" spans="1:13" x14ac:dyDescent="0.2">
      <c r="A1110" s="23">
        <v>270.75</v>
      </c>
      <c r="B1110" s="20">
        <v>675.47471577525505</v>
      </c>
      <c r="C1110" s="20">
        <v>51.062246327600299</v>
      </c>
      <c r="D1110" s="20">
        <v>339.94037408332201</v>
      </c>
      <c r="E1110" s="20">
        <v>-0.282099236966251</v>
      </c>
      <c r="F1110" s="20">
        <v>-1.47087006318588</v>
      </c>
      <c r="G1110" s="20">
        <v>1.4976777765171501</v>
      </c>
      <c r="H1110" s="20">
        <v>8.0202072076792502E-3</v>
      </c>
      <c r="I1110" s="20">
        <v>122.260332778343</v>
      </c>
      <c r="J1110" s="20">
        <v>677.40334492505599</v>
      </c>
      <c r="K1110" s="20">
        <v>8.6030224805482121</v>
      </c>
      <c r="L1110" s="20">
        <f t="shared" si="38"/>
        <v>677.40198158234091</v>
      </c>
      <c r="M1110" s="20">
        <f t="shared" si="39"/>
        <v>-8.6030051661301421</v>
      </c>
    </row>
    <row r="1111" spans="1:13" x14ac:dyDescent="0.2">
      <c r="A1111" s="23">
        <v>271</v>
      </c>
      <c r="B1111" s="20">
        <v>676.09831690717795</v>
      </c>
      <c r="C1111" s="20">
        <v>51.163181146813002</v>
      </c>
      <c r="D1111" s="20">
        <v>339.91366070411198</v>
      </c>
      <c r="E1111" s="20">
        <v>-0.28233453056914998</v>
      </c>
      <c r="F1111" s="20">
        <v>-1.4697052711564</v>
      </c>
      <c r="G1111" s="20">
        <v>1.49657822088143</v>
      </c>
      <c r="H1111" s="20">
        <v>8.0250461111428095E-3</v>
      </c>
      <c r="I1111" s="20">
        <v>122.325997791961</v>
      </c>
      <c r="J1111" s="20">
        <v>678.03278366750556</v>
      </c>
      <c r="K1111" s="20">
        <v>8.6110163525773213</v>
      </c>
      <c r="L1111" s="20">
        <f t="shared" si="38"/>
        <v>678.03141905798168</v>
      </c>
      <c r="M1111" s="20">
        <f t="shared" si="39"/>
        <v>-8.6109990220708124</v>
      </c>
    </row>
    <row r="1112" spans="1:13" x14ac:dyDescent="0.2">
      <c r="A1112" s="23">
        <v>271.25</v>
      </c>
      <c r="B1112" s="20">
        <v>676.72144320575705</v>
      </c>
      <c r="C1112" s="20">
        <v>51.264144716799301</v>
      </c>
      <c r="D1112" s="20">
        <v>339.886945031707</v>
      </c>
      <c r="E1112" s="20">
        <v>-0.28256923931893901</v>
      </c>
      <c r="F1112" s="20">
        <v>-1.46853963038229</v>
      </c>
      <c r="G1112" s="20">
        <v>1.49547785707868</v>
      </c>
      <c r="H1112" s="20">
        <v>8.0298800241454405E-3</v>
      </c>
      <c r="I1112" s="20">
        <v>122.39162480855801</v>
      </c>
      <c r="J1112" s="20">
        <v>678.66175533983414</v>
      </c>
      <c r="K1112" s="20">
        <v>8.6190042928158945</v>
      </c>
      <c r="L1112" s="20">
        <f t="shared" si="38"/>
        <v>678.66038946444166</v>
      </c>
      <c r="M1112" s="20">
        <f t="shared" si="39"/>
        <v>-8.6189869462328854</v>
      </c>
    </row>
    <row r="1113" spans="1:13" x14ac:dyDescent="0.2">
      <c r="A1113" s="23">
        <v>271.5</v>
      </c>
      <c r="B1113" s="20">
        <v>677.34409435472696</v>
      </c>
      <c r="C1113" s="20">
        <v>51.365136750628999</v>
      </c>
      <c r="D1113" s="20">
        <v>339.86022707172299</v>
      </c>
      <c r="E1113" s="20">
        <v>-0.28280336183978699</v>
      </c>
      <c r="F1113" s="20">
        <v>-1.46737314180581</v>
      </c>
      <c r="G1113" s="20">
        <v>1.4943766856990699</v>
      </c>
      <c r="H1113" s="20">
        <v>8.0347090303165992E-3</v>
      </c>
      <c r="I1113" s="20">
        <v>122.45721360861999</v>
      </c>
      <c r="J1113" s="20">
        <v>679.29025960849367</v>
      </c>
      <c r="K1113" s="20">
        <v>8.6269862970278712</v>
      </c>
      <c r="L1113" s="20">
        <f t="shared" si="38"/>
        <v>679.28889246817221</v>
      </c>
      <c r="M1113" s="20">
        <f t="shared" si="39"/>
        <v>-8.6269689343802956</v>
      </c>
    </row>
    <row r="1114" spans="1:13" x14ac:dyDescent="0.2">
      <c r="A1114" s="23">
        <v>271.75</v>
      </c>
      <c r="B1114" s="20">
        <v>677.96627003813705</v>
      </c>
      <c r="C1114" s="20">
        <v>51.4661569614534</v>
      </c>
      <c r="D1114" s="20">
        <v>339.83350682960599</v>
      </c>
      <c r="E1114" s="20">
        <v>-0.28303689675633098</v>
      </c>
      <c r="F1114" s="20">
        <v>-1.46620580635813</v>
      </c>
      <c r="G1114" s="20">
        <v>1.49327470732071</v>
      </c>
      <c r="H1114" s="20">
        <v>8.0395332126359693E-3</v>
      </c>
      <c r="I1114" s="20">
        <v>122.522763975454</v>
      </c>
      <c r="J1114" s="20">
        <v>679.91829614019343</v>
      </c>
      <c r="K1114" s="20">
        <v>8.634962360980456</v>
      </c>
      <c r="L1114" s="20">
        <f t="shared" si="38"/>
        <v>679.91692773588534</v>
      </c>
      <c r="M1114" s="20">
        <f t="shared" si="39"/>
        <v>-8.6349449822802828</v>
      </c>
    </row>
    <row r="1115" spans="1:13" x14ac:dyDescent="0.2">
      <c r="A1115" s="23">
        <v>272</v>
      </c>
      <c r="B1115" s="20">
        <v>678.58796994034401</v>
      </c>
      <c r="C1115" s="20">
        <v>51.567205062506197</v>
      </c>
      <c r="D1115" s="20">
        <v>339.80678431063802</v>
      </c>
      <c r="E1115" s="20">
        <v>-0.28326984269373701</v>
      </c>
      <c r="F1115" s="20">
        <v>-1.46503762495937</v>
      </c>
      <c r="G1115" s="20">
        <v>1.4921719225097101</v>
      </c>
      <c r="H1115" s="20">
        <v>8.0443526534288001E-3</v>
      </c>
      <c r="I1115" s="20">
        <v>122.588275695213</v>
      </c>
      <c r="J1115" s="20">
        <v>680.54586460189955</v>
      </c>
      <c r="K1115" s="20">
        <v>8.6429324804441254</v>
      </c>
      <c r="L1115" s="20">
        <f t="shared" si="38"/>
        <v>680.54449493454558</v>
      </c>
      <c r="M1115" s="20">
        <f t="shared" si="39"/>
        <v>-8.6429150857033008</v>
      </c>
    </row>
    <row r="1116" spans="1:13" x14ac:dyDescent="0.2">
      <c r="A1116" s="23">
        <v>272.25</v>
      </c>
      <c r="B1116" s="20">
        <v>679.20919374601203</v>
      </c>
      <c r="C1116" s="20">
        <v>51.668280767104001</v>
      </c>
      <c r="D1116" s="20">
        <v>339.780059519931</v>
      </c>
      <c r="E1116" s="20">
        <v>-0.28350219827775702</v>
      </c>
      <c r="F1116" s="20">
        <v>-1.46386859851881</v>
      </c>
      <c r="G1116" s="20">
        <v>1.4910683318204301</v>
      </c>
      <c r="H1116" s="20">
        <v>8.0491674343612495E-3</v>
      </c>
      <c r="I1116" s="20">
        <v>122.653748556925</v>
      </c>
      <c r="J1116" s="20">
        <v>681.17296466082689</v>
      </c>
      <c r="K1116" s="20">
        <v>8.6508966511925021</v>
      </c>
      <c r="L1116" s="20">
        <f t="shared" ref="L1116:L1179" si="40">SQRT(B1116^2+C1116^2)</f>
        <v>681.17159373137099</v>
      </c>
      <c r="M1116" s="20">
        <f t="shared" ref="M1116:M1179" si="41">-L1116/A$25*100</f>
        <v>-8.6508792404230146</v>
      </c>
    </row>
    <row r="1117" spans="1:13" x14ac:dyDescent="0.2">
      <c r="A1117" s="23">
        <v>272.5</v>
      </c>
      <c r="B1117" s="20">
        <v>679.8299411401</v>
      </c>
      <c r="C1117" s="20">
        <v>51.769383788646103</v>
      </c>
      <c r="D1117" s="20">
        <v>339.753332462429</v>
      </c>
      <c r="E1117" s="20">
        <v>-0.28373396213480001</v>
      </c>
      <c r="F1117" s="20">
        <v>-1.4626987279349399</v>
      </c>
      <c r="G1117" s="20">
        <v>1.4899639357954899</v>
      </c>
      <c r="H1117" s="20">
        <v>8.0539776364354897E-3</v>
      </c>
      <c r="I1117" s="20">
        <v>122.719182352518</v>
      </c>
      <c r="J1117" s="20">
        <v>681.79959598443486</v>
      </c>
      <c r="K1117" s="20">
        <v>8.6588548690023242</v>
      </c>
      <c r="L1117" s="20">
        <f t="shared" si="40"/>
        <v>681.79822379382006</v>
      </c>
      <c r="M1117" s="20">
        <f t="shared" si="41"/>
        <v>-8.6588374422161518</v>
      </c>
    </row>
    <row r="1118" spans="1:13" x14ac:dyDescent="0.2">
      <c r="A1118" s="23">
        <v>272.75</v>
      </c>
      <c r="B1118" s="20">
        <v>680.45021180786398</v>
      </c>
      <c r="C1118" s="20">
        <v>51.8705138406158</v>
      </c>
      <c r="D1118" s="20">
        <v>339.72660314290698</v>
      </c>
      <c r="E1118" s="20">
        <v>-0.28396513289199099</v>
      </c>
      <c r="F1118" s="20">
        <v>-1.46152801409558</v>
      </c>
      <c r="G1118" s="20">
        <v>1.4888587349659901</v>
      </c>
      <c r="H1118" s="20">
        <v>8.0587833399848909E-3</v>
      </c>
      <c r="I1118" s="20">
        <v>122.784576876844</v>
      </c>
      <c r="J1118" s="20">
        <v>682.42575824042387</v>
      </c>
      <c r="K1118" s="20">
        <v>8.6668071296533835</v>
      </c>
      <c r="L1118" s="20">
        <f t="shared" si="40"/>
        <v>682.42438478959446</v>
      </c>
      <c r="M1118" s="20">
        <f t="shared" si="41"/>
        <v>-8.6667896868625167</v>
      </c>
    </row>
    <row r="1119" spans="1:13" x14ac:dyDescent="0.2">
      <c r="A1119" s="23">
        <v>273</v>
      </c>
      <c r="B1119" s="20">
        <v>681.07000543484696</v>
      </c>
      <c r="C1119" s="20">
        <v>51.971670636579901</v>
      </c>
      <c r="D1119" s="20">
        <v>339.69987156597301</v>
      </c>
      <c r="E1119" s="20">
        <v>-0.28419570917724102</v>
      </c>
      <c r="F1119" s="20">
        <v>-1.4603564578780699</v>
      </c>
      <c r="G1119" s="20">
        <v>1.48775272985161</v>
      </c>
      <c r="H1119" s="20">
        <v>8.0635846246688899E-3</v>
      </c>
      <c r="I1119" s="20">
        <v>122.84993192770899</v>
      </c>
      <c r="J1119" s="20">
        <v>683.05145109672844</v>
      </c>
      <c r="K1119" s="20">
        <v>8.6747534289284509</v>
      </c>
      <c r="L1119" s="20">
        <f t="shared" si="40"/>
        <v>683.05007638662892</v>
      </c>
      <c r="M1119" s="20">
        <f t="shared" si="41"/>
        <v>-8.6747359701448872</v>
      </c>
    </row>
    <row r="1120" spans="1:13" x14ac:dyDescent="0.2">
      <c r="A1120" s="23">
        <v>273.25</v>
      </c>
      <c r="B1120" s="20">
        <v>681.68932170687594</v>
      </c>
      <c r="C1120" s="20">
        <v>52.072853890189897</v>
      </c>
      <c r="D1120" s="20">
        <v>339.67313773606497</v>
      </c>
      <c r="E1120" s="20">
        <v>-0.28442568961930698</v>
      </c>
      <c r="F1120" s="20">
        <v>-1.45918406014929</v>
      </c>
      <c r="G1120" s="20">
        <v>1.4866459209607299</v>
      </c>
      <c r="H1120" s="20">
        <v>8.0683815694678005E-3</v>
      </c>
      <c r="I1120" s="20">
        <v>122.915247305901</v>
      </c>
      <c r="J1120" s="20">
        <v>683.67667422151328</v>
      </c>
      <c r="K1120" s="20">
        <v>8.6826937626132192</v>
      </c>
      <c r="L1120" s="20">
        <f t="shared" si="40"/>
        <v>683.67529825308861</v>
      </c>
      <c r="M1120" s="20">
        <f t="shared" si="41"/>
        <v>-8.6826762878489561</v>
      </c>
    </row>
    <row r="1121" spans="1:13" x14ac:dyDescent="0.2">
      <c r="A1121" s="23">
        <v>273.5</v>
      </c>
      <c r="B1121" s="20">
        <v>682.30816031005702</v>
      </c>
      <c r="C1121" s="20">
        <v>52.174063315181698</v>
      </c>
      <c r="D1121" s="20">
        <v>339.646401657453</v>
      </c>
      <c r="E1121" s="20">
        <v>-0.28465507284786401</v>
      </c>
      <c r="F1121" s="20">
        <v>-1.45801082176587</v>
      </c>
      <c r="G1121" s="20">
        <v>1.48553830879059</v>
      </c>
      <c r="H1121" s="20">
        <v>8.0731742526775306E-3</v>
      </c>
      <c r="I1121" s="20">
        <v>122.980522815217</v>
      </c>
      <c r="J1121" s="20">
        <v>684.30142728316639</v>
      </c>
      <c r="K1121" s="20">
        <v>8.6906281264962146</v>
      </c>
      <c r="L1121" s="20">
        <f t="shared" si="40"/>
        <v>684.30005005736416</v>
      </c>
      <c r="M1121" s="20">
        <f t="shared" si="41"/>
        <v>-8.6906106357632886</v>
      </c>
    </row>
    <row r="1122" spans="1:13" x14ac:dyDescent="0.2">
      <c r="A1122" s="23">
        <v>273.75</v>
      </c>
      <c r="B1122" s="20">
        <v>682.92652093076799</v>
      </c>
      <c r="C1122" s="20">
        <v>52.275298625376102</v>
      </c>
      <c r="D1122" s="20">
        <v>339.61966333423698</v>
      </c>
      <c r="E1122" s="20">
        <v>-0.28488385749356998</v>
      </c>
      <c r="F1122" s="20">
        <v>-1.45683674357427</v>
      </c>
      <c r="G1122" s="20">
        <v>1.4844298938274201</v>
      </c>
      <c r="H1122" s="20">
        <v>8.0779627519040106E-3</v>
      </c>
      <c r="I1122" s="20">
        <v>123.045758262492</v>
      </c>
      <c r="J1122" s="20">
        <v>684.92570995029894</v>
      </c>
      <c r="K1122" s="20">
        <v>8.6985565163687966</v>
      </c>
      <c r="L1122" s="20">
        <f t="shared" si="40"/>
        <v>684.92433146806434</v>
      </c>
      <c r="M1122" s="20">
        <f t="shared" si="41"/>
        <v>-8.6985390096792106</v>
      </c>
    </row>
    <row r="1123" spans="1:13" x14ac:dyDescent="0.2">
      <c r="A1123" s="23">
        <v>274</v>
      </c>
      <c r="B1123" s="20">
        <v>683.54440325565804</v>
      </c>
      <c r="C1123" s="20">
        <v>52.376559534679302</v>
      </c>
      <c r="D1123" s="20">
        <v>339.59292277034803</v>
      </c>
      <c r="E1123" s="20">
        <v>-0.28511204218813402</v>
      </c>
      <c r="F1123" s="20">
        <v>-1.45566182641088</v>
      </c>
      <c r="G1123" s="20">
        <v>1.4833206765465601</v>
      </c>
      <c r="H1123" s="20">
        <v>8.0827471440578398E-3</v>
      </c>
      <c r="I1123" s="20">
        <v>123.110953457628</v>
      </c>
      <c r="J1123" s="20">
        <v>685.54952189173639</v>
      </c>
      <c r="K1123" s="20">
        <v>8.706478928025053</v>
      </c>
      <c r="L1123" s="20">
        <f t="shared" si="40"/>
        <v>685.54814215401632</v>
      </c>
      <c r="M1123" s="20">
        <f t="shared" si="41"/>
        <v>-8.7064614053908329</v>
      </c>
    </row>
    <row r="1124" spans="1:13" x14ac:dyDescent="0.2">
      <c r="A1124" s="23">
        <v>274.25</v>
      </c>
      <c r="B1124" s="20">
        <v>684.16180697163998</v>
      </c>
      <c r="C1124" s="20">
        <v>52.477845757082797</v>
      </c>
      <c r="D1124" s="20">
        <v>339.566179969546</v>
      </c>
      <c r="E1124" s="20">
        <v>-0.28533962556438702</v>
      </c>
      <c r="F1124" s="20">
        <v>-1.4544860711022001</v>
      </c>
      <c r="G1124" s="20">
        <v>1.4822106574126199</v>
      </c>
      <c r="H1124" s="20">
        <v>8.0875275053483905E-3</v>
      </c>
      <c r="I1124" s="20">
        <v>123.176108213628</v>
      </c>
      <c r="J1124" s="20">
        <v>686.17286277651419</v>
      </c>
      <c r="K1124" s="20">
        <v>8.714395357261731</v>
      </c>
      <c r="L1124" s="20">
        <f t="shared" si="40"/>
        <v>686.17148178425759</v>
      </c>
      <c r="M1124" s="20">
        <f t="shared" si="41"/>
        <v>-8.7143778186949294</v>
      </c>
    </row>
    <row r="1125" spans="1:13" x14ac:dyDescent="0.2">
      <c r="A1125" s="23">
        <v>274.5</v>
      </c>
      <c r="B1125" s="20">
        <v>684.77873176588605</v>
      </c>
      <c r="C1125" s="20">
        <v>52.579157006664197</v>
      </c>
      <c r="D1125" s="20">
        <v>339.53943493542198</v>
      </c>
      <c r="E1125" s="20">
        <v>-0.28556660625635</v>
      </c>
      <c r="F1125" s="20">
        <v>-1.4533094784649401</v>
      </c>
      <c r="G1125" s="20">
        <v>1.48109983687961</v>
      </c>
      <c r="H1125" s="20">
        <v>8.0923039112779597E-3</v>
      </c>
      <c r="I1125" s="20">
        <v>123.241222346618</v>
      </c>
      <c r="J1125" s="20">
        <v>686.79573227387561</v>
      </c>
      <c r="K1125" s="20">
        <v>8.722305799878221</v>
      </c>
      <c r="L1125" s="20">
        <f t="shared" si="40"/>
        <v>686.79435002803189</v>
      </c>
      <c r="M1125" s="20">
        <f t="shared" si="41"/>
        <v>-8.7222882453908941</v>
      </c>
    </row>
    <row r="1126" spans="1:13" x14ac:dyDescent="0.2">
      <c r="A1126" s="23">
        <v>274.75</v>
      </c>
      <c r="B1126" s="20">
        <v>685.39517732582101</v>
      </c>
      <c r="C1126" s="20">
        <v>52.680492997586803</v>
      </c>
      <c r="D1126" s="20">
        <v>339.51268767139698</v>
      </c>
      <c r="E1126" s="20">
        <v>-0.28579298289930499</v>
      </c>
      <c r="F1126" s="20">
        <v>-1.4521320493061001</v>
      </c>
      <c r="G1126" s="20">
        <v>1.47998821539106</v>
      </c>
      <c r="H1126" s="20">
        <v>8.0970764366359495E-3</v>
      </c>
      <c r="I1126" s="20">
        <v>123.306295675887</v>
      </c>
      <c r="J1126" s="20">
        <v>687.41813005326537</v>
      </c>
      <c r="K1126" s="20">
        <v>8.7302102516764712</v>
      </c>
      <c r="L1126" s="20">
        <f t="shared" si="40"/>
        <v>687.41674655478278</v>
      </c>
      <c r="M1126" s="20">
        <f t="shared" si="41"/>
        <v>-8.7301926812806609</v>
      </c>
    </row>
    <row r="1127" spans="1:13" x14ac:dyDescent="0.2">
      <c r="A1127" s="23">
        <v>275</v>
      </c>
      <c r="B1127" s="20">
        <v>686.01114333912301</v>
      </c>
      <c r="C1127" s="20">
        <v>52.781853444100101</v>
      </c>
      <c r="D1127" s="20">
        <v>339.48593818071998</v>
      </c>
      <c r="E1127" s="20">
        <v>-0.28601875412986799</v>
      </c>
      <c r="F1127" s="20">
        <v>-1.4509537844231699</v>
      </c>
      <c r="G1127" s="20">
        <v>1.4788757933801999</v>
      </c>
      <c r="H1127" s="20">
        <v>8.10184515549261E-3</v>
      </c>
      <c r="I1127" s="20">
        <v>123.371328023914</v>
      </c>
      <c r="J1127" s="20">
        <v>688.04005578432464</v>
      </c>
      <c r="K1127" s="20">
        <v>8.7381087084609241</v>
      </c>
      <c r="L1127" s="20">
        <f t="shared" si="40"/>
        <v>688.03867103415439</v>
      </c>
      <c r="M1127" s="20">
        <f t="shared" si="41"/>
        <v>-8.7380911221687132</v>
      </c>
    </row>
    <row r="1128" spans="1:13" x14ac:dyDescent="0.2">
      <c r="A1128" s="23">
        <v>275.25</v>
      </c>
      <c r="B1128" s="20">
        <v>686.62662949371304</v>
      </c>
      <c r="C1128" s="20">
        <v>52.883238060540002</v>
      </c>
      <c r="D1128" s="20">
        <v>339.45918646647101</v>
      </c>
      <c r="E1128" s="20">
        <v>-0.28624391858605802</v>
      </c>
      <c r="F1128" s="20">
        <v>-1.4497746846042101</v>
      </c>
      <c r="G1128" s="20">
        <v>1.4777625712700799</v>
      </c>
      <c r="H1128" s="20">
        <v>8.1066101411928094E-3</v>
      </c>
      <c r="I1128" s="20">
        <v>123.436319216401</v>
      </c>
      <c r="J1128" s="20">
        <v>688.66150913688978</v>
      </c>
      <c r="K1128" s="20">
        <v>8.7460011660385</v>
      </c>
      <c r="L1128" s="20">
        <f t="shared" si="40"/>
        <v>688.66012313598094</v>
      </c>
      <c r="M1128" s="20">
        <f t="shared" si="41"/>
        <v>-8.7459835638619428</v>
      </c>
    </row>
    <row r="1129" spans="1:13" x14ac:dyDescent="0.2">
      <c r="A1129" s="23">
        <v>275.5</v>
      </c>
      <c r="B1129" s="20">
        <v>687.24163547775595</v>
      </c>
      <c r="C1129" s="20">
        <v>52.984646561329001</v>
      </c>
      <c r="D1129" s="20">
        <v>339.43243253155703</v>
      </c>
      <c r="E1129" s="20">
        <v>-0.28646847490737498</v>
      </c>
      <c r="F1129" s="20">
        <v>-1.4485947506279899</v>
      </c>
      <c r="G1129" s="20">
        <v>1.4766485494736801</v>
      </c>
      <c r="H1129" s="20">
        <v>8.1113714663496091E-3</v>
      </c>
      <c r="I1129" s="20">
        <v>123.501269082305</v>
      </c>
      <c r="J1129" s="20">
        <v>689.28248978098372</v>
      </c>
      <c r="K1129" s="20">
        <v>8.7538876202184941</v>
      </c>
      <c r="L1129" s="20">
        <f t="shared" si="40"/>
        <v>689.28110253028831</v>
      </c>
      <c r="M1129" s="20">
        <f t="shared" si="41"/>
        <v>-8.7538700021696769</v>
      </c>
    </row>
    <row r="1130" spans="1:13" x14ac:dyDescent="0.2">
      <c r="A1130" s="23">
        <v>275.75</v>
      </c>
      <c r="B1130" s="20">
        <v>687.85616097965203</v>
      </c>
      <c r="C1130" s="20">
        <v>53.086078660976199</v>
      </c>
      <c r="D1130" s="20">
        <v>339.40567637871601</v>
      </c>
      <c r="E1130" s="20">
        <v>-0.28669242173486997</v>
      </c>
      <c r="F1130" s="20">
        <v>-1.44741398326412</v>
      </c>
      <c r="G1130" s="20">
        <v>1.4755337283941401</v>
      </c>
      <c r="H1130" s="20">
        <v>8.1161292028377706E-3</v>
      </c>
      <c r="I1130" s="20">
        <v>123.566177453874</v>
      </c>
      <c r="J1130" s="20">
        <v>689.90299738681438</v>
      </c>
      <c r="K1130" s="20">
        <v>8.7617680668125431</v>
      </c>
      <c r="L1130" s="20">
        <f t="shared" si="40"/>
        <v>689.90160888728497</v>
      </c>
      <c r="M1130" s="20">
        <f t="shared" si="41"/>
        <v>-8.7617504329035665</v>
      </c>
    </row>
    <row r="1131" spans="1:13" x14ac:dyDescent="0.2">
      <c r="A1131" s="23">
        <v>276</v>
      </c>
      <c r="B1131" s="20">
        <v>688.47020568803305</v>
      </c>
      <c r="C1131" s="20">
        <v>53.187534074077298</v>
      </c>
      <c r="D1131" s="20">
        <v>339.37891801051097</v>
      </c>
      <c r="E1131" s="20">
        <v>-0.28691575771122502</v>
      </c>
      <c r="F1131" s="20">
        <v>-1.4462323832731501</v>
      </c>
      <c r="G1131" s="20">
        <v>1.47441810842479</v>
      </c>
      <c r="H1131" s="20">
        <v>8.1208834217870608E-3</v>
      </c>
      <c r="I1131" s="20">
        <v>123.631044166679</v>
      </c>
      <c r="J1131" s="20">
        <v>690.52303162476949</v>
      </c>
      <c r="K1131" s="20">
        <v>8.7696425016345732</v>
      </c>
      <c r="L1131" s="20">
        <f t="shared" si="40"/>
        <v>690.521641877359</v>
      </c>
      <c r="M1131" s="20">
        <f t="shared" si="41"/>
        <v>-8.7696248518775377</v>
      </c>
    </row>
    <row r="1132" spans="1:13" x14ac:dyDescent="0.2">
      <c r="A1132" s="23">
        <v>276.25</v>
      </c>
      <c r="B1132" s="20">
        <v>689.08376929176097</v>
      </c>
      <c r="C1132" s="20">
        <v>53.289012515315001</v>
      </c>
      <c r="D1132" s="20">
        <v>339.35215742933599</v>
      </c>
      <c r="E1132" s="20">
        <v>-0.28713848148082299</v>
      </c>
      <c r="F1132" s="20">
        <v>-1.4450499514067501</v>
      </c>
      <c r="G1132" s="20">
        <v>1.4733016899494</v>
      </c>
      <c r="H1132" s="20">
        <v>8.12563419357527E-3</v>
      </c>
      <c r="I1132" s="20">
        <v>123.69586905964699</v>
      </c>
      <c r="J1132" s="20">
        <v>691.14259216541438</v>
      </c>
      <c r="K1132" s="20">
        <v>8.7775109205007631</v>
      </c>
      <c r="L1132" s="20">
        <f t="shared" si="40"/>
        <v>691.14120117107632</v>
      </c>
      <c r="M1132" s="20">
        <f t="shared" si="41"/>
        <v>-8.77749325490778</v>
      </c>
    </row>
    <row r="1133" spans="1:13" x14ac:dyDescent="0.2">
      <c r="A1133" s="23">
        <v>276.5</v>
      </c>
      <c r="B1133" s="20">
        <v>689.69685147991902</v>
      </c>
      <c r="C1133" s="20">
        <v>53.3905136994589</v>
      </c>
      <c r="D1133" s="20">
        <v>339.32539463741102</v>
      </c>
      <c r="E1133" s="20">
        <v>-0.28736059168982903</v>
      </c>
      <c r="F1133" s="20">
        <v>-1.44386668840781</v>
      </c>
      <c r="G1133" s="20">
        <v>1.47218447334227</v>
      </c>
      <c r="H1133" s="20">
        <v>8.1303815878214693E-3</v>
      </c>
      <c r="I1133" s="20">
        <v>123.76065197510199</v>
      </c>
      <c r="J1133" s="20">
        <v>691.76167867948504</v>
      </c>
      <c r="K1133" s="20">
        <v>8.7853733192294605</v>
      </c>
      <c r="L1133" s="20">
        <f t="shared" si="40"/>
        <v>691.76028643917221</v>
      </c>
      <c r="M1133" s="20">
        <f t="shared" si="41"/>
        <v>-8.7853556378126285</v>
      </c>
    </row>
    <row r="1134" spans="1:13" x14ac:dyDescent="0.2">
      <c r="A1134" s="23">
        <v>276.75</v>
      </c>
      <c r="B1134" s="20">
        <v>690.30945194181299</v>
      </c>
      <c r="C1134" s="20">
        <v>53.492037341365403</v>
      </c>
      <c r="D1134" s="20">
        <v>339.29862963678301</v>
      </c>
      <c r="E1134" s="20">
        <v>-0.28758208698626497</v>
      </c>
      <c r="F1134" s="20">
        <v>-1.44268259501056</v>
      </c>
      <c r="G1134" s="20">
        <v>1.47106645896838</v>
      </c>
      <c r="H1134" s="20">
        <v>8.1351256733786393E-3</v>
      </c>
      <c r="I1134" s="20">
        <v>123.825392758795</v>
      </c>
      <c r="J1134" s="20">
        <v>692.38029083788501</v>
      </c>
      <c r="K1134" s="20">
        <v>8.7932296936411394</v>
      </c>
      <c r="L1134" s="20">
        <f t="shared" si="40"/>
        <v>692.37889735255237</v>
      </c>
      <c r="M1134" s="20">
        <f t="shared" si="41"/>
        <v>-8.7932119964125874</v>
      </c>
    </row>
    <row r="1135" spans="1:13" x14ac:dyDescent="0.2">
      <c r="A1135" s="23">
        <v>277</v>
      </c>
      <c r="B1135" s="20">
        <v>690.92157036696301</v>
      </c>
      <c r="C1135" s="20">
        <v>53.593583155977903</v>
      </c>
      <c r="D1135" s="20">
        <v>339.27186242932902</v>
      </c>
      <c r="E1135" s="20">
        <v>-0.28780296602009298</v>
      </c>
      <c r="F1135" s="20">
        <v>-1.44149767194073</v>
      </c>
      <c r="G1135" s="20">
        <v>1.46994764718357</v>
      </c>
      <c r="H1135" s="20">
        <v>8.1398665183264798E-3</v>
      </c>
      <c r="I1135" s="20">
        <v>123.89009125994301</v>
      </c>
      <c r="J1135" s="20">
        <v>692.99842831168246</v>
      </c>
      <c r="K1135" s="20">
        <v>8.8010800395583679</v>
      </c>
      <c r="L1135" s="20">
        <f t="shared" si="40"/>
        <v>692.99703358228521</v>
      </c>
      <c r="M1135" s="20">
        <f t="shared" si="41"/>
        <v>-8.8010623265302268</v>
      </c>
    </row>
    <row r="1136" spans="1:13" x14ac:dyDescent="0.2">
      <c r="A1136" s="23">
        <v>277.25</v>
      </c>
      <c r="B1136" s="20">
        <v>691.533206445102</v>
      </c>
      <c r="C1136" s="20">
        <v>53.695150858326798</v>
      </c>
      <c r="D1136" s="20">
        <v>339.24509301674902</v>
      </c>
      <c r="E1136" s="20">
        <v>-0.28802322744329101</v>
      </c>
      <c r="F1136" s="20">
        <v>-1.44031191991567</v>
      </c>
      <c r="G1136" s="20">
        <v>1.4688280383346499</v>
      </c>
      <c r="H1136" s="20">
        <v>8.1446041899638794E-3</v>
      </c>
      <c r="I1136" s="20">
        <v>123.95474733126601</v>
      </c>
      <c r="J1136" s="20">
        <v>693.61609077210528</v>
      </c>
      <c r="K1136" s="20">
        <v>8.8089243528057377</v>
      </c>
      <c r="L1136" s="20">
        <f t="shared" si="40"/>
        <v>693.61469479960022</v>
      </c>
      <c r="M1136" s="20">
        <f t="shared" si="41"/>
        <v>-8.8089066239901594</v>
      </c>
    </row>
    <row r="1137" spans="1:13" x14ac:dyDescent="0.2">
      <c r="A1137" s="23">
        <v>277.5</v>
      </c>
      <c r="B1137" s="20">
        <v>692.144359866169</v>
      </c>
      <c r="C1137" s="20">
        <v>53.7967401635294</v>
      </c>
      <c r="D1137" s="20">
        <v>339.21832140057103</v>
      </c>
      <c r="E1137" s="20">
        <v>-0.28824286990993397</v>
      </c>
      <c r="F1137" s="20">
        <v>-1.4391253396444801</v>
      </c>
      <c r="G1137" s="20">
        <v>1.4677076327595899</v>
      </c>
      <c r="H1137" s="20">
        <v>8.1493387548013992E-3</v>
      </c>
      <c r="I1137" s="20">
        <v>124.01936082902699</v>
      </c>
      <c r="J1137" s="20">
        <v>694.23327789053747</v>
      </c>
      <c r="K1137" s="20">
        <v>8.8167626292098262</v>
      </c>
      <c r="L1137" s="20">
        <f t="shared" si="40"/>
        <v>694.23188067588137</v>
      </c>
      <c r="M1137" s="20">
        <f t="shared" si="41"/>
        <v>-8.8167448846189593</v>
      </c>
    </row>
    <row r="1138" spans="1:13" x14ac:dyDescent="0.2">
      <c r="A1138" s="23">
        <v>277.75</v>
      </c>
      <c r="B1138" s="20">
        <v>692.75503032030804</v>
      </c>
      <c r="C1138" s="20">
        <v>53.898350786789699</v>
      </c>
      <c r="D1138" s="20">
        <v>339.19154758215001</v>
      </c>
      <c r="E1138" s="20">
        <v>-0.28846189207627798</v>
      </c>
      <c r="F1138" s="20">
        <v>-1.43793793182815</v>
      </c>
      <c r="G1138" s="20">
        <v>1.4665864307876499</v>
      </c>
      <c r="H1138" s="20">
        <v>8.1540702785534106E-3</v>
      </c>
      <c r="I1138" s="20">
        <v>124.083931613065</v>
      </c>
      <c r="J1138" s="20">
        <v>694.84998933851602</v>
      </c>
      <c r="K1138" s="20">
        <v>8.8245948645991543</v>
      </c>
      <c r="L1138" s="20">
        <f t="shared" si="40"/>
        <v>694.84859088266614</v>
      </c>
      <c r="M1138" s="20">
        <f t="shared" si="41"/>
        <v>-8.824577104245158</v>
      </c>
    </row>
    <row r="1139" spans="1:13" x14ac:dyDescent="0.2">
      <c r="A1139" s="23">
        <v>278</v>
      </c>
      <c r="B1139" s="20">
        <v>693.365217497863</v>
      </c>
      <c r="C1139" s="20">
        <v>53.999982443398601</v>
      </c>
      <c r="D1139" s="20">
        <v>339.16477156266598</v>
      </c>
      <c r="E1139" s="20">
        <v>-0.28868029260083999</v>
      </c>
      <c r="F1139" s="20">
        <v>-1.43674969715969</v>
      </c>
      <c r="G1139" s="20">
        <v>1.4654644327395301</v>
      </c>
      <c r="H1139" s="20">
        <v>8.1587988261302008E-3</v>
      </c>
      <c r="I1139" s="20">
        <v>124.14845954684201</v>
      </c>
      <c r="J1139" s="20">
        <v>695.46622478772724</v>
      </c>
      <c r="K1139" s="20">
        <v>8.8324210548041364</v>
      </c>
      <c r="L1139" s="20">
        <f t="shared" si="40"/>
        <v>695.46482509164059</v>
      </c>
      <c r="M1139" s="20">
        <f t="shared" si="41"/>
        <v>-8.8324032786991644</v>
      </c>
    </row>
    <row r="1140" spans="1:13" x14ac:dyDescent="0.2">
      <c r="A1140" s="23">
        <v>278.25</v>
      </c>
      <c r="B1140" s="20">
        <v>693.97492108937502</v>
      </c>
      <c r="C1140" s="20">
        <v>54.101634848733603</v>
      </c>
      <c r="D1140" s="20">
        <v>339.13799334312301</v>
      </c>
      <c r="E1140" s="20">
        <v>-0.28889807014448399</v>
      </c>
      <c r="F1140" s="20">
        <v>-1.4355606363242901</v>
      </c>
      <c r="G1140" s="20">
        <v>1.4643416389275401</v>
      </c>
      <c r="H1140" s="20">
        <v>8.1635244616298092E-3</v>
      </c>
      <c r="I1140" s="20">
        <v>124.21294449747499</v>
      </c>
      <c r="J1140" s="20">
        <v>696.0819839100011</v>
      </c>
      <c r="K1140" s="20">
        <v>8.8402411956570148</v>
      </c>
      <c r="L1140" s="20">
        <f t="shared" si="40"/>
        <v>696.08058297463663</v>
      </c>
      <c r="M1140" s="20">
        <f t="shared" si="41"/>
        <v>-8.8402234038132459</v>
      </c>
    </row>
    <row r="1141" spans="1:13" x14ac:dyDescent="0.2">
      <c r="A1141" s="23">
        <v>278.5</v>
      </c>
      <c r="B1141" s="20">
        <v>694.58414078557701</v>
      </c>
      <c r="C1141" s="20">
        <v>54.203307718258699</v>
      </c>
      <c r="D1141" s="20">
        <v>339.11121292435303</v>
      </c>
      <c r="E1141" s="20">
        <v>-0.28911522337050499</v>
      </c>
      <c r="F1141" s="20">
        <v>-1.4343707499994001</v>
      </c>
      <c r="G1141" s="20">
        <v>1.4632180496557701</v>
      </c>
      <c r="H1141" s="20">
        <v>8.1682472483298098E-3</v>
      </c>
      <c r="I1141" s="20">
        <v>124.277386335782</v>
      </c>
      <c r="J1141" s="20">
        <v>696.69726637730992</v>
      </c>
      <c r="K1141" s="20">
        <v>8.8480552829918366</v>
      </c>
      <c r="L1141" s="20">
        <f t="shared" si="40"/>
        <v>696.69586420362691</v>
      </c>
      <c r="M1141" s="20">
        <f t="shared" si="41"/>
        <v>-8.848037475421453</v>
      </c>
    </row>
    <row r="1142" spans="1:13" x14ac:dyDescent="0.2">
      <c r="A1142" s="23">
        <v>278.75</v>
      </c>
      <c r="B1142" s="20">
        <v>695.19287627739197</v>
      </c>
      <c r="C1142" s="20">
        <v>54.305000767524398</v>
      </c>
      <c r="D1142" s="20">
        <v>339.08443030701</v>
      </c>
      <c r="E1142" s="20">
        <v>-0.28933175094471297</v>
      </c>
      <c r="F1142" s="20">
        <v>-1.43318003885496</v>
      </c>
      <c r="G1142" s="20">
        <v>1.4620936652201999</v>
      </c>
      <c r="H1142" s="20">
        <v>8.1729672486788394E-3</v>
      </c>
      <c r="I1142" s="20">
        <v>124.34178493632299</v>
      </c>
      <c r="J1142" s="20">
        <v>697.31207186176357</v>
      </c>
      <c r="K1142" s="20">
        <v>8.8558633126443986</v>
      </c>
      <c r="L1142" s="20">
        <f t="shared" si="40"/>
        <v>697.31066845072291</v>
      </c>
      <c r="M1142" s="20">
        <f t="shared" si="41"/>
        <v>-8.8558454893596057</v>
      </c>
    </row>
    <row r="1143" spans="1:13" x14ac:dyDescent="0.2">
      <c r="A1143" s="23">
        <v>279</v>
      </c>
      <c r="B1143" s="20">
        <v>695.80112725592801</v>
      </c>
      <c r="C1143" s="20">
        <v>54.406713712167402</v>
      </c>
      <c r="D1143" s="20">
        <v>339.057645491573</v>
      </c>
      <c r="E1143" s="20">
        <v>-0.28954765153552298</v>
      </c>
      <c r="F1143" s="20">
        <v>-1.4319885035534401</v>
      </c>
      <c r="G1143" s="20">
        <v>1.46096848590891</v>
      </c>
      <c r="H1143" s="20">
        <v>8.17768452428797E-3</v>
      </c>
      <c r="I1143" s="20">
        <v>124.406140177437</v>
      </c>
      <c r="J1143" s="20">
        <v>697.92640003560894</v>
      </c>
      <c r="K1143" s="20">
        <v>8.8636652804522331</v>
      </c>
      <c r="L1143" s="20">
        <f t="shared" si="40"/>
        <v>697.9249953881706</v>
      </c>
      <c r="M1143" s="20">
        <f t="shared" si="41"/>
        <v>-8.8636474414652202</v>
      </c>
    </row>
    <row r="1144" spans="1:13" x14ac:dyDescent="0.2">
      <c r="A1144" s="23">
        <v>279.25</v>
      </c>
      <c r="B1144" s="20">
        <v>696.40889341247498</v>
      </c>
      <c r="C1144" s="20">
        <v>54.508446267910202</v>
      </c>
      <c r="D1144" s="20">
        <v>339.030858478347</v>
      </c>
      <c r="E1144" s="20">
        <v>-0.28976292381404101</v>
      </c>
      <c r="F1144" s="20">
        <v>-1.4307961447500701</v>
      </c>
      <c r="G1144" s="20">
        <v>1.45984251200221</v>
      </c>
      <c r="H1144" s="20">
        <v>8.1823991359218605E-3</v>
      </c>
      <c r="I1144" s="20">
        <v>124.47045194129301</v>
      </c>
      <c r="J1144" s="20">
        <v>698.54025057122067</v>
      </c>
      <c r="K1144" s="20">
        <v>8.8714611822545031</v>
      </c>
      <c r="L1144" s="20">
        <f t="shared" si="40"/>
        <v>698.53884468834633</v>
      </c>
      <c r="M1144" s="20">
        <f t="shared" si="41"/>
        <v>-8.8714433275774844</v>
      </c>
    </row>
    <row r="1145" spans="1:13" x14ac:dyDescent="0.2">
      <c r="A1145" s="23">
        <v>279.5</v>
      </c>
      <c r="B1145" s="20">
        <v>697.01617443850296</v>
      </c>
      <c r="C1145" s="20">
        <v>54.610198150561203</v>
      </c>
      <c r="D1145" s="20">
        <v>339.00406926745802</v>
      </c>
      <c r="E1145" s="20">
        <v>-0.28997756645415201</v>
      </c>
      <c r="F1145" s="20">
        <v>-1.4296029630929199</v>
      </c>
      <c r="G1145" s="20">
        <v>1.45871574377284</v>
      </c>
      <c r="H1145" s="20">
        <v>8.1871111434899495E-3</v>
      </c>
      <c r="I1145" s="20">
        <v>124.534720113926</v>
      </c>
      <c r="J1145" s="20">
        <v>699.15362314110462</v>
      </c>
      <c r="K1145" s="20">
        <v>8.8792510138920289</v>
      </c>
      <c r="L1145" s="20">
        <f t="shared" si="40"/>
        <v>699.1522160237563</v>
      </c>
      <c r="M1145" s="20">
        <f t="shared" si="41"/>
        <v>-8.8792331435372223</v>
      </c>
    </row>
    <row r="1146" spans="1:13" x14ac:dyDescent="0.2">
      <c r="A1146" s="23">
        <v>279.75</v>
      </c>
      <c r="B1146" s="20">
        <v>697.62297002565595</v>
      </c>
      <c r="C1146" s="20">
        <v>54.711969076014398</v>
      </c>
      <c r="D1146" s="20">
        <v>338.97727785885598</v>
      </c>
      <c r="E1146" s="20">
        <v>-0.29019157813261498</v>
      </c>
      <c r="F1146" s="20">
        <v>-1.42840895922308</v>
      </c>
      <c r="G1146" s="20">
        <v>1.4575881814860601</v>
      </c>
      <c r="H1146" s="20">
        <v>8.1918206060370806E-3</v>
      </c>
      <c r="I1146" s="20">
        <v>124.59894458528601</v>
      </c>
      <c r="J1146" s="20">
        <v>699.76651741788942</v>
      </c>
      <c r="K1146" s="20">
        <v>8.8870347712071958</v>
      </c>
      <c r="L1146" s="20">
        <f t="shared" si="40"/>
        <v>699.7651090670297</v>
      </c>
      <c r="M1146" s="20">
        <f t="shared" si="41"/>
        <v>-8.8870168851868261</v>
      </c>
    </row>
    <row r="1147" spans="1:13" x14ac:dyDescent="0.2">
      <c r="A1147" s="23">
        <v>280</v>
      </c>
      <c r="B1147" s="20">
        <v>698.22927986575098</v>
      </c>
      <c r="C1147" s="20">
        <v>54.813758760249101</v>
      </c>
      <c r="D1147" s="20">
        <v>338.95048425231499</v>
      </c>
      <c r="E1147" s="20">
        <v>-0.29040495752914602</v>
      </c>
      <c r="F1147" s="20">
        <v>-1.4272141337747599</v>
      </c>
      <c r="G1147" s="20">
        <v>1.4564598253999199</v>
      </c>
      <c r="H1147" s="20">
        <v>8.1965275817343294E-3</v>
      </c>
      <c r="I1147" s="20">
        <v>124.66312524928099</v>
      </c>
      <c r="J1147" s="20">
        <v>700.37893307432762</v>
      </c>
      <c r="K1147" s="20">
        <v>8.8948124500439611</v>
      </c>
      <c r="L1147" s="20">
        <f t="shared" si="40"/>
        <v>700.37752349091841</v>
      </c>
      <c r="M1147" s="20">
        <f t="shared" si="41"/>
        <v>-8.8947945483702426</v>
      </c>
    </row>
    <row r="1148" spans="1:13" x14ac:dyDescent="0.2">
      <c r="A1148" s="23">
        <v>280.25</v>
      </c>
      <c r="B1148" s="20">
        <v>698.83510365077598</v>
      </c>
      <c r="C1148" s="20">
        <v>54.9155669193294</v>
      </c>
      <c r="D1148" s="20">
        <v>338.92368844742998</v>
      </c>
      <c r="E1148" s="20">
        <v>-0.29061770332651898</v>
      </c>
      <c r="F1148" s="20">
        <v>-1.42601848737551</v>
      </c>
      <c r="G1148" s="20">
        <v>1.4553306757653199</v>
      </c>
      <c r="H1148" s="20">
        <v>8.2012321278693498E-3</v>
      </c>
      <c r="I1148" s="20">
        <v>124.727262003823</v>
      </c>
      <c r="J1148" s="20">
        <v>700.99086978328796</v>
      </c>
      <c r="K1148" s="20">
        <v>8.9025840462477586</v>
      </c>
      <c r="L1148" s="20">
        <f t="shared" si="40"/>
        <v>700.98945896829446</v>
      </c>
      <c r="M1148" s="20">
        <f t="shared" si="41"/>
        <v>-8.9025661289329499</v>
      </c>
    </row>
    <row r="1149" spans="1:13" x14ac:dyDescent="0.2">
      <c r="A1149" s="23">
        <v>280.5</v>
      </c>
      <c r="B1149" s="20">
        <v>699.440441072883</v>
      </c>
      <c r="C1149" s="20">
        <v>55.017393269404103</v>
      </c>
      <c r="D1149" s="20">
        <v>338.89689044361802</v>
      </c>
      <c r="E1149" s="20">
        <v>-0.29082981421065501</v>
      </c>
      <c r="F1149" s="20">
        <v>-1.4248220206463</v>
      </c>
      <c r="G1149" s="20">
        <v>1.4542007328262501</v>
      </c>
      <c r="H1149" s="20">
        <v>8.2059343008368795E-3</v>
      </c>
      <c r="I1149" s="20">
        <v>124.791354750875</v>
      </c>
      <c r="J1149" s="20">
        <v>701.60232721775628</v>
      </c>
      <c r="K1149" s="20">
        <v>8.9103495556655048</v>
      </c>
      <c r="L1149" s="20">
        <f t="shared" si="40"/>
        <v>701.60091517214357</v>
      </c>
      <c r="M1149" s="20">
        <f t="shared" si="41"/>
        <v>-8.9103316227218645</v>
      </c>
    </row>
    <row r="1150" spans="1:13" x14ac:dyDescent="0.2">
      <c r="A1150" s="23">
        <v>280.75</v>
      </c>
      <c r="B1150" s="20">
        <v>700.04529182438705</v>
      </c>
      <c r="C1150" s="20">
        <v>55.119237526706499</v>
      </c>
      <c r="D1150" s="20">
        <v>338.87009024011797</v>
      </c>
      <c r="E1150" s="20">
        <v>-0.29104128887071601</v>
      </c>
      <c r="F1150" s="20">
        <v>-1.4236247342016899</v>
      </c>
      <c r="G1150" s="20">
        <v>1.4530699968199601</v>
      </c>
      <c r="H1150" s="20">
        <v>8.21063415612849E-3</v>
      </c>
      <c r="I1150" s="20">
        <v>124.855403396499</v>
      </c>
      <c r="J1150" s="20">
        <v>702.21330505083233</v>
      </c>
      <c r="K1150" s="20">
        <v>8.9181089741455715</v>
      </c>
      <c r="L1150" s="20">
        <f t="shared" si="40"/>
        <v>702.21189177556425</v>
      </c>
      <c r="M1150" s="20">
        <f t="shared" si="41"/>
        <v>-8.9180910255853387</v>
      </c>
    </row>
    <row r="1151" spans="1:13" x14ac:dyDescent="0.2">
      <c r="A1151" s="23">
        <v>281</v>
      </c>
      <c r="B1151" s="20">
        <v>700.64965559776499</v>
      </c>
      <c r="C1151" s="20">
        <v>55.221099407553702</v>
      </c>
      <c r="D1151" s="20">
        <v>338.84328783599199</v>
      </c>
      <c r="E1151" s="20">
        <v>-0.29125212599920502</v>
      </c>
      <c r="F1151" s="20">
        <v>-1.42242662864998</v>
      </c>
      <c r="G1151" s="20">
        <v>1.4519384679770699</v>
      </c>
      <c r="H1151" s="20">
        <v>8.2153317483227902E-3</v>
      </c>
      <c r="I1151" s="20">
        <v>124.919407850902</v>
      </c>
      <c r="J1151" s="20">
        <v>702.82380295572295</v>
      </c>
      <c r="K1151" s="20">
        <v>8.925862297537682</v>
      </c>
      <c r="L1151" s="20">
        <f t="shared" si="40"/>
        <v>702.82238845176641</v>
      </c>
      <c r="M1151" s="20">
        <f t="shared" si="41"/>
        <v>-8.9258443333731368</v>
      </c>
    </row>
    <row r="1152" spans="1:13" x14ac:dyDescent="0.2">
      <c r="A1152" s="23">
        <v>281.25</v>
      </c>
      <c r="B1152" s="20">
        <v>701.25353208565002</v>
      </c>
      <c r="C1152" s="20">
        <v>55.322978628346199</v>
      </c>
      <c r="D1152" s="20">
        <v>338.81648323011899</v>
      </c>
      <c r="E1152" s="20">
        <v>-0.29146232429205798</v>
      </c>
      <c r="F1152" s="20">
        <v>-1.4212277045933801</v>
      </c>
      <c r="G1152" s="20">
        <v>1.45080614652183</v>
      </c>
      <c r="H1152" s="20">
        <v>8.2200271310750306E-3</v>
      </c>
      <c r="I1152" s="20">
        <v>124.983368028488</v>
      </c>
      <c r="J1152" s="20">
        <v>703.43382060574561</v>
      </c>
      <c r="K1152" s="20">
        <v>8.9336095216929703</v>
      </c>
      <c r="L1152" s="20">
        <f t="shared" si="40"/>
        <v>703.43240487406626</v>
      </c>
      <c r="M1152" s="20">
        <f t="shared" si="41"/>
        <v>-8.9335915419363765</v>
      </c>
    </row>
    <row r="1153" spans="1:13" x14ac:dyDescent="0.2">
      <c r="A1153" s="23">
        <v>281.5</v>
      </c>
      <c r="B1153" s="20">
        <v>701.85692098082995</v>
      </c>
      <c r="C1153" s="20">
        <v>55.424874905567997</v>
      </c>
      <c r="D1153" s="20">
        <v>338.78967642120301</v>
      </c>
      <c r="E1153" s="20">
        <v>-0.29167188244874698</v>
      </c>
      <c r="F1153" s="20">
        <v>-1.42002796262814</v>
      </c>
      <c r="G1153" s="20">
        <v>1.44967303267221</v>
      </c>
      <c r="H1153" s="20">
        <v>8.2247203571065002E-3</v>
      </c>
      <c r="I1153" s="20">
        <v>125.047283847906</v>
      </c>
      <c r="J1153" s="20">
        <v>704.04335767431849</v>
      </c>
      <c r="K1153" s="20">
        <v>8.9413506424638456</v>
      </c>
      <c r="L1153" s="20">
        <f t="shared" si="40"/>
        <v>704.04194071588438</v>
      </c>
      <c r="M1153" s="20">
        <f t="shared" si="41"/>
        <v>-8.9413326471274974</v>
      </c>
    </row>
    <row r="1154" spans="1:13" x14ac:dyDescent="0.2">
      <c r="A1154" s="23">
        <v>281.75</v>
      </c>
      <c r="B1154" s="20">
        <v>702.45982197624596</v>
      </c>
      <c r="C1154" s="20">
        <v>55.526787955785601</v>
      </c>
      <c r="D1154" s="20">
        <v>338.762867407763</v>
      </c>
      <c r="E1154" s="20">
        <v>-0.29188079917237603</v>
      </c>
      <c r="F1154" s="20">
        <v>-1.4188274033446999</v>
      </c>
      <c r="G1154" s="20">
        <v>1.44853912664014</v>
      </c>
      <c r="H1154" s="20">
        <v>8.2294114781940805E-3</v>
      </c>
      <c r="I1154" s="20">
        <v>125.111155232101</v>
      </c>
      <c r="J1154" s="20">
        <v>704.65241383496573</v>
      </c>
      <c r="K1154" s="20">
        <v>8.9490856557040654</v>
      </c>
      <c r="L1154" s="20">
        <f t="shared" si="40"/>
        <v>704.65099565074479</v>
      </c>
      <c r="M1154" s="20">
        <f t="shared" si="41"/>
        <v>-8.9490676448002553</v>
      </c>
    </row>
    <row r="1155" spans="1:13" x14ac:dyDescent="0.2">
      <c r="A1155" s="23">
        <v>282</v>
      </c>
      <c r="B1155" s="20">
        <v>703.06223476498701</v>
      </c>
      <c r="C1155" s="20">
        <v>55.628717495647699</v>
      </c>
      <c r="D1155" s="20">
        <v>338.73605618814099</v>
      </c>
      <c r="E1155" s="20">
        <v>-0.292089073169785</v>
      </c>
      <c r="F1155" s="20">
        <v>-1.41762602732786</v>
      </c>
      <c r="G1155" s="20">
        <v>1.4474044286316601</v>
      </c>
      <c r="H1155" s="20">
        <v>8.2341005451590597E-3</v>
      </c>
      <c r="I1155" s="20">
        <v>125.174982108367</v>
      </c>
      <c r="J1155" s="20">
        <v>705.26098876130868</v>
      </c>
      <c r="K1155" s="20">
        <v>8.9568145572686202</v>
      </c>
      <c r="L1155" s="20">
        <f t="shared" si="40"/>
        <v>705.2595693522693</v>
      </c>
      <c r="M1155" s="20">
        <f t="shared" si="41"/>
        <v>-8.9567965308096475</v>
      </c>
    </row>
    <row r="1156" spans="1:13" x14ac:dyDescent="0.2">
      <c r="A1156" s="23">
        <v>282.25</v>
      </c>
      <c r="B1156" s="20">
        <v>703.66415904028895</v>
      </c>
      <c r="C1156" s="20">
        <v>55.730663241884798</v>
      </c>
      <c r="D1156" s="20">
        <v>338.709242760498</v>
      </c>
      <c r="E1156" s="20">
        <v>-0.29229670315165002</v>
      </c>
      <c r="F1156" s="20">
        <v>-1.41642383515693</v>
      </c>
      <c r="G1156" s="20">
        <v>1.4462689388471299</v>
      </c>
      <c r="H1156" s="20">
        <v>8.2387876078561604E-3</v>
      </c>
      <c r="I1156" s="20">
        <v>125.238764408395</v>
      </c>
      <c r="J1156" s="20">
        <v>705.86908212706487</v>
      </c>
      <c r="K1156" s="20">
        <v>8.9645373430137241</v>
      </c>
      <c r="L1156" s="20">
        <f t="shared" si="40"/>
        <v>705.86766149417656</v>
      </c>
      <c r="M1156" s="20">
        <f t="shared" si="41"/>
        <v>-8.9645193010119009</v>
      </c>
    </row>
    <row r="1157" spans="1:13" x14ac:dyDescent="0.2">
      <c r="A1157" s="23">
        <v>282.5</v>
      </c>
      <c r="B1157" s="20">
        <v>704.26559449553201</v>
      </c>
      <c r="C1157" s="20">
        <v>55.832624911308898</v>
      </c>
      <c r="D1157" s="20">
        <v>338.68242712281102</v>
      </c>
      <c r="E1157" s="20">
        <v>-0.29250368783258601</v>
      </c>
      <c r="F1157" s="20">
        <v>-1.4152208274058999</v>
      </c>
      <c r="G1157" s="20">
        <v>1.4451326574813499</v>
      </c>
      <c r="H1157" s="20">
        <v>8.2434727151622592E-3</v>
      </c>
      <c r="I1157" s="20">
        <v>125.302502068333</v>
      </c>
      <c r="J1157" s="20">
        <v>706.47669360604834</v>
      </c>
      <c r="K1157" s="20">
        <v>8.9722540087968152</v>
      </c>
      <c r="L1157" s="20">
        <f t="shared" si="40"/>
        <v>706.47527175028006</v>
      </c>
      <c r="M1157" s="20">
        <f t="shared" si="41"/>
        <v>-8.9722359512644463</v>
      </c>
    </row>
    <row r="1158" spans="1:13" x14ac:dyDescent="0.2">
      <c r="A1158" s="23">
        <v>282.75</v>
      </c>
      <c r="B1158" s="20">
        <v>704.86654082424104</v>
      </c>
      <c r="C1158" s="20">
        <v>55.934602220812302</v>
      </c>
      <c r="D1158" s="20">
        <v>338.655609272878</v>
      </c>
      <c r="E1158" s="20">
        <v>-0.292710025931255</v>
      </c>
      <c r="F1158" s="20">
        <v>-1.4140170046435701</v>
      </c>
      <c r="G1158" s="20">
        <v>1.44399558472381</v>
      </c>
      <c r="H1158" s="20">
        <v>8.2481559149647898E-3</v>
      </c>
      <c r="I1158" s="20">
        <v>125.366195028836</v>
      </c>
      <c r="J1158" s="20">
        <v>707.08382287216557</v>
      </c>
      <c r="K1158" s="20">
        <v>8.9799645504765024</v>
      </c>
      <c r="L1158" s="20">
        <f t="shared" si="40"/>
        <v>707.08239979448786</v>
      </c>
      <c r="M1158" s="20">
        <f t="shared" si="41"/>
        <v>-8.9799464774259157</v>
      </c>
    </row>
    <row r="1159" spans="1:13" x14ac:dyDescent="0.2">
      <c r="A1159" s="23">
        <v>283</v>
      </c>
      <c r="B1159" s="20">
        <v>705.46699772007798</v>
      </c>
      <c r="C1159" s="20">
        <v>56.036594887367798</v>
      </c>
      <c r="D1159" s="20">
        <v>338.62878920831298</v>
      </c>
      <c r="E1159" s="20">
        <v>-0.29291571617046802</v>
      </c>
      <c r="F1159" s="20">
        <v>-1.41281236743375</v>
      </c>
      <c r="G1159" s="20">
        <v>1.44285772075884</v>
      </c>
      <c r="H1159" s="20">
        <v>8.2528372541499292E-3</v>
      </c>
      <c r="I1159" s="20">
        <v>125.42984323511899</v>
      </c>
      <c r="J1159" s="20">
        <v>707.69046959941102</v>
      </c>
      <c r="K1159" s="20">
        <v>8.9876689639125207</v>
      </c>
      <c r="L1159" s="20">
        <f t="shared" si="40"/>
        <v>707.68904530079556</v>
      </c>
      <c r="M1159" s="20">
        <f t="shared" si="41"/>
        <v>-8.9876508753560547</v>
      </c>
    </row>
    <row r="1160" spans="1:13" x14ac:dyDescent="0.2">
      <c r="A1160" s="23">
        <v>283.25</v>
      </c>
      <c r="B1160" s="20">
        <v>706.06696487684303</v>
      </c>
      <c r="C1160" s="20">
        <v>56.138602628027598</v>
      </c>
      <c r="D1160" s="20">
        <v>338.60196692654699</v>
      </c>
      <c r="E1160" s="20">
        <v>-0.29312075727729597</v>
      </c>
      <c r="F1160" s="20">
        <v>-1.4116069163353799</v>
      </c>
      <c r="G1160" s="20">
        <v>1.4417190657658301</v>
      </c>
      <c r="H1160" s="20">
        <v>8.2575167785907296E-3</v>
      </c>
      <c r="I1160" s="20">
        <v>125.49344663701901</v>
      </c>
      <c r="J1160" s="20">
        <v>708.29663346186828</v>
      </c>
      <c r="K1160" s="20">
        <v>8.9953672449657276</v>
      </c>
      <c r="L1160" s="20">
        <f t="shared" si="40"/>
        <v>708.29520794328732</v>
      </c>
      <c r="M1160" s="20">
        <f t="shared" si="41"/>
        <v>-8.9953491409157298</v>
      </c>
    </row>
    <row r="1161" spans="1:13" x14ac:dyDescent="0.2">
      <c r="A1161" s="23">
        <v>283.5</v>
      </c>
      <c r="B1161" s="20">
        <v>706.66644198847098</v>
      </c>
      <c r="C1161" s="20">
        <v>56.240625159922999</v>
      </c>
      <c r="D1161" s="20">
        <v>338.57514242482898</v>
      </c>
      <c r="E1161" s="20">
        <v>-0.29332514798317599</v>
      </c>
      <c r="F1161" s="20">
        <v>-1.4104006519027501</v>
      </c>
      <c r="G1161" s="20">
        <v>1.4405796199193699</v>
      </c>
      <c r="H1161" s="20">
        <v>8.2621945331348996E-3</v>
      </c>
      <c r="I1161" s="20">
        <v>125.557005189048</v>
      </c>
      <c r="J1161" s="20">
        <v>708.90231413370736</v>
      </c>
      <c r="K1161" s="20">
        <v>9.0030593894980839</v>
      </c>
      <c r="L1161" s="20">
        <f t="shared" si="40"/>
        <v>708.90088739613248</v>
      </c>
      <c r="M1161" s="20">
        <f t="shared" si="41"/>
        <v>-9.0030412699668947</v>
      </c>
    </row>
    <row r="1162" spans="1:13" x14ac:dyDescent="0.2">
      <c r="A1162" s="23">
        <v>283.75</v>
      </c>
      <c r="B1162" s="20">
        <v>707.26542874903396</v>
      </c>
      <c r="C1162" s="20">
        <v>56.342662200263597</v>
      </c>
      <c r="D1162" s="20">
        <v>338.54831570022299</v>
      </c>
      <c r="E1162" s="20">
        <v>-0.29352888702402402</v>
      </c>
      <c r="F1162" s="20">
        <v>-1.4091935746855999</v>
      </c>
      <c r="G1162" s="20">
        <v>1.4394393833895001</v>
      </c>
      <c r="H1162" s="20">
        <v>8.2668705615922995E-3</v>
      </c>
      <c r="I1162" s="20">
        <v>125.62051885045</v>
      </c>
      <c r="J1162" s="20">
        <v>709.50751128918284</v>
      </c>
      <c r="K1162" s="20">
        <v>9.0107453933726234</v>
      </c>
      <c r="L1162" s="20">
        <f t="shared" si="40"/>
        <v>709.50608333358764</v>
      </c>
      <c r="M1162" s="20">
        <f t="shared" si="41"/>
        <v>-9.0107272583726061</v>
      </c>
    </row>
    <row r="1163" spans="1:13" x14ac:dyDescent="0.2">
      <c r="A1163" s="23">
        <v>284</v>
      </c>
      <c r="B1163" s="20">
        <v>707.86392485272995</v>
      </c>
      <c r="C1163" s="20">
        <v>56.444713466336601</v>
      </c>
      <c r="D1163" s="20">
        <v>338.52148674960898</v>
      </c>
      <c r="E1163" s="20">
        <v>-0.29373197314034399</v>
      </c>
      <c r="F1163" s="20">
        <v>-1.40798568522934</v>
      </c>
      <c r="G1163" s="20">
        <v>1.4382983563418501</v>
      </c>
      <c r="H1163" s="20">
        <v>8.2715449067223695E-3</v>
      </c>
      <c r="I1163" s="20">
        <v>125.683987585265</v>
      </c>
      <c r="J1163" s="20">
        <v>710.11222460262911</v>
      </c>
      <c r="K1163" s="20">
        <v>9.0184252524533903</v>
      </c>
      <c r="L1163" s="20">
        <f t="shared" si="40"/>
        <v>710.11079542998652</v>
      </c>
      <c r="M1163" s="20">
        <f t="shared" si="41"/>
        <v>-9.0184071019969032</v>
      </c>
    </row>
    <row r="1164" spans="1:13" x14ac:dyDescent="0.2">
      <c r="A1164" s="23">
        <v>284.25</v>
      </c>
      <c r="B1164" s="20">
        <v>708.461929993892</v>
      </c>
      <c r="C1164" s="20">
        <v>56.546778675506403</v>
      </c>
      <c r="D1164" s="20">
        <v>338.494655569683</v>
      </c>
      <c r="E1164" s="20">
        <v>-0.29393440507734298</v>
      </c>
      <c r="F1164" s="20">
        <v>-1.4067769840752</v>
      </c>
      <c r="G1164" s="20">
        <v>1.43715653893788</v>
      </c>
      <c r="H1164" s="20">
        <v>8.2762176102212093E-3</v>
      </c>
      <c r="I1164" s="20">
        <v>125.747411362383</v>
      </c>
      <c r="J1164" s="20">
        <v>710.71645374846298</v>
      </c>
      <c r="K1164" s="20">
        <v>9.0260989626054808</v>
      </c>
      <c r="L1164" s="20">
        <f t="shared" si="40"/>
        <v>710.71502335974787</v>
      </c>
      <c r="M1164" s="20">
        <f t="shared" si="41"/>
        <v>-9.0260807967049015</v>
      </c>
    </row>
    <row r="1165" spans="1:13" x14ac:dyDescent="0.2">
      <c r="A1165" s="23">
        <v>284.5</v>
      </c>
      <c r="B1165" s="20">
        <v>709.059443866979</v>
      </c>
      <c r="C1165" s="20">
        <v>56.648857545213502</v>
      </c>
      <c r="D1165" s="20">
        <v>338.46782215695401</v>
      </c>
      <c r="E1165" s="20">
        <v>-0.29413618158504401</v>
      </c>
      <c r="F1165" s="20">
        <v>-1.4055674717604001</v>
      </c>
      <c r="G1165" s="20">
        <v>1.43601393133505</v>
      </c>
      <c r="H1165" s="20">
        <v>8.2808887127084202E-3</v>
      </c>
      <c r="I1165" s="20">
        <v>125.810790155608</v>
      </c>
      <c r="J1165" s="20">
        <v>711.32019840117869</v>
      </c>
      <c r="K1165" s="20">
        <v>9.0337665196949697</v>
      </c>
      <c r="L1165" s="20">
        <f t="shared" si="40"/>
        <v>711.31876679736729</v>
      </c>
      <c r="M1165" s="20">
        <f t="shared" si="41"/>
        <v>-9.0337483383627006</v>
      </c>
    </row>
    <row r="1166" spans="1:13" x14ac:dyDescent="0.2">
      <c r="A1166" s="23">
        <v>284.75</v>
      </c>
      <c r="B1166" s="20">
        <v>709.656466166575</v>
      </c>
      <c r="C1166" s="20">
        <v>56.750949792974303</v>
      </c>
      <c r="D1166" s="20">
        <v>338.44098650774799</v>
      </c>
      <c r="E1166" s="20">
        <v>-0.29433730141840497</v>
      </c>
      <c r="F1166" s="20">
        <v>-1.4043571488183</v>
      </c>
      <c r="G1166" s="20">
        <v>1.43487053368704</v>
      </c>
      <c r="H1166" s="20">
        <v>8.2855582537138105E-3</v>
      </c>
      <c r="I1166" s="20">
        <v>125.874123943719</v>
      </c>
      <c r="J1166" s="20">
        <v>711.92345823534936</v>
      </c>
      <c r="K1166" s="20">
        <v>9.0414279195889371</v>
      </c>
      <c r="L1166" s="20">
        <f t="shared" si="40"/>
        <v>711.92202541741597</v>
      </c>
      <c r="M1166" s="20">
        <f t="shared" si="41"/>
        <v>-9.0414097228373489</v>
      </c>
    </row>
    <row r="1167" spans="1:13" x14ac:dyDescent="0.2">
      <c r="A1167" s="23">
        <v>285</v>
      </c>
      <c r="B1167" s="20">
        <v>710.25299658739095</v>
      </c>
      <c r="C1167" s="20">
        <v>56.853055136379702</v>
      </c>
      <c r="D1167" s="20">
        <v>338.41414861820101</v>
      </c>
      <c r="E1167" s="20">
        <v>-0.29453776333743198</v>
      </c>
      <c r="F1167" s="20">
        <v>-1.40314601577864</v>
      </c>
      <c r="G1167" s="20">
        <v>1.43372634614395</v>
      </c>
      <c r="H1167" s="20">
        <v>8.2902262716636997E-3</v>
      </c>
      <c r="I1167" s="20">
        <v>125.937412710532</v>
      </c>
      <c r="J1167" s="20">
        <v>712.52623292562089</v>
      </c>
      <c r="K1167" s="20">
        <v>9.0490831581553852</v>
      </c>
      <c r="L1167" s="20">
        <f t="shared" si="40"/>
        <v>712.52479889454276</v>
      </c>
      <c r="M1167" s="20">
        <f t="shared" si="41"/>
        <v>-9.0490649459968893</v>
      </c>
    </row>
    <row r="1168" spans="1:13" x14ac:dyDescent="0.2">
      <c r="A1168" s="23">
        <v>285.25</v>
      </c>
      <c r="B1168" s="20">
        <v>710.84903482426</v>
      </c>
      <c r="C1168" s="20">
        <v>56.955173293094802</v>
      </c>
      <c r="D1168" s="20">
        <v>338.38730848426502</v>
      </c>
      <c r="E1168" s="20">
        <v>-0.29473756610730301</v>
      </c>
      <c r="F1168" s="20">
        <v>-1.40193407316765</v>
      </c>
      <c r="G1168" s="20">
        <v>1.4325813688525</v>
      </c>
      <c r="H1168" s="20">
        <v>8.2948928038671099E-3</v>
      </c>
      <c r="I1168" s="20">
        <v>126.000656444968</v>
      </c>
      <c r="J1168" s="20">
        <v>713.12852214671523</v>
      </c>
      <c r="K1168" s="20">
        <v>9.0567322312632843</v>
      </c>
      <c r="L1168" s="20">
        <f t="shared" si="40"/>
        <v>713.12708690346949</v>
      </c>
      <c r="M1168" s="20">
        <f t="shared" si="41"/>
        <v>-9.0567140037102902</v>
      </c>
    </row>
    <row r="1169" spans="1:13" x14ac:dyDescent="0.2">
      <c r="A1169" s="23">
        <v>285.5</v>
      </c>
      <c r="B1169" s="20">
        <v>711.44458057213706</v>
      </c>
      <c r="C1169" s="20">
        <v>57.057303980858102</v>
      </c>
      <c r="D1169" s="20">
        <v>338.360466101702</v>
      </c>
      <c r="E1169" s="20">
        <v>-0.29493670849848402</v>
      </c>
      <c r="F1169" s="20">
        <v>-1.4007213215082499</v>
      </c>
      <c r="G1169" s="20">
        <v>1.43143560195621</v>
      </c>
      <c r="H1169" s="20">
        <v>8.2995578865016403E-3</v>
      </c>
      <c r="I1169" s="20">
        <v>126.063855141112</v>
      </c>
      <c r="J1169" s="20">
        <v>713.73032557342628</v>
      </c>
      <c r="K1169" s="20">
        <v>9.0643751347825141</v>
      </c>
      <c r="L1169" s="20">
        <f t="shared" si="40"/>
        <v>713.72888911899031</v>
      </c>
      <c r="M1169" s="20">
        <f t="shared" si="41"/>
        <v>-9.0643568918474351</v>
      </c>
    </row>
    <row r="1170" spans="1:13" x14ac:dyDescent="0.2">
      <c r="A1170" s="23">
        <v>285.75</v>
      </c>
      <c r="B1170" s="20">
        <v>712.03963352609901</v>
      </c>
      <c r="C1170" s="20">
        <v>57.159446917480402</v>
      </c>
      <c r="D1170" s="20">
        <v>338.33362146608903</v>
      </c>
      <c r="E1170" s="20">
        <v>-0.295135189286854</v>
      </c>
      <c r="F1170" s="20">
        <v>-1.39950776132024</v>
      </c>
      <c r="G1170" s="20">
        <v>1.43028904559567</v>
      </c>
      <c r="H1170" s="20">
        <v>8.3042215545991206E-3</v>
      </c>
      <c r="I1170" s="20">
        <v>126.127008798283</v>
      </c>
      <c r="J1170" s="20">
        <v>714.33164288062062</v>
      </c>
      <c r="K1170" s="20">
        <v>9.0720118645838834</v>
      </c>
      <c r="L1170" s="20">
        <f t="shared" si="40"/>
        <v>714.33020521597268</v>
      </c>
      <c r="M1170" s="20">
        <f t="shared" si="41"/>
        <v>-9.0719936062791415</v>
      </c>
    </row>
    <row r="1171" spans="1:13" x14ac:dyDescent="0.2">
      <c r="A1171" s="23">
        <v>286</v>
      </c>
      <c r="B1171" s="20">
        <v>712.63419338134099</v>
      </c>
      <c r="C1171" s="20">
        <v>57.261601820844</v>
      </c>
      <c r="D1171" s="20">
        <v>338.306774572812</v>
      </c>
      <c r="E1171" s="20">
        <v>-0.29533300725383099</v>
      </c>
      <c r="F1171" s="20">
        <v>-1.39829339312048</v>
      </c>
      <c r="G1171" s="20">
        <v>1.4291416999087201</v>
      </c>
      <c r="H1171" s="20">
        <v>8.3088838420309792E-3</v>
      </c>
      <c r="I1171" s="20">
        <v>126.190117421099</v>
      </c>
      <c r="J1171" s="20">
        <v>714.932473743233</v>
      </c>
      <c r="K1171" s="20">
        <v>9.079642416539059</v>
      </c>
      <c r="L1171" s="20">
        <f t="shared" si="40"/>
        <v>714.93103486935252</v>
      </c>
      <c r="M1171" s="20">
        <f t="shared" si="41"/>
        <v>-9.0796241428770958</v>
      </c>
    </row>
    <row r="1172" spans="1:13" x14ac:dyDescent="0.2">
      <c r="A1172" s="23">
        <v>286.25</v>
      </c>
      <c r="B1172" s="20">
        <v>713.22825983317705</v>
      </c>
      <c r="C1172" s="20">
        <v>57.363768408902203</v>
      </c>
      <c r="D1172" s="20">
        <v>338.27992541706902</v>
      </c>
      <c r="E1172" s="20">
        <v>-0.29553016118649</v>
      </c>
      <c r="F1172" s="20">
        <v>-1.39707821742306</v>
      </c>
      <c r="G1172" s="20">
        <v>1.4279935650306399</v>
      </c>
      <c r="H1172" s="20">
        <v>8.3135447814933396E-3</v>
      </c>
      <c r="I1172" s="20">
        <v>126.25318101954799</v>
      </c>
      <c r="J1172" s="20">
        <v>715.53281783627017</v>
      </c>
      <c r="K1172" s="20">
        <v>9.0872667865206314</v>
      </c>
      <c r="L1172" s="20">
        <f t="shared" si="40"/>
        <v>715.53137775413597</v>
      </c>
      <c r="M1172" s="20">
        <f t="shared" si="41"/>
        <v>-9.0872484975138761</v>
      </c>
    </row>
    <row r="1173" spans="1:13" x14ac:dyDescent="0.2">
      <c r="A1173" s="23">
        <v>286.5</v>
      </c>
      <c r="B1173" s="20">
        <v>713.821832577039</v>
      </c>
      <c r="C1173" s="20">
        <v>57.465946399677797</v>
      </c>
      <c r="D1173" s="20">
        <v>338.25307399386799</v>
      </c>
      <c r="E1173" s="20">
        <v>-0.29572664987769798</v>
      </c>
      <c r="F1173" s="20">
        <v>-1.3958622347395</v>
      </c>
      <c r="G1173" s="20">
        <v>1.42684464109442</v>
      </c>
      <c r="H1173" s="20">
        <v>8.3182044044918194E-3</v>
      </c>
      <c r="I1173" s="20">
        <v>126.316199609055</v>
      </c>
      <c r="J1173" s="20">
        <v>716.13267483480433</v>
      </c>
      <c r="K1173" s="20">
        <v>9.0948849704020152</v>
      </c>
      <c r="L1173" s="20">
        <f t="shared" si="40"/>
        <v>716.13123354539766</v>
      </c>
      <c r="M1173" s="20">
        <f t="shared" si="41"/>
        <v>-9.0948666660629307</v>
      </c>
    </row>
    <row r="1174" spans="1:13" x14ac:dyDescent="0.2">
      <c r="A1174" s="23">
        <v>286.75</v>
      </c>
      <c r="B1174" s="20">
        <v>714.41491130847498</v>
      </c>
      <c r="C1174" s="20">
        <v>57.568135511262803</v>
      </c>
      <c r="D1174" s="20">
        <v>338.22622029802602</v>
      </c>
      <c r="E1174" s="20">
        <v>-0.29592247212623801</v>
      </c>
      <c r="F1174" s="20">
        <v>-1.3946454455789301</v>
      </c>
      <c r="G1174" s="20">
        <v>1.4256949282309199</v>
      </c>
      <c r="H1174" s="20">
        <v>8.3228627413262993E-3</v>
      </c>
      <c r="I1174" s="20">
        <v>126.37917321054999</v>
      </c>
      <c r="J1174" s="20">
        <v>716.73204441397786</v>
      </c>
      <c r="K1174" s="20">
        <v>9.1024969640575186</v>
      </c>
      <c r="L1174" s="20">
        <f t="shared" si="40"/>
        <v>716.73060191827949</v>
      </c>
      <c r="M1174" s="20">
        <f t="shared" si="41"/>
        <v>-9.102478644398559</v>
      </c>
    </row>
    <row r="1175" spans="1:13" x14ac:dyDescent="0.2">
      <c r="A1175" s="23">
        <v>287</v>
      </c>
      <c r="B1175" s="20">
        <v>715.00749572314703</v>
      </c>
      <c r="C1175" s="20">
        <v>57.670335461816997</v>
      </c>
      <c r="D1175" s="20">
        <v>338.19936432416898</v>
      </c>
      <c r="E1175" s="20">
        <v>-0.29611762673694098</v>
      </c>
      <c r="F1175" s="20">
        <v>-1.39342785044829</v>
      </c>
      <c r="G1175" s="20">
        <v>1.42454442656916</v>
      </c>
      <c r="H1175" s="20">
        <v>8.3275198210750103E-3</v>
      </c>
      <c r="I1175" s="20">
        <v>126.442101850547</v>
      </c>
      <c r="J1175" s="20">
        <v>717.33092624899723</v>
      </c>
      <c r="K1175" s="20">
        <v>9.1101027633622653</v>
      </c>
      <c r="L1175" s="20">
        <f t="shared" si="40"/>
        <v>717.32948254798828</v>
      </c>
      <c r="M1175" s="20">
        <f t="shared" si="41"/>
        <v>-9.1100844283958917</v>
      </c>
    </row>
    <row r="1176" spans="1:13" x14ac:dyDescent="0.2">
      <c r="A1176" s="23">
        <v>287.25</v>
      </c>
      <c r="B1176" s="20">
        <v>715.59958551683496</v>
      </c>
      <c r="C1176" s="20">
        <v>57.772545969567197</v>
      </c>
      <c r="D1176" s="20">
        <v>338.17250606673298</v>
      </c>
      <c r="E1176" s="20">
        <v>-0.29631211252081902</v>
      </c>
      <c r="F1176" s="20">
        <v>-1.3922094498524999</v>
      </c>
      <c r="G1176" s="20">
        <v>1.42339313623649</v>
      </c>
      <c r="H1176" s="20">
        <v>8.3321756715786597E-3</v>
      </c>
      <c r="I1176" s="20">
        <v>126.504985561209</v>
      </c>
      <c r="J1176" s="20">
        <v>717.92932001513577</v>
      </c>
      <c r="K1176" s="20">
        <v>9.1177023641922244</v>
      </c>
      <c r="L1176" s="20">
        <f t="shared" si="40"/>
        <v>717.9278751097994</v>
      </c>
      <c r="M1176" s="20">
        <f t="shared" si="41"/>
        <v>-9.1176840139309245</v>
      </c>
    </row>
    <row r="1177" spans="1:13" x14ac:dyDescent="0.2">
      <c r="A1177" s="23">
        <v>287.5</v>
      </c>
      <c r="B1177" s="20">
        <v>716.19118038543104</v>
      </c>
      <c r="C1177" s="20">
        <v>57.874766752806202</v>
      </c>
      <c r="D1177" s="20">
        <v>338.14564551996102</v>
      </c>
      <c r="E1177" s="20">
        <v>-0.29650592829519601</v>
      </c>
      <c r="F1177" s="20">
        <v>-1.39099024429467</v>
      </c>
      <c r="G1177" s="20">
        <v>1.42224105735883</v>
      </c>
      <c r="H1177" s="20">
        <v>8.3368303194241503E-3</v>
      </c>
      <c r="I1177" s="20">
        <v>126.567824380427</v>
      </c>
      <c r="J1177" s="20">
        <v>718.52722538773389</v>
      </c>
      <c r="K1177" s="20">
        <v>9.125295762424221</v>
      </c>
      <c r="L1177" s="20">
        <f t="shared" si="40"/>
        <v>718.5257792790519</v>
      </c>
      <c r="M1177" s="20">
        <f t="shared" si="41"/>
        <v>-9.1252773968804597</v>
      </c>
    </row>
    <row r="1178" spans="1:13" x14ac:dyDescent="0.2">
      <c r="A1178" s="23">
        <v>287.75</v>
      </c>
      <c r="B1178" s="20">
        <v>716.78228002494404</v>
      </c>
      <c r="C1178" s="20">
        <v>57.976997529891797</v>
      </c>
      <c r="D1178" s="20">
        <v>338.11878267790303</v>
      </c>
      <c r="E1178" s="20">
        <v>-0.296699072883846</v>
      </c>
      <c r="F1178" s="20">
        <v>-1.3897702342763301</v>
      </c>
      <c r="G1178" s="20">
        <v>1.42108819006092</v>
      </c>
      <c r="H1178" s="20">
        <v>8.3414837899281093E-3</v>
      </c>
      <c r="I1178" s="20">
        <v>126.63061835189001</v>
      </c>
      <c r="J1178" s="20">
        <v>719.12464204219441</v>
      </c>
      <c r="K1178" s="20">
        <v>9.1328829539358694</v>
      </c>
      <c r="L1178" s="20">
        <f t="shared" si="40"/>
        <v>719.12319473115201</v>
      </c>
      <c r="M1178" s="20">
        <f t="shared" si="41"/>
        <v>-9.1328645731221627</v>
      </c>
    </row>
    <row r="1179" spans="1:13" x14ac:dyDescent="0.2">
      <c r="A1179" s="23">
        <v>288</v>
      </c>
      <c r="B1179" s="20">
        <v>717.37288413149201</v>
      </c>
      <c r="C1179" s="20">
        <v>58.0792380192458</v>
      </c>
      <c r="D1179" s="20">
        <v>338.09191753441598</v>
      </c>
      <c r="E1179" s="20">
        <v>-0.29689154511713101</v>
      </c>
      <c r="F1179" s="20">
        <v>-1.3885494202975399</v>
      </c>
      <c r="G1179" s="20">
        <v>1.41993453446653</v>
      </c>
      <c r="H1179" s="20">
        <v>8.3461361071199506E-3</v>
      </c>
      <c r="I1179" s="20">
        <v>126.69336752516899</v>
      </c>
      <c r="J1179" s="20">
        <v>719.72156965398744</v>
      </c>
      <c r="K1179" s="20">
        <v>9.1404639346056413</v>
      </c>
      <c r="L1179" s="20">
        <f t="shared" si="40"/>
        <v>719.72012114156655</v>
      </c>
      <c r="M1179" s="20">
        <f t="shared" si="41"/>
        <v>-9.1404455385344576</v>
      </c>
    </row>
    <row r="1180" spans="1:13" x14ac:dyDescent="0.2">
      <c r="A1180" s="23">
        <v>288.25</v>
      </c>
      <c r="B1180" s="20">
        <v>717.962992401311</v>
      </c>
      <c r="C1180" s="20">
        <v>58.181487939352699</v>
      </c>
      <c r="D1180" s="20">
        <v>338.065050083161</v>
      </c>
      <c r="E1180" s="20">
        <v>-0.29708334383213703</v>
      </c>
      <c r="F1180" s="20">
        <v>-1.3873278028572</v>
      </c>
      <c r="G1180" s="20">
        <v>1.41878009069872</v>
      </c>
      <c r="H1180" s="20">
        <v>8.3507872937248102E-3</v>
      </c>
      <c r="I1180" s="20">
        <v>126.756071955786</v>
      </c>
      <c r="J1180" s="20">
        <v>720.31800789864326</v>
      </c>
      <c r="K1180" s="20">
        <v>9.148038700312771</v>
      </c>
      <c r="L1180" s="20">
        <f t="shared" ref="L1180:L1243" si="42">SQRT(B1180^2+C1180^2)</f>
        <v>720.31655818583124</v>
      </c>
      <c r="M1180" s="20">
        <f t="shared" ref="M1180:M1243" si="43">-L1180/A$25*100</f>
        <v>-9.1480202889966478</v>
      </c>
    </row>
    <row r="1181" spans="1:13" x14ac:dyDescent="0.2">
      <c r="A1181" s="23">
        <v>288.5</v>
      </c>
      <c r="B1181" s="20">
        <v>718.55260453074595</v>
      </c>
      <c r="C1181" s="20">
        <v>58.283747008759001</v>
      </c>
      <c r="D1181" s="20">
        <v>338.03818031760801</v>
      </c>
      <c r="E1181" s="20">
        <v>-0.29727446787281903</v>
      </c>
      <c r="F1181" s="20">
        <v>-1.38610538245316</v>
      </c>
      <c r="G1181" s="20">
        <v>1.41762485888005</v>
      </c>
      <c r="H1181" s="20">
        <v>8.3554373711461107E-3</v>
      </c>
      <c r="I1181" s="20">
        <v>126.8187317053</v>
      </c>
      <c r="J1181" s="20">
        <v>720.91395645176078</v>
      </c>
      <c r="K1181" s="20">
        <v>9.1556072469373628</v>
      </c>
      <c r="L1181" s="20">
        <f t="shared" si="42"/>
        <v>720.9125055395416</v>
      </c>
      <c r="M1181" s="20">
        <f t="shared" si="43"/>
        <v>-9.1555888203888003</v>
      </c>
    </row>
    <row r="1182" spans="1:13" x14ac:dyDescent="0.2">
      <c r="A1182" s="23">
        <v>288.75</v>
      </c>
      <c r="B1182" s="20">
        <v>719.14172021625802</v>
      </c>
      <c r="C1182" s="20">
        <v>58.386014946071597</v>
      </c>
      <c r="D1182" s="20">
        <v>338.01130823102801</v>
      </c>
      <c r="E1182" s="20">
        <v>-0.29746491609014097</v>
      </c>
      <c r="F1182" s="20">
        <v>-1.3848821595824801</v>
      </c>
      <c r="G1182" s="20">
        <v>1.4164688391328399</v>
      </c>
      <c r="H1182" s="20">
        <v>8.3600863594478492E-3</v>
      </c>
      <c r="I1182" s="20">
        <v>126.881346841382</v>
      </c>
      <c r="J1182" s="20">
        <v>721.50941498899965</v>
      </c>
      <c r="K1182" s="20">
        <v>9.1631695703602958</v>
      </c>
      <c r="L1182" s="20">
        <f t="shared" si="42"/>
        <v>721.50796287836056</v>
      </c>
      <c r="M1182" s="20">
        <f t="shared" si="43"/>
        <v>-9.1631511285918315</v>
      </c>
    </row>
    <row r="1183" spans="1:13" x14ac:dyDescent="0.2">
      <c r="A1183" s="23">
        <v>289</v>
      </c>
      <c r="B1183" s="20">
        <v>719.73033915441897</v>
      </c>
      <c r="C1183" s="20">
        <v>58.488291469957097</v>
      </c>
      <c r="D1183" s="20">
        <v>337.98443381649798</v>
      </c>
      <c r="E1183" s="20">
        <v>-0.297654687342222</v>
      </c>
      <c r="F1183" s="20">
        <v>-1.3836581347416199</v>
      </c>
      <c r="G1183" s="20">
        <v>1.4153120315794201</v>
      </c>
      <c r="H1183" s="20">
        <v>8.3647342773365795E-3</v>
      </c>
      <c r="I1183" s="20">
        <v>126.943917437899</v>
      </c>
      <c r="J1183" s="20">
        <v>722.1043831860859</v>
      </c>
      <c r="K1183" s="20">
        <v>9.1707256664632926</v>
      </c>
      <c r="L1183" s="20">
        <f t="shared" si="42"/>
        <v>722.10292987801233</v>
      </c>
      <c r="M1183" s="20">
        <f t="shared" si="43"/>
        <v>-9.1707072094874409</v>
      </c>
    </row>
    <row r="1184" spans="1:13" x14ac:dyDescent="0.2">
      <c r="A1184" s="23">
        <v>289.25</v>
      </c>
      <c r="B1184" s="20">
        <v>720.31846104191595</v>
      </c>
      <c r="C1184" s="20">
        <v>58.590576299140302</v>
      </c>
      <c r="D1184" s="20">
        <v>337.957557066898</v>
      </c>
      <c r="E1184" s="20">
        <v>-0.29784378049448301</v>
      </c>
      <c r="F1184" s="20">
        <v>-1.38243330842665</v>
      </c>
      <c r="G1184" s="20">
        <v>1.4141544363423399</v>
      </c>
      <c r="H1184" s="20">
        <v>8.3693811421429506E-3</v>
      </c>
      <c r="I1184" s="20">
        <v>127.006443574995</v>
      </c>
      <c r="J1184" s="20">
        <v>722.69886071880785</v>
      </c>
      <c r="K1184" s="20">
        <v>9.1782755311288593</v>
      </c>
      <c r="L1184" s="20">
        <f t="shared" si="42"/>
        <v>722.69740621428798</v>
      </c>
      <c r="M1184" s="20">
        <f t="shared" si="43"/>
        <v>-9.1782570589581702</v>
      </c>
    </row>
    <row r="1185" spans="1:13" x14ac:dyDescent="0.2">
      <c r="A1185" s="23">
        <v>289.5</v>
      </c>
      <c r="B1185" s="20">
        <v>720.90608557554799</v>
      </c>
      <c r="C1185" s="20">
        <v>58.692869152403397</v>
      </c>
      <c r="D1185" s="20">
        <v>337.93067797491</v>
      </c>
      <c r="E1185" s="20">
        <v>-0.298032194419795</v>
      </c>
      <c r="F1185" s="20">
        <v>-1.3812076811334799</v>
      </c>
      <c r="G1185" s="20">
        <v>1.4129960535446699</v>
      </c>
      <c r="H1185" s="20">
        <v>8.3740269698031992E-3</v>
      </c>
      <c r="I1185" s="20">
        <v>127.068925339177</v>
      </c>
      <c r="J1185" s="20">
        <v>723.29284726301933</v>
      </c>
      <c r="K1185" s="20">
        <v>9.1858191602403458</v>
      </c>
      <c r="L1185" s="20">
        <f t="shared" si="42"/>
        <v>723.29139156304109</v>
      </c>
      <c r="M1185" s="20">
        <f t="shared" si="43"/>
        <v>-9.185800672887364</v>
      </c>
    </row>
    <row r="1186" spans="1:13" x14ac:dyDescent="0.2">
      <c r="A1186" s="23">
        <v>289.75</v>
      </c>
      <c r="B1186" s="20">
        <v>721.49321245222995</v>
      </c>
      <c r="C1186" s="20">
        <v>58.7951697485843</v>
      </c>
      <c r="D1186" s="20">
        <v>337.90379653301699</v>
      </c>
      <c r="E1186" s="20">
        <v>-0.29821992799863001</v>
      </c>
      <c r="F1186" s="20">
        <v>-1.37998125335805</v>
      </c>
      <c r="G1186" s="20">
        <v>1.4118368833102399</v>
      </c>
      <c r="H1186" s="20">
        <v>8.37867177484008E-3</v>
      </c>
      <c r="I1186" s="20">
        <v>127.1313628234</v>
      </c>
      <c r="J1186" s="20">
        <v>723.88634249463894</v>
      </c>
      <c r="K1186" s="20">
        <v>9.1933565496819156</v>
      </c>
      <c r="L1186" s="20">
        <f t="shared" si="42"/>
        <v>723.88488560019232</v>
      </c>
      <c r="M1186" s="20">
        <f t="shared" si="43"/>
        <v>-9.1933380471592159</v>
      </c>
    </row>
    <row r="1187" spans="1:13" x14ac:dyDescent="0.2">
      <c r="A1187" s="23">
        <v>290</v>
      </c>
      <c r="B1187" s="20">
        <v>722.07984136898699</v>
      </c>
      <c r="C1187" s="20">
        <v>58.8974778065758</v>
      </c>
      <c r="D1187" s="20">
        <v>337.876912733506</v>
      </c>
      <c r="E1187" s="20">
        <v>-0.29840698011921502</v>
      </c>
      <c r="F1187" s="20">
        <v>-1.37875402559655</v>
      </c>
      <c r="G1187" s="20">
        <v>1.4106769257638601</v>
      </c>
      <c r="H1187" s="20">
        <v>8.3833155703435004E-3</v>
      </c>
      <c r="I1187" s="20">
        <v>127.19375612715</v>
      </c>
      <c r="J1187" s="20">
        <v>724.47934608964988</v>
      </c>
      <c r="K1187" s="20">
        <v>9.2008876953385546</v>
      </c>
      <c r="L1187" s="20">
        <f t="shared" si="42"/>
        <v>724.47788800172327</v>
      </c>
      <c r="M1187" s="20">
        <f t="shared" si="43"/>
        <v>-9.2008691776586904</v>
      </c>
    </row>
    <row r="1188" spans="1:13" x14ac:dyDescent="0.2">
      <c r="A1188" s="23">
        <v>290.25</v>
      </c>
      <c r="B1188" s="20">
        <v>722.66597202296498</v>
      </c>
      <c r="C1188" s="20">
        <v>58.999793045323898</v>
      </c>
      <c r="D1188" s="20">
        <v>337.850026568462</v>
      </c>
      <c r="E1188" s="20">
        <v>-0.29859334967768297</v>
      </c>
      <c r="F1188" s="20">
        <v>-1.37752599834567</v>
      </c>
      <c r="G1188" s="20">
        <v>1.4095161810316299</v>
      </c>
      <c r="H1188" s="20">
        <v>8.3879583679510802E-3</v>
      </c>
      <c r="I1188" s="20">
        <v>127.25610535653701</v>
      </c>
      <c r="J1188" s="20">
        <v>725.07185772410344</v>
      </c>
      <c r="K1188" s="20">
        <v>9.2084125930961136</v>
      </c>
      <c r="L1188" s="20">
        <f t="shared" si="42"/>
        <v>725.07039844368751</v>
      </c>
      <c r="M1188" s="20">
        <f t="shared" si="43"/>
        <v>-9.2083940602716652</v>
      </c>
    </row>
    <row r="1189" spans="1:13" x14ac:dyDescent="0.2">
      <c r="A1189" s="23">
        <v>290.5</v>
      </c>
      <c r="B1189" s="20">
        <v>723.25160411141997</v>
      </c>
      <c r="C1189" s="20">
        <v>59.102115183827003</v>
      </c>
      <c r="D1189" s="20">
        <v>337.82313802977001</v>
      </c>
      <c r="E1189" s="20">
        <v>-0.29877903557823698</v>
      </c>
      <c r="F1189" s="20">
        <v>-1.3762971721027999</v>
      </c>
      <c r="G1189" s="20">
        <v>1.40835464924117</v>
      </c>
      <c r="H1189" s="20">
        <v>8.3926001778279104E-3</v>
      </c>
      <c r="I1189" s="20">
        <v>127.318410624384</v>
      </c>
      <c r="J1189" s="20">
        <v>725.66387707411411</v>
      </c>
      <c r="K1189" s="20">
        <v>9.2159312388412502</v>
      </c>
      <c r="L1189" s="20">
        <f t="shared" si="42"/>
        <v>725.66241660219976</v>
      </c>
      <c r="M1189" s="20">
        <f t="shared" si="43"/>
        <v>-9.2159126908848013</v>
      </c>
    </row>
    <row r="1190" spans="1:13" x14ac:dyDescent="0.2">
      <c r="A1190" s="23">
        <v>290.75</v>
      </c>
      <c r="B1190" s="20">
        <v>723.83673733172805</v>
      </c>
      <c r="C1190" s="20">
        <v>59.204443941134201</v>
      </c>
      <c r="D1190" s="20">
        <v>337.79624710911497</v>
      </c>
      <c r="E1190" s="20">
        <v>-0.29896403673329902</v>
      </c>
      <c r="F1190" s="20">
        <v>-1.3750675473662499</v>
      </c>
      <c r="G1190" s="20">
        <v>1.4071923305219101</v>
      </c>
      <c r="H1190" s="20">
        <v>8.39724100864646E-3</v>
      </c>
      <c r="I1190" s="20">
        <v>127.380672050314</v>
      </c>
      <c r="J1190" s="20">
        <v>726.25540381586723</v>
      </c>
      <c r="K1190" s="20">
        <v>9.2234436284615136</v>
      </c>
      <c r="L1190" s="20">
        <f t="shared" si="42"/>
        <v>726.25394215344534</v>
      </c>
      <c r="M1190" s="20">
        <f t="shared" si="43"/>
        <v>-9.2234250653856495</v>
      </c>
    </row>
    <row r="1191" spans="1:13" x14ac:dyDescent="0.2">
      <c r="A1191" s="23">
        <v>291</v>
      </c>
      <c r="B1191" s="20">
        <v>724.42137138138105</v>
      </c>
      <c r="C1191" s="20">
        <v>59.306779036343997</v>
      </c>
      <c r="D1191" s="20">
        <v>337.76935379797902</v>
      </c>
      <c r="E1191" s="20">
        <v>-0.29914835206368101</v>
      </c>
      <c r="F1191" s="20">
        <v>-1.3738371246354899</v>
      </c>
      <c r="G1191" s="20">
        <v>1.4060292250053401</v>
      </c>
      <c r="H1191" s="20">
        <v>8.4018808675657992E-3</v>
      </c>
      <c r="I1191" s="20">
        <v>127.44288976084501</v>
      </c>
      <c r="J1191" s="20">
        <v>726.84643762561404</v>
      </c>
      <c r="K1191" s="20">
        <v>9.2309497578452984</v>
      </c>
      <c r="L1191" s="20">
        <f t="shared" si="42"/>
        <v>726.84497477367654</v>
      </c>
      <c r="M1191" s="20">
        <f t="shared" si="43"/>
        <v>-9.2309311796626154</v>
      </c>
    </row>
    <row r="1192" spans="1:13" x14ac:dyDescent="0.2">
      <c r="A1192" s="23">
        <v>291.25</v>
      </c>
      <c r="B1192" s="20">
        <v>725.00550595799098</v>
      </c>
      <c r="C1192" s="20">
        <v>59.409120188603403</v>
      </c>
      <c r="D1192" s="20">
        <v>337.742458087643</v>
      </c>
      <c r="E1192" s="20">
        <v>-0.29933198049873999</v>
      </c>
      <c r="F1192" s="20">
        <v>-1.3726059044113901</v>
      </c>
      <c r="G1192" s="20">
        <v>1.40486533282528</v>
      </c>
      <c r="H1192" s="20">
        <v>8.4065197602105797E-3</v>
      </c>
      <c r="I1192" s="20">
        <v>127.50506388948401</v>
      </c>
      <c r="J1192" s="20">
        <v>727.436978179677</v>
      </c>
      <c r="K1192" s="20">
        <v>9.2384496228818982</v>
      </c>
      <c r="L1192" s="20">
        <f t="shared" si="42"/>
        <v>727.43551413921659</v>
      </c>
      <c r="M1192" s="20">
        <f t="shared" si="43"/>
        <v>-9.238431029605005</v>
      </c>
    </row>
    <row r="1193" spans="1:13" x14ac:dyDescent="0.2">
      <c r="A1193" s="23">
        <v>291.5</v>
      </c>
      <c r="B1193" s="20">
        <v>725.58914075928806</v>
      </c>
      <c r="C1193" s="20">
        <v>59.511467117105703</v>
      </c>
      <c r="D1193" s="20">
        <v>337.71555996918198</v>
      </c>
      <c r="E1193" s="20">
        <v>-0.29951492097655102</v>
      </c>
      <c r="F1193" s="20">
        <v>-1.3713738871964301</v>
      </c>
      <c r="G1193" s="20">
        <v>1.40370065411819</v>
      </c>
      <c r="H1193" s="20">
        <v>8.4111576906497395E-3</v>
      </c>
      <c r="I1193" s="20">
        <v>127.56719457682399</v>
      </c>
      <c r="J1193" s="20">
        <v>728.0270251544473</v>
      </c>
      <c r="K1193" s="20">
        <v>9.2459432194614823</v>
      </c>
      <c r="L1193" s="20">
        <f t="shared" si="42"/>
        <v>728.02555992645773</v>
      </c>
      <c r="M1193" s="20">
        <f t="shared" si="43"/>
        <v>-9.245924611102998</v>
      </c>
    </row>
    <row r="1194" spans="1:13" x14ac:dyDescent="0.2">
      <c r="A1194" s="23">
        <v>291.75</v>
      </c>
      <c r="B1194" s="20">
        <v>726.17227548312496</v>
      </c>
      <c r="C1194" s="20">
        <v>59.613819541089903</v>
      </c>
      <c r="D1194" s="20">
        <v>337.68865943346901</v>
      </c>
      <c r="E1194" s="20">
        <v>-0.29969717244406702</v>
      </c>
      <c r="F1194" s="20">
        <v>-1.3701410734949799</v>
      </c>
      <c r="G1194" s="20">
        <v>1.4025351890234099</v>
      </c>
      <c r="H1194" s="20">
        <v>8.4157946613747092E-3</v>
      </c>
      <c r="I1194" s="20">
        <v>127.62928197063501</v>
      </c>
      <c r="J1194" s="20">
        <v>728.61657822638995</v>
      </c>
      <c r="K1194" s="20">
        <v>9.2534305434751527</v>
      </c>
      <c r="L1194" s="20">
        <f t="shared" si="42"/>
        <v>728.6151118118654</v>
      </c>
      <c r="M1194" s="20">
        <f t="shared" si="43"/>
        <v>-9.2534119200477054</v>
      </c>
    </row>
    <row r="1195" spans="1:13" x14ac:dyDescent="0.2">
      <c r="A1195" s="23">
        <v>292</v>
      </c>
      <c r="B1195" s="20">
        <v>726.75490982747601</v>
      </c>
      <c r="C1195" s="20">
        <v>59.716177179838603</v>
      </c>
      <c r="D1195" s="20">
        <v>337.661756471172</v>
      </c>
      <c r="E1195" s="20">
        <v>-0.29987873385729602</v>
      </c>
      <c r="F1195" s="20">
        <v>-1.3689074638134699</v>
      </c>
      <c r="G1195" s="20">
        <v>1.4013689376834699</v>
      </c>
      <c r="H1195" s="20">
        <v>8.4204306732773397E-3</v>
      </c>
      <c r="I1195" s="20">
        <v>127.69132622597</v>
      </c>
      <c r="J1195" s="20">
        <v>729.20563707204246</v>
      </c>
      <c r="K1195" s="20">
        <v>9.2609115908149402</v>
      </c>
      <c r="L1195" s="20">
        <f t="shared" si="42"/>
        <v>729.20416947197771</v>
      </c>
      <c r="M1195" s="20">
        <f t="shared" si="43"/>
        <v>-9.2608929523311616</v>
      </c>
    </row>
    <row r="1196" spans="1:13" x14ac:dyDescent="0.2">
      <c r="A1196" s="23">
        <v>292.25</v>
      </c>
      <c r="B1196" s="20">
        <v>727.33704349043899</v>
      </c>
      <c r="C1196" s="20">
        <v>59.818539752677097</v>
      </c>
      <c r="D1196" s="20">
        <v>337.63485107275301</v>
      </c>
      <c r="E1196" s="20">
        <v>-0.30005960418146799</v>
      </c>
      <c r="F1196" s="20">
        <v>-1.36767305866072</v>
      </c>
      <c r="G1196" s="20">
        <v>1.40020190024436</v>
      </c>
      <c r="H1196" s="20">
        <v>8.4250657256274408E-3</v>
      </c>
      <c r="I1196" s="20">
        <v>127.753327505257</v>
      </c>
      <c r="J1196" s="20">
        <v>729.7942013680165</v>
      </c>
      <c r="K1196" s="20">
        <v>9.2683863573738101</v>
      </c>
      <c r="L1196" s="20">
        <f t="shared" si="42"/>
        <v>729.79273258340652</v>
      </c>
      <c r="M1196" s="20">
        <f t="shared" si="43"/>
        <v>-9.2683677038463372</v>
      </c>
    </row>
    <row r="1197" spans="1:13" x14ac:dyDescent="0.2">
      <c r="A1197" s="23">
        <v>292.5</v>
      </c>
      <c r="B1197" s="20">
        <v>727.91867617024002</v>
      </c>
      <c r="C1197" s="20">
        <v>59.920906978971402</v>
      </c>
      <c r="D1197" s="20">
        <v>337.60794322846698</v>
      </c>
      <c r="E1197" s="20">
        <v>-0.30023978239121202</v>
      </c>
      <c r="F1197" s="20">
        <v>-1.3664378585481201</v>
      </c>
      <c r="G1197" s="20">
        <v>1.39903407685584</v>
      </c>
      <c r="H1197" s="20">
        <v>8.4296998160499296E-3</v>
      </c>
      <c r="I1197" s="20">
        <v>127.81528597840899</v>
      </c>
      <c r="J1197" s="20">
        <v>730.38227079100193</v>
      </c>
      <c r="K1197" s="20">
        <v>9.2758548390457243</v>
      </c>
      <c r="L1197" s="20">
        <f t="shared" si="42"/>
        <v>730.38080082284284</v>
      </c>
      <c r="M1197" s="20">
        <f t="shared" si="43"/>
        <v>-9.2758361704872083</v>
      </c>
    </row>
    <row r="1198" spans="1:13" x14ac:dyDescent="0.2">
      <c r="A1198" s="23">
        <v>292.75</v>
      </c>
      <c r="B1198" s="20">
        <v>728.49980756523098</v>
      </c>
      <c r="C1198" s="20">
        <v>60.023278578127197</v>
      </c>
      <c r="D1198" s="20">
        <v>337.58103292836103</v>
      </c>
      <c r="E1198" s="20">
        <v>-0.300419267470733</v>
      </c>
      <c r="F1198" s="20">
        <v>-1.36520186398989</v>
      </c>
      <c r="G1198" s="20">
        <v>1.3978654676717299</v>
      </c>
      <c r="H1198" s="20">
        <v>8.4343329405015492E-3</v>
      </c>
      <c r="I1198" s="20">
        <v>127.87720182292099</v>
      </c>
      <c r="J1198" s="20">
        <v>730.96984501776683</v>
      </c>
      <c r="K1198" s="20">
        <v>9.2833170317256393</v>
      </c>
      <c r="L1198" s="20">
        <f t="shared" si="42"/>
        <v>730.96837386705454</v>
      </c>
      <c r="M1198" s="20">
        <f t="shared" si="43"/>
        <v>-9.2832983481487261</v>
      </c>
    </row>
    <row r="1199" spans="1:13" x14ac:dyDescent="0.2">
      <c r="A1199" s="23">
        <v>293</v>
      </c>
      <c r="B1199" s="20">
        <v>729.08043737389505</v>
      </c>
      <c r="C1199" s="20">
        <v>60.125654269587798</v>
      </c>
      <c r="D1199" s="20">
        <v>337.55412016227598</v>
      </c>
      <c r="E1199" s="20">
        <v>-0.30059805841399101</v>
      </c>
      <c r="F1199" s="20">
        <v>-1.3639650755033701</v>
      </c>
      <c r="G1199" s="20">
        <v>1.3966960728502</v>
      </c>
      <c r="H1199" s="20">
        <v>8.4389650932474702E-3</v>
      </c>
      <c r="I1199" s="20">
        <v>127.939075223974</v>
      </c>
      <c r="J1199" s="20">
        <v>731.55692372515739</v>
      </c>
      <c r="K1199" s="20">
        <v>9.2907729313094993</v>
      </c>
      <c r="L1199" s="20">
        <f t="shared" si="42"/>
        <v>731.55545139289075</v>
      </c>
      <c r="M1199" s="20">
        <f t="shared" si="43"/>
        <v>-9.2907542327268757</v>
      </c>
    </row>
    <row r="1200" spans="1:13" x14ac:dyDescent="0.2">
      <c r="A1200" s="23">
        <v>293.25</v>
      </c>
      <c r="B1200" s="20">
        <v>729.66056529484501</v>
      </c>
      <c r="C1200" s="20">
        <v>60.228033772833001</v>
      </c>
      <c r="D1200" s="20">
        <v>337.52720491984201</v>
      </c>
      <c r="E1200" s="20">
        <v>-0.30077615422488202</v>
      </c>
      <c r="F1200" s="20">
        <v>-1.36272749360923</v>
      </c>
      <c r="G1200" s="20">
        <v>1.3955258925540599</v>
      </c>
      <c r="H1200" s="20">
        <v>8.4435962668369495E-3</v>
      </c>
      <c r="I1200" s="20">
        <v>128.00090637454801</v>
      </c>
      <c r="J1200" s="20">
        <v>732.14350659010438</v>
      </c>
      <c r="K1200" s="20">
        <v>9.2982225336943269</v>
      </c>
      <c r="L1200" s="20">
        <f t="shared" si="42"/>
        <v>732.14203307728087</v>
      </c>
      <c r="M1200" s="20">
        <f t="shared" si="43"/>
        <v>-9.2982038201186601</v>
      </c>
    </row>
    <row r="1201" spans="1:13" x14ac:dyDescent="0.2">
      <c r="A1201" s="23">
        <v>293.5</v>
      </c>
      <c r="B1201" s="20">
        <v>730.24019102682905</v>
      </c>
      <c r="C1201" s="20">
        <v>60.330416807377503</v>
      </c>
      <c r="D1201" s="20">
        <v>337.50028719047901</v>
      </c>
      <c r="E1201" s="20">
        <v>-0.30095355391742301</v>
      </c>
      <c r="F1201" s="20">
        <v>-1.3614891188317699</v>
      </c>
      <c r="G1201" s="20">
        <v>1.39435492695111</v>
      </c>
      <c r="H1201" s="20">
        <v>8.4482264520792001E-3</v>
      </c>
      <c r="I1201" s="20">
        <v>128.06269547552299</v>
      </c>
      <c r="J1201" s="20">
        <v>732.72959328962384</v>
      </c>
      <c r="K1201" s="20">
        <v>9.3056658347782228</v>
      </c>
      <c r="L1201" s="20">
        <f t="shared" si="42"/>
        <v>732.7281185972405</v>
      </c>
      <c r="M1201" s="20">
        <f t="shared" si="43"/>
        <v>-9.3056471062221764</v>
      </c>
    </row>
    <row r="1202" spans="1:13" x14ac:dyDescent="0.2">
      <c r="A1202" s="23">
        <v>293.75</v>
      </c>
      <c r="B1202" s="20">
        <v>730.81931426873302</v>
      </c>
      <c r="C1202" s="20">
        <v>60.4328030927689</v>
      </c>
      <c r="D1202" s="20">
        <v>337.47336696339801</v>
      </c>
      <c r="E1202" s="20">
        <v>-0.301130256515938</v>
      </c>
      <c r="F1202" s="20">
        <v>-1.36024995169915</v>
      </c>
      <c r="G1202" s="20">
        <v>1.39318317621442</v>
      </c>
      <c r="H1202" s="20">
        <v>8.4528556380184493E-3</v>
      </c>
      <c r="I1202" s="20">
        <v>128.12444273579499</v>
      </c>
      <c r="J1202" s="20">
        <v>733.3151835008149</v>
      </c>
      <c r="K1202" s="20">
        <v>9.31310283046035</v>
      </c>
      <c r="L1202" s="20">
        <f t="shared" si="42"/>
        <v>733.31370762987285</v>
      </c>
      <c r="M1202" s="20">
        <f t="shared" si="43"/>
        <v>-9.3130840869366374</v>
      </c>
    </row>
    <row r="1203" spans="1:13" x14ac:dyDescent="0.2">
      <c r="A1203" s="23">
        <v>294</v>
      </c>
      <c r="B1203" s="20">
        <v>731.39793471958001</v>
      </c>
      <c r="C1203" s="20">
        <v>60.535192348586399</v>
      </c>
      <c r="D1203" s="20">
        <v>337.44644422759598</v>
      </c>
      <c r="E1203" s="20">
        <v>-0.30130626105524999</v>
      </c>
      <c r="F1203" s="20">
        <v>-1.3590099927436601</v>
      </c>
      <c r="G1203" s="20">
        <v>1.39201064052263</v>
      </c>
      <c r="H1203" s="20">
        <v>8.4574838119087295E-3</v>
      </c>
      <c r="I1203" s="20">
        <v>128.18614837238101</v>
      </c>
      <c r="J1203" s="20">
        <v>733.90027690087129</v>
      </c>
      <c r="K1203" s="20">
        <v>9.320533516641067</v>
      </c>
      <c r="L1203" s="20">
        <f t="shared" si="42"/>
        <v>733.89879985236882</v>
      </c>
      <c r="M1203" s="20">
        <f t="shared" si="43"/>
        <v>-9.320514758162366</v>
      </c>
    </row>
    <row r="1204" spans="1:13" x14ac:dyDescent="0.2">
      <c r="A1204" s="23">
        <v>294.25</v>
      </c>
      <c r="B1204" s="20">
        <v>731.97605207853599</v>
      </c>
      <c r="C1204" s="20">
        <v>60.637584294439002</v>
      </c>
      <c r="D1204" s="20">
        <v>337.41951897185999</v>
      </c>
      <c r="E1204" s="20">
        <v>-0.301481566580869</v>
      </c>
      <c r="F1204" s="20">
        <v>-1.35776924250202</v>
      </c>
      <c r="G1204" s="20">
        <v>1.3908373200603099</v>
      </c>
      <c r="H1204" s="20">
        <v>8.4621109591883001E-3</v>
      </c>
      <c r="I1204" s="20">
        <v>128.24781261053599</v>
      </c>
      <c r="J1204" s="20">
        <v>734.48487316707406</v>
      </c>
      <c r="K1204" s="20">
        <v>9.3279578892218407</v>
      </c>
      <c r="L1204" s="20">
        <f t="shared" si="42"/>
        <v>734.48339494201286</v>
      </c>
      <c r="M1204" s="20">
        <f t="shared" si="43"/>
        <v>-9.3279391158008753</v>
      </c>
    </row>
    <row r="1205" spans="1:13" x14ac:dyDescent="0.2">
      <c r="A1205" s="23">
        <v>294.5</v>
      </c>
      <c r="B1205" s="20">
        <v>732.55366604491098</v>
      </c>
      <c r="C1205" s="20">
        <v>60.739978649963902</v>
      </c>
      <c r="D1205" s="20">
        <v>337.39259118476002</v>
      </c>
      <c r="E1205" s="20">
        <v>-0.301656172149188</v>
      </c>
      <c r="F1205" s="20">
        <v>-1.3565277015156001</v>
      </c>
      <c r="G1205" s="20">
        <v>1.38966321501826</v>
      </c>
      <c r="H1205" s="20">
        <v>8.4667370634534701E-3</v>
      </c>
      <c r="I1205" s="20">
        <v>128.30943568387201</v>
      </c>
      <c r="J1205" s="20">
        <v>735.068971976802</v>
      </c>
      <c r="K1205" s="20">
        <v>9.335375944105385</v>
      </c>
      <c r="L1205" s="20">
        <f t="shared" si="42"/>
        <v>735.0674925761831</v>
      </c>
      <c r="M1205" s="20">
        <f t="shared" si="43"/>
        <v>-9.3353571557548669</v>
      </c>
    </row>
    <row r="1206" spans="1:13" x14ac:dyDescent="0.2">
      <c r="A1206" s="23">
        <v>294.75</v>
      </c>
      <c r="B1206" s="20">
        <v>733.13077631816304</v>
      </c>
      <c r="C1206" s="20">
        <v>60.842375134824799</v>
      </c>
      <c r="D1206" s="20">
        <v>337.36566085465398</v>
      </c>
      <c r="E1206" s="20">
        <v>-0.30183007682768098</v>
      </c>
      <c r="F1206" s="20">
        <v>-1.3552853703307599</v>
      </c>
      <c r="G1206" s="20">
        <v>1.3884883255938401</v>
      </c>
      <c r="H1206" s="20">
        <v>8.4713621064322394E-3</v>
      </c>
      <c r="I1206" s="20">
        <v>128.371017834464</v>
      </c>
      <c r="J1206" s="20">
        <v>735.65257300753103</v>
      </c>
      <c r="K1206" s="20">
        <v>9.3427876771956448</v>
      </c>
      <c r="L1206" s="20">
        <f t="shared" si="42"/>
        <v>735.65109243235634</v>
      </c>
      <c r="M1206" s="20">
        <f t="shared" si="43"/>
        <v>-9.3427688739282964</v>
      </c>
    </row>
    <row r="1207" spans="1:13" x14ac:dyDescent="0.2">
      <c r="A1207" s="23">
        <v>295</v>
      </c>
      <c r="B1207" s="20">
        <v>733.70738259789903</v>
      </c>
      <c r="C1207" s="20">
        <v>60.944773468710203</v>
      </c>
      <c r="D1207" s="20">
        <v>337.33872796968501</v>
      </c>
      <c r="E1207" s="20">
        <v>-0.30200327969510399</v>
      </c>
      <c r="F1207" s="20">
        <v>-1.35404224949907</v>
      </c>
      <c r="G1207" s="20">
        <v>1.3873126519912899</v>
      </c>
      <c r="H1207" s="20">
        <v>8.4759860679572106E-3</v>
      </c>
      <c r="I1207" s="20">
        <v>128.432559312981</v>
      </c>
      <c r="J1207" s="20">
        <v>736.23567593683674</v>
      </c>
      <c r="K1207" s="20">
        <v>9.3501930843978265</v>
      </c>
      <c r="L1207" s="20">
        <f t="shared" si="42"/>
        <v>736.23419418810761</v>
      </c>
      <c r="M1207" s="20">
        <f t="shared" si="43"/>
        <v>-9.350174266226368</v>
      </c>
    </row>
    <row r="1208" spans="1:13" x14ac:dyDescent="0.2">
      <c r="A1208" s="23">
        <v>295.25</v>
      </c>
      <c r="B1208" s="20">
        <v>734.28348458388302</v>
      </c>
      <c r="C1208" s="20">
        <v>61.047173371331198</v>
      </c>
      <c r="D1208" s="20">
        <v>337.31179251777797</v>
      </c>
      <c r="E1208" s="20">
        <v>-0.30217577984169303</v>
      </c>
      <c r="F1208" s="20">
        <v>-1.3527983395776499</v>
      </c>
      <c r="G1208" s="20">
        <v>1.3861361944221</v>
      </c>
      <c r="H1208" s="20">
        <v>8.4806089259384602E-3</v>
      </c>
      <c r="I1208" s="20">
        <v>128.494060378798</v>
      </c>
      <c r="J1208" s="20">
        <v>736.81828044239955</v>
      </c>
      <c r="K1208" s="20">
        <v>9.3575921616184754</v>
      </c>
      <c r="L1208" s="20">
        <f t="shared" si="42"/>
        <v>736.81679752111984</v>
      </c>
      <c r="M1208" s="20">
        <f t="shared" si="43"/>
        <v>-9.3575733285556524</v>
      </c>
    </row>
    <row r="1209" spans="1:13" x14ac:dyDescent="0.2">
      <c r="A1209" s="23">
        <v>295.5</v>
      </c>
      <c r="B1209" s="20">
        <v>734.85908197603396</v>
      </c>
      <c r="C1209" s="20">
        <v>61.149574562420398</v>
      </c>
      <c r="D1209" s="20">
        <v>337.28485448664202</v>
      </c>
      <c r="E1209" s="20">
        <v>-0.30234757636937298</v>
      </c>
      <c r="F1209" s="20">
        <v>-1.35155364112939</v>
      </c>
      <c r="G1209" s="20">
        <v>1.3849589531052999</v>
      </c>
      <c r="H1209" s="20">
        <v>8.4852306563353592E-3</v>
      </c>
      <c r="I1209" s="20">
        <v>128.555521300122</v>
      </c>
      <c r="J1209" s="20">
        <v>737.40038620200619</v>
      </c>
      <c r="K1209" s="20">
        <v>9.3649849047654783</v>
      </c>
      <c r="L1209" s="20">
        <f t="shared" si="42"/>
        <v>737.39890210918031</v>
      </c>
      <c r="M1209" s="20">
        <f t="shared" si="43"/>
        <v>-9.3649660568240503</v>
      </c>
    </row>
    <row r="1210" spans="1:13" x14ac:dyDescent="0.2">
      <c r="A1210" s="23">
        <v>295.75</v>
      </c>
      <c r="B1210" s="20">
        <v>735.43417447443198</v>
      </c>
      <c r="C1210" s="20">
        <v>61.251976761729701</v>
      </c>
      <c r="D1210" s="20">
        <v>337.25791386376602</v>
      </c>
      <c r="E1210" s="20">
        <v>-0.302518668391969</v>
      </c>
      <c r="F1210" s="20">
        <v>-1.35030815472331</v>
      </c>
      <c r="G1210" s="20">
        <v>1.3837809282678799</v>
      </c>
      <c r="H1210" s="20">
        <v>8.4898512331287104E-3</v>
      </c>
      <c r="I1210" s="20">
        <v>128.616942354115</v>
      </c>
      <c r="J1210" s="20">
        <v>737.98199289355455</v>
      </c>
      <c r="K1210" s="20">
        <v>9.3723713097481447</v>
      </c>
      <c r="L1210" s="20">
        <f t="shared" si="42"/>
        <v>737.98050763018716</v>
      </c>
      <c r="M1210" s="20">
        <f t="shared" si="43"/>
        <v>-9.3723524469408659</v>
      </c>
    </row>
    <row r="1211" spans="1:13" x14ac:dyDescent="0.2">
      <c r="A1211" s="23">
        <v>296</v>
      </c>
      <c r="B1211" s="20">
        <v>736.00876177932196</v>
      </c>
      <c r="C1211" s="20">
        <v>61.354379689028399</v>
      </c>
      <c r="D1211" s="20">
        <v>337.230970636422</v>
      </c>
      <c r="E1211" s="20">
        <v>-0.302689055035407</v>
      </c>
      <c r="F1211" s="20">
        <v>-1.3490618809348101</v>
      </c>
      <c r="G1211" s="20">
        <v>1.38260212014505</v>
      </c>
      <c r="H1211" s="20">
        <v>8.4944706282916397E-3</v>
      </c>
      <c r="I1211" s="20">
        <v>128.67832382702201</v>
      </c>
      <c r="J1211" s="20">
        <v>738.56310019505861</v>
      </c>
      <c r="K1211" s="20">
        <v>9.3797513724772443</v>
      </c>
      <c r="L1211" s="20">
        <f t="shared" si="42"/>
        <v>738.56161376215334</v>
      </c>
      <c r="M1211" s="20">
        <f t="shared" si="43"/>
        <v>-9.3797324948168672</v>
      </c>
    </row>
    <row r="1212" spans="1:13" x14ac:dyDescent="0.2">
      <c r="A1212" s="23">
        <v>296.25</v>
      </c>
      <c r="B1212" s="20">
        <v>736.58284359111701</v>
      </c>
      <c r="C1212" s="20">
        <v>61.456783064101799</v>
      </c>
      <c r="D1212" s="20">
        <v>337.20402479166</v>
      </c>
      <c r="E1212" s="20">
        <v>-0.30285873543794101</v>
      </c>
      <c r="F1212" s="20">
        <v>-1.3478148203460001</v>
      </c>
      <c r="G1212" s="20">
        <v>1.3814225289806801</v>
      </c>
      <c r="H1212" s="20">
        <v>8.4990888117456205E-3</v>
      </c>
      <c r="I1212" s="20">
        <v>128.739666014298</v>
      </c>
      <c r="J1212" s="20">
        <v>739.14370778464695</v>
      </c>
      <c r="K1212" s="20">
        <v>9.3871250888650177</v>
      </c>
      <c r="L1212" s="20">
        <f t="shared" si="42"/>
        <v>739.14222018320947</v>
      </c>
      <c r="M1212" s="20">
        <f t="shared" si="43"/>
        <v>-9.387106196364309</v>
      </c>
    </row>
    <row r="1213" spans="1:13" x14ac:dyDescent="0.2">
      <c r="A1213" s="23">
        <v>296.5</v>
      </c>
      <c r="B1213" s="20">
        <v>737.15641961040501</v>
      </c>
      <c r="C1213" s="20">
        <v>61.559186606748497</v>
      </c>
      <c r="D1213" s="20">
        <v>337.17707631630901</v>
      </c>
      <c r="E1213" s="20">
        <v>-0.30302770875033302</v>
      </c>
      <c r="F1213" s="20">
        <v>-1.34656697354596</v>
      </c>
      <c r="G1213" s="20">
        <v>1.3802421550275901</v>
      </c>
      <c r="H1213" s="20">
        <v>8.5037057512729695E-3</v>
      </c>
      <c r="I1213" s="20">
        <v>128.80096922073901</v>
      </c>
      <c r="J1213" s="20">
        <v>739.72381534057263</v>
      </c>
      <c r="K1213" s="20">
        <v>9.394492454825274</v>
      </c>
      <c r="L1213" s="20">
        <f t="shared" si="42"/>
        <v>739.72232657161021</v>
      </c>
      <c r="M1213" s="20">
        <f t="shared" si="43"/>
        <v>-9.3944735474970269</v>
      </c>
    </row>
    <row r="1214" spans="1:13" x14ac:dyDescent="0.2">
      <c r="A1214" s="23">
        <v>296.75</v>
      </c>
      <c r="B1214" s="20">
        <v>737.72948953794798</v>
      </c>
      <c r="C1214" s="20">
        <v>61.6615900367796</v>
      </c>
      <c r="D1214" s="20">
        <v>337.150125196977</v>
      </c>
      <c r="E1214" s="20">
        <v>-0.30319597413597099</v>
      </c>
      <c r="F1214" s="20">
        <v>-1.34531834113111</v>
      </c>
      <c r="G1214" s="20">
        <v>1.3790609985479301</v>
      </c>
      <c r="H1214" s="20">
        <v>8.50832141254022E-3</v>
      </c>
      <c r="I1214" s="20">
        <v>128.86223376061301</v>
      </c>
      <c r="J1214" s="20">
        <v>740.30342254121422</v>
      </c>
      <c r="K1214" s="20">
        <v>9.4018534662734208</v>
      </c>
      <c r="L1214" s="20">
        <f t="shared" si="42"/>
        <v>740.30193260573424</v>
      </c>
      <c r="M1214" s="20">
        <f t="shared" si="43"/>
        <v>-9.4018345441304323</v>
      </c>
    </row>
    <row r="1215" spans="1:13" x14ac:dyDescent="0.2">
      <c r="A1215" s="23">
        <v>297</v>
      </c>
      <c r="B1215" s="20">
        <v>738.30205307468896</v>
      </c>
      <c r="C1215" s="20">
        <v>61.763993074015701</v>
      </c>
      <c r="D1215" s="20">
        <v>337.12317142004599</v>
      </c>
      <c r="E1215" s="20">
        <v>-0.30336353077108602</v>
      </c>
      <c r="F1215" s="20">
        <v>-1.3440689237054499</v>
      </c>
      <c r="G1215" s="20">
        <v>1.37787905981353</v>
      </c>
      <c r="H1215" s="20">
        <v>8.51293575908732E-3</v>
      </c>
      <c r="I1215" s="20">
        <v>128.92345995779701</v>
      </c>
      <c r="J1215" s="20">
        <v>740.88252906508148</v>
      </c>
      <c r="K1215" s="20">
        <v>9.4092081191265358</v>
      </c>
      <c r="L1215" s="20">
        <f t="shared" si="42"/>
        <v>740.88103796409041</v>
      </c>
      <c r="M1215" s="20">
        <f t="shared" si="43"/>
        <v>-9.409189182181585</v>
      </c>
    </row>
    <row r="1216" spans="1:13" x14ac:dyDescent="0.2">
      <c r="A1216" s="23">
        <v>297.25</v>
      </c>
      <c r="B1216" s="20">
        <v>738.87410992175899</v>
      </c>
      <c r="C1216" s="20">
        <v>61.866395438285799</v>
      </c>
      <c r="D1216" s="20">
        <v>337.09621497167598</v>
      </c>
      <c r="E1216" s="20">
        <v>-0.30353037784499798</v>
      </c>
      <c r="F1216" s="20">
        <v>-1.34281872188094</v>
      </c>
      <c r="G1216" s="20">
        <v>1.3766963391063001</v>
      </c>
      <c r="H1216" s="20">
        <v>8.5175487522955399E-3</v>
      </c>
      <c r="I1216" s="20">
        <v>128.98464814590901</v>
      </c>
      <c r="J1216" s="20">
        <v>741.4611345908171</v>
      </c>
      <c r="K1216" s="20">
        <v>9.4165564093033787</v>
      </c>
      <c r="L1216" s="20">
        <f t="shared" si="42"/>
        <v>741.45964232532435</v>
      </c>
      <c r="M1216" s="20">
        <f t="shared" si="43"/>
        <v>-9.4165374575692855</v>
      </c>
    </row>
    <row r="1217" spans="1:13" x14ac:dyDescent="0.2">
      <c r="A1217" s="23">
        <v>297.5</v>
      </c>
      <c r="B1217" s="20">
        <v>739.44565978047694</v>
      </c>
      <c r="C1217" s="20">
        <v>61.968796849425303</v>
      </c>
      <c r="D1217" s="20">
        <v>337.06925583780099</v>
      </c>
      <c r="E1217" s="20">
        <v>-0.30369651456033298</v>
      </c>
      <c r="F1217" s="20">
        <v>-1.34156773627777</v>
      </c>
      <c r="G1217" s="20">
        <v>1.3755128367185601</v>
      </c>
      <c r="H1217" s="20">
        <v>8.5221603513558602E-3</v>
      </c>
      <c r="I1217" s="20">
        <v>129.04579866845199</v>
      </c>
      <c r="J1217" s="20">
        <v>742.03923879720492</v>
      </c>
      <c r="K1217" s="20">
        <v>9.4238983327245034</v>
      </c>
      <c r="L1217" s="20">
        <f t="shared" si="42"/>
        <v>742.03774536821925</v>
      </c>
      <c r="M1217" s="20">
        <f t="shared" si="43"/>
        <v>-9.4238793662140807</v>
      </c>
    </row>
    <row r="1218" spans="1:13" x14ac:dyDescent="0.2">
      <c r="A1218" s="23">
        <v>297.75</v>
      </c>
      <c r="B1218" s="20">
        <v>740.01670235235804</v>
      </c>
      <c r="C1218" s="20">
        <v>62.071197027273399</v>
      </c>
      <c r="D1218" s="20">
        <v>337.04229400412601</v>
      </c>
      <c r="E1218" s="20">
        <v>-0.30386194013325402</v>
      </c>
      <c r="F1218" s="20">
        <v>-1.34031596752472</v>
      </c>
      <c r="G1218" s="20">
        <v>1.3743285529535001</v>
      </c>
      <c r="H1218" s="20">
        <v>8.5267705132367998E-3</v>
      </c>
      <c r="I1218" s="20">
        <v>129.10691187894901</v>
      </c>
      <c r="J1218" s="20">
        <v>742.6168413631724</v>
      </c>
      <c r="K1218" s="20">
        <v>9.4312338853122899</v>
      </c>
      <c r="L1218" s="20">
        <f t="shared" si="42"/>
        <v>742.61534677170323</v>
      </c>
      <c r="M1218" s="20">
        <f t="shared" si="43"/>
        <v>-9.4312149040383559</v>
      </c>
    </row>
    <row r="1219" spans="1:13" x14ac:dyDescent="0.2">
      <c r="A1219" s="23">
        <v>298</v>
      </c>
      <c r="B1219" s="20">
        <v>740.587237339117</v>
      </c>
      <c r="C1219" s="20">
        <v>62.1735956916718</v>
      </c>
      <c r="D1219" s="20">
        <v>337.01532945613297</v>
      </c>
      <c r="E1219" s="20">
        <v>-0.30402665379369798</v>
      </c>
      <c r="F1219" s="20">
        <v>-1.3390634162594699</v>
      </c>
      <c r="G1219" s="20">
        <v>1.3731434881255</v>
      </c>
      <c r="H1219" s="20">
        <v>8.5313791926517404E-3</v>
      </c>
      <c r="I1219" s="20">
        <v>129.16798814109299</v>
      </c>
      <c r="J1219" s="20">
        <v>743.19394196779535</v>
      </c>
      <c r="K1219" s="20">
        <v>9.4385630629910011</v>
      </c>
      <c r="L1219" s="20">
        <f t="shared" si="42"/>
        <v>743.19244621485291</v>
      </c>
      <c r="M1219" s="20">
        <f t="shared" si="43"/>
        <v>-9.4385440669663865</v>
      </c>
    </row>
    <row r="1220" spans="1:13" x14ac:dyDescent="0.2">
      <c r="A1220" s="23">
        <v>298.25</v>
      </c>
      <c r="B1220" s="20">
        <v>741.157264442675</v>
      </c>
      <c r="C1220" s="20">
        <v>62.275992562462598</v>
      </c>
      <c r="D1220" s="20">
        <v>336.98836217907001</v>
      </c>
      <c r="E1220" s="20">
        <v>-0.30419065478560497</v>
      </c>
      <c r="F1220" s="20">
        <v>-1.3378100831289299</v>
      </c>
      <c r="G1220" s="20">
        <v>1.37195764256056</v>
      </c>
      <c r="H1220" s="20">
        <v>8.5359863420257504E-3</v>
      </c>
      <c r="I1220" s="20">
        <v>129.22902782888599</v>
      </c>
      <c r="J1220" s="20">
        <v>743.77054029030512</v>
      </c>
      <c r="K1220" s="20">
        <v>9.4458858616868753</v>
      </c>
      <c r="L1220" s="20">
        <f t="shared" si="42"/>
        <v>743.76904337690007</v>
      </c>
      <c r="M1220" s="20">
        <f t="shared" si="43"/>
        <v>-9.4458668509244141</v>
      </c>
    </row>
    <row r="1221" spans="1:13" x14ac:dyDescent="0.2">
      <c r="A1221" s="23">
        <v>298.5</v>
      </c>
      <c r="B1221" s="20">
        <v>741.72678336516299</v>
      </c>
      <c r="C1221" s="20">
        <v>62.378387359485998</v>
      </c>
      <c r="D1221" s="20">
        <v>336.96139215795802</v>
      </c>
      <c r="E1221" s="20">
        <v>-0.30435394236716001</v>
      </c>
      <c r="F1221" s="20">
        <v>-1.3365559687896</v>
      </c>
      <c r="G1221" s="20">
        <v>1.37077101659669</v>
      </c>
      <c r="H1221" s="20">
        <v>8.5405919114618905E-3</v>
      </c>
      <c r="I1221" s="20">
        <v>129.29003132678901</v>
      </c>
      <c r="J1221" s="20">
        <v>744.34663601009049</v>
      </c>
      <c r="K1221" s="20">
        <v>9.4532022773281508</v>
      </c>
      <c r="L1221" s="20">
        <f t="shared" si="42"/>
        <v>744.34513793723511</v>
      </c>
      <c r="M1221" s="20">
        <f t="shared" si="43"/>
        <v>-9.4531832518406986</v>
      </c>
    </row>
    <row r="1222" spans="1:13" x14ac:dyDescent="0.2">
      <c r="A1222" s="23">
        <v>298.75</v>
      </c>
      <c r="B1222" s="20">
        <v>742.29579380892801</v>
      </c>
      <c r="C1222" s="20">
        <v>62.480779802578297</v>
      </c>
      <c r="D1222" s="20">
        <v>336.93441937758797</v>
      </c>
      <c r="E1222" s="20">
        <v>-0.304516515811036</v>
      </c>
      <c r="F1222" s="20">
        <v>-1.3353010739078801</v>
      </c>
      <c r="G1222" s="20">
        <v>1.36958361058434</v>
      </c>
      <c r="H1222" s="20">
        <v>8.5451958487070007E-3</v>
      </c>
      <c r="I1222" s="20">
        <v>129.35099902987201</v>
      </c>
      <c r="J1222" s="20">
        <v>744.92222880670715</v>
      </c>
      <c r="K1222" s="20">
        <v>9.4605123058451817</v>
      </c>
      <c r="L1222" s="20">
        <f t="shared" si="42"/>
        <v>744.92072957541257</v>
      </c>
      <c r="M1222" s="20">
        <f t="shared" si="43"/>
        <v>-9.4604932656455816</v>
      </c>
    </row>
    <row r="1223" spans="1:13" x14ac:dyDescent="0.2">
      <c r="A1223" s="23">
        <v>299</v>
      </c>
      <c r="B1223" s="20">
        <v>742.86429547653995</v>
      </c>
      <c r="C1223" s="20">
        <v>62.583169611570099</v>
      </c>
      <c r="D1223" s="20">
        <v>336.90744382251398</v>
      </c>
      <c r="E1223" s="20">
        <v>-0.30467837440463702</v>
      </c>
      <c r="F1223" s="20">
        <v>-1.33404539916045</v>
      </c>
      <c r="G1223" s="20">
        <v>1.36839542488676</v>
      </c>
      <c r="H1223" s="20">
        <v>8.5497980991167608E-3</v>
      </c>
      <c r="I1223" s="20">
        <v>129.41193134396599</v>
      </c>
      <c r="J1223" s="20">
        <v>745.49731835987905</v>
      </c>
      <c r="K1223" s="20">
        <v>9.4678159431704643</v>
      </c>
      <c r="L1223" s="20">
        <f t="shared" si="42"/>
        <v>745.49581797115843</v>
      </c>
      <c r="M1223" s="20">
        <f t="shared" si="43"/>
        <v>-9.4677968882715824</v>
      </c>
    </row>
    <row r="1224" spans="1:13" x14ac:dyDescent="0.2">
      <c r="A1224" s="23">
        <v>299.25</v>
      </c>
      <c r="B1224" s="20">
        <v>743.43228807079595</v>
      </c>
      <c r="C1224" s="20">
        <v>62.685556506284001</v>
      </c>
      <c r="D1224" s="20">
        <v>336.88046547706301</v>
      </c>
      <c r="E1224" s="20">
        <v>-0.30483951745034799</v>
      </c>
      <c r="F1224" s="20">
        <v>-1.3327889452346</v>
      </c>
      <c r="G1224" s="20">
        <v>1.3672064598804801</v>
      </c>
      <c r="H1224" s="20">
        <v>8.5543986056204994E-3</v>
      </c>
      <c r="I1224" s="20">
        <v>129.472828685818</v>
      </c>
      <c r="J1224" s="20">
        <v>746.07190434950735</v>
      </c>
      <c r="K1224" s="20">
        <v>9.4751131852387438</v>
      </c>
      <c r="L1224" s="20">
        <f t="shared" si="42"/>
        <v>746.07040280437445</v>
      </c>
      <c r="M1224" s="20">
        <f t="shared" si="43"/>
        <v>-9.4750941156534569</v>
      </c>
    </row>
    <row r="1225" spans="1:13" x14ac:dyDescent="0.2">
      <c r="A1225" s="23">
        <v>299.5</v>
      </c>
      <c r="B1225" s="20">
        <v>743.99977129472904</v>
      </c>
      <c r="C1225" s="20">
        <v>62.787940206532397</v>
      </c>
      <c r="D1225" s="20">
        <v>336.85348432532101</v>
      </c>
      <c r="E1225" s="20">
        <v>-0.30499994426578803</v>
      </c>
      <c r="F1225" s="20">
        <v>-1.33153171282858</v>
      </c>
      <c r="G1225" s="20">
        <v>1.36601671595568</v>
      </c>
      <c r="H1225" s="20">
        <v>8.5589973086851005E-3</v>
      </c>
      <c r="I1225" s="20">
        <v>129.533691483247</v>
      </c>
      <c r="J1225" s="20">
        <v>746.64598645567708</v>
      </c>
      <c r="K1225" s="20">
        <v>9.4824040279870996</v>
      </c>
      <c r="L1225" s="20">
        <f t="shared" si="42"/>
        <v>746.64448375514587</v>
      </c>
      <c r="M1225" s="20">
        <f t="shared" si="43"/>
        <v>-9.4823849437282828</v>
      </c>
    </row>
    <row r="1226" spans="1:13" x14ac:dyDescent="0.2">
      <c r="A1226" s="23">
        <v>299.75</v>
      </c>
      <c r="B1226" s="20">
        <v>744.56674485160897</v>
      </c>
      <c r="C1226" s="20">
        <v>62.890320432115502</v>
      </c>
      <c r="D1226" s="20">
        <v>336.82650035114199</v>
      </c>
      <c r="E1226" s="20">
        <v>-0.30515965418406399</v>
      </c>
      <c r="F1226" s="20">
        <v>-1.3302737026520099</v>
      </c>
      <c r="G1226" s="20">
        <v>1.3648261935166801</v>
      </c>
      <c r="H1226" s="20">
        <v>8.5635941462786497E-3</v>
      </c>
      <c r="I1226" s="20">
        <v>129.594520175301</v>
      </c>
      <c r="J1226" s="20">
        <v>747.21956435865752</v>
      </c>
      <c r="K1226" s="20">
        <v>9.4896884673549504</v>
      </c>
      <c r="L1226" s="20">
        <f t="shared" si="42"/>
        <v>747.21806050374289</v>
      </c>
      <c r="M1226" s="20">
        <f t="shared" si="43"/>
        <v>-9.4896693684354929</v>
      </c>
    </row>
    <row r="1227" spans="1:13" x14ac:dyDescent="0.2">
      <c r="A1227" s="23">
        <v>300</v>
      </c>
      <c r="B1227" s="20">
        <v>745.13320844495604</v>
      </c>
      <c r="C1227" s="20">
        <v>62.992696902819297</v>
      </c>
      <c r="D1227" s="20">
        <v>336.799513538143</v>
      </c>
      <c r="E1227" s="20">
        <v>-0.30531864655403401</v>
      </c>
      <c r="F1227" s="20">
        <v>-1.3290149154261699</v>
      </c>
      <c r="G1227" s="20">
        <v>1.3636348929822899</v>
      </c>
      <c r="H1227" s="20">
        <v>8.5681890538332906E-3</v>
      </c>
      <c r="I1227" s="20">
        <v>129.65531521242599</v>
      </c>
      <c r="J1227" s="20">
        <v>747.79263773891648</v>
      </c>
      <c r="K1227" s="20">
        <v>9.4969664992842393</v>
      </c>
      <c r="L1227" s="20">
        <f t="shared" si="42"/>
        <v>747.7911327306341</v>
      </c>
      <c r="M1227" s="20">
        <f t="shared" si="43"/>
        <v>-9.496947385717041</v>
      </c>
    </row>
    <row r="1228" spans="1:13" x14ac:dyDescent="0.2">
      <c r="A1228" s="23">
        <v>300.25</v>
      </c>
      <c r="B1228" s="20">
        <v>745.699161778541</v>
      </c>
      <c r="C1228" s="20">
        <v>63.095069338412898</v>
      </c>
      <c r="D1228" s="20">
        <v>336.77252386970002</v>
      </c>
      <c r="E1228" s="20">
        <v>-0.30547692074056199</v>
      </c>
      <c r="F1228" s="20">
        <v>-1.32775535188444</v>
      </c>
      <c r="G1228" s="20">
        <v>1.3624428147863401</v>
      </c>
      <c r="H1228" s="20">
        <v>8.5727819642075192E-3</v>
      </c>
      <c r="I1228" s="20">
        <v>129.71607705662001</v>
      </c>
      <c r="J1228" s="20">
        <v>748.36520627712105</v>
      </c>
      <c r="K1228" s="20">
        <v>9.5042381197194388</v>
      </c>
      <c r="L1228" s="20">
        <f t="shared" si="42"/>
        <v>748.36370011648603</v>
      </c>
      <c r="M1228" s="20">
        <f t="shared" si="43"/>
        <v>-9.5042189915173889</v>
      </c>
    </row>
    <row r="1229" spans="1:13" x14ac:dyDescent="0.2">
      <c r="A1229" s="23">
        <v>300.5</v>
      </c>
      <c r="B1229" s="20">
        <v>746.26460455639904</v>
      </c>
      <c r="C1229" s="20">
        <v>63.197437458646803</v>
      </c>
      <c r="D1229" s="20">
        <v>336.74553132895198</v>
      </c>
      <c r="E1229" s="20">
        <v>-0.30563447612479699</v>
      </c>
      <c r="F1229" s="20">
        <v>-1.32649501277265</v>
      </c>
      <c r="G1229" s="20">
        <v>1.36124995937807</v>
      </c>
      <c r="H1229" s="20">
        <v>8.5773728076480003E-3</v>
      </c>
      <c r="I1229" s="20">
        <v>129.77680618161</v>
      </c>
      <c r="J1229" s="20">
        <v>748.93726965414726</v>
      </c>
      <c r="K1229" s="20">
        <v>9.5115033246076699</v>
      </c>
      <c r="L1229" s="20">
        <f t="shared" si="42"/>
        <v>748.93576234217721</v>
      </c>
      <c r="M1229" s="20">
        <f t="shared" si="43"/>
        <v>-9.5114841817836968</v>
      </c>
    </row>
    <row r="1230" spans="1:13" x14ac:dyDescent="0.2">
      <c r="A1230" s="23">
        <v>300.75</v>
      </c>
      <c r="B1230" s="20">
        <v>746.82953648282796</v>
      </c>
      <c r="C1230" s="20">
        <v>63.299800983250599</v>
      </c>
      <c r="D1230" s="20">
        <v>336.71853589879601</v>
      </c>
      <c r="E1230" s="20">
        <v>-0.30579131210443</v>
      </c>
      <c r="F1230" s="20">
        <v>-1.3252338988494501</v>
      </c>
      <c r="G1230" s="20">
        <v>1.3600563272226101</v>
      </c>
      <c r="H1230" s="20">
        <v>8.5819615117506704E-3</v>
      </c>
      <c r="I1230" s="20">
        <v>129.837503073015</v>
      </c>
      <c r="J1230" s="20">
        <v>749.50882755108466</v>
      </c>
      <c r="K1230" s="20">
        <v>9.5187621098987769</v>
      </c>
      <c r="L1230" s="20">
        <f t="shared" si="42"/>
        <v>749.50731908879629</v>
      </c>
      <c r="M1230" s="20">
        <f t="shared" si="43"/>
        <v>-9.5187429524657876</v>
      </c>
    </row>
    <row r="1231" spans="1:13" x14ac:dyDescent="0.2">
      <c r="A1231" s="23">
        <v>301</v>
      </c>
      <c r="B1231" s="20">
        <v>747.393957262404</v>
      </c>
      <c r="C1231" s="20">
        <v>63.402159631930303</v>
      </c>
      <c r="D1231" s="20">
        <v>336.69153756188598</v>
      </c>
      <c r="E1231" s="20">
        <v>-0.30594742809397901</v>
      </c>
      <c r="F1231" s="20">
        <v>-1.3239720108867199</v>
      </c>
      <c r="G1231" s="20">
        <v>1.3588619188014499</v>
      </c>
      <c r="H1231" s="20">
        <v>8.5865480014211994E-3</v>
      </c>
      <c r="I1231" s="20">
        <v>129.89816822851901</v>
      </c>
      <c r="J1231" s="20">
        <v>750.07987964924575</v>
      </c>
      <c r="K1231" s="20">
        <v>9.5260144715454214</v>
      </c>
      <c r="L1231" s="20">
        <f t="shared" si="42"/>
        <v>750.07837003765746</v>
      </c>
      <c r="M1231" s="20">
        <f t="shared" si="43"/>
        <v>-9.5259952995163548</v>
      </c>
    </row>
    <row r="1232" spans="1:13" x14ac:dyDescent="0.2">
      <c r="A1232" s="23">
        <v>301.25</v>
      </c>
      <c r="B1232" s="20">
        <v>747.95786659998498</v>
      </c>
      <c r="C1232" s="20">
        <v>63.504513124366703</v>
      </c>
      <c r="D1232" s="20">
        <v>336.66453630063501</v>
      </c>
      <c r="E1232" s="20">
        <v>-0.30610282352506002</v>
      </c>
      <c r="F1232" s="20">
        <v>-1.32270934966996</v>
      </c>
      <c r="G1232" s="20">
        <v>1.3576667346128599</v>
      </c>
      <c r="H1232" s="20">
        <v>8.5911322034036095E-3</v>
      </c>
      <c r="I1232" s="20">
        <v>129.95880213251201</v>
      </c>
      <c r="J1232" s="20">
        <v>750.65042563017255</v>
      </c>
      <c r="K1232" s="20">
        <v>9.5332604055031922</v>
      </c>
      <c r="L1232" s="20">
        <f t="shared" si="42"/>
        <v>750.64891487030332</v>
      </c>
      <c r="M1232" s="20">
        <f t="shared" si="43"/>
        <v>-9.5332412188909856</v>
      </c>
    </row>
    <row r="1233" spans="1:13" x14ac:dyDescent="0.2">
      <c r="A1233" s="23">
        <v>301.5</v>
      </c>
      <c r="B1233" s="20">
        <v>748.52126420071602</v>
      </c>
      <c r="C1233" s="20">
        <v>63.606861180212697</v>
      </c>
      <c r="D1233" s="20">
        <v>336.63753209720898</v>
      </c>
      <c r="E1233" s="20">
        <v>-0.30625749784526002</v>
      </c>
      <c r="F1233" s="20">
        <v>-1.3214459159974801</v>
      </c>
      <c r="G1233" s="20">
        <v>1.3564707751709399</v>
      </c>
      <c r="H1233" s="20">
        <v>8.5957141302134901E-3</v>
      </c>
      <c r="I1233" s="20">
        <v>130.01940478637999</v>
      </c>
      <c r="J1233" s="20">
        <v>751.22046517564263</v>
      </c>
      <c r="K1233" s="20">
        <v>9.5404999077306627</v>
      </c>
      <c r="L1233" s="20">
        <f t="shared" si="42"/>
        <v>751.21895326851075</v>
      </c>
      <c r="M1233" s="20">
        <f t="shared" si="43"/>
        <v>-9.540480706548248</v>
      </c>
    </row>
    <row r="1234" spans="1:13" x14ac:dyDescent="0.2">
      <c r="A1234" s="23">
        <v>301.75</v>
      </c>
      <c r="B1234" s="20">
        <v>749.08414977003702</v>
      </c>
      <c r="C1234" s="20">
        <v>63.709203519094501</v>
      </c>
      <c r="D1234" s="20">
        <v>336.61052493352997</v>
      </c>
      <c r="E1234" s="20">
        <v>-0.306411450491551</v>
      </c>
      <c r="F1234" s="20">
        <v>-1.32018171065805</v>
      </c>
      <c r="G1234" s="20">
        <v>1.3552740409778199</v>
      </c>
      <c r="H1234" s="20">
        <v>8.6002938706379595E-3</v>
      </c>
      <c r="I1234" s="20">
        <v>130.07997574484699</v>
      </c>
      <c r="J1234" s="20">
        <v>751.78999796767266</v>
      </c>
      <c r="K1234" s="20">
        <v>9.5477329741894437</v>
      </c>
      <c r="L1234" s="20">
        <f t="shared" si="42"/>
        <v>751.78848491429858</v>
      </c>
      <c r="M1234" s="20">
        <f t="shared" si="43"/>
        <v>-9.5477137584497829</v>
      </c>
    </row>
    <row r="1235" spans="1:13" x14ac:dyDescent="0.2">
      <c r="A1235" s="23">
        <v>302</v>
      </c>
      <c r="B1235" s="20">
        <v>749.64652301366596</v>
      </c>
      <c r="C1235" s="20">
        <v>63.811539860617998</v>
      </c>
      <c r="D1235" s="20">
        <v>336.58351479127703</v>
      </c>
      <c r="E1235" s="20">
        <v>-0.30656468087573702</v>
      </c>
      <c r="F1235" s="20">
        <v>-1.31891673441853</v>
      </c>
      <c r="G1235" s="20">
        <v>1.35407653250829</v>
      </c>
      <c r="H1235" s="20">
        <v>8.6048715139571894E-3</v>
      </c>
      <c r="I1235" s="20">
        <v>130.14051454123401</v>
      </c>
      <c r="J1235" s="20">
        <v>752.35902368850714</v>
      </c>
      <c r="K1235" s="20">
        <v>9.5549596008440414</v>
      </c>
      <c r="L1235" s="20">
        <f t="shared" si="42"/>
        <v>752.35750948991131</v>
      </c>
      <c r="M1235" s="20">
        <f t="shared" si="43"/>
        <v>-9.554940370560093</v>
      </c>
    </row>
    <row r="1236" spans="1:13" x14ac:dyDescent="0.2">
      <c r="A1236" s="23">
        <v>302.25</v>
      </c>
      <c r="B1236" s="20">
        <v>750.20838363759196</v>
      </c>
      <c r="C1236" s="20">
        <v>63.9138699243763</v>
      </c>
      <c r="D1236" s="20">
        <v>336.55650165189297</v>
      </c>
      <c r="E1236" s="20">
        <v>-0.30671718839212703</v>
      </c>
      <c r="F1236" s="20">
        <v>-1.3176509880303999</v>
      </c>
      <c r="G1236" s="20">
        <v>1.35287825021791</v>
      </c>
      <c r="H1236" s="20">
        <v>8.6094471499296894E-3</v>
      </c>
      <c r="I1236" s="20">
        <v>130.20102070368401</v>
      </c>
      <c r="J1236" s="20">
        <v>752.92754202060996</v>
      </c>
      <c r="K1236" s="20">
        <v>9.5621797836617457</v>
      </c>
      <c r="L1236" s="20">
        <f t="shared" si="42"/>
        <v>752.92602667781284</v>
      </c>
      <c r="M1236" s="20">
        <f t="shared" si="43"/>
        <v>-9.5621605388464719</v>
      </c>
    </row>
    <row r="1237" spans="1:13" x14ac:dyDescent="0.2">
      <c r="A1237" s="23">
        <v>302.5</v>
      </c>
      <c r="B1237" s="20">
        <v>750.76973134806303</v>
      </c>
      <c r="C1237" s="20">
        <v>64.016193429955905</v>
      </c>
      <c r="D1237" s="20">
        <v>336.52948549658299</v>
      </c>
      <c r="E1237" s="20">
        <v>-0.30686897241711503</v>
      </c>
      <c r="F1237" s="20">
        <v>-1.31638447222976</v>
      </c>
      <c r="G1237" s="20">
        <v>1.3516791945428299</v>
      </c>
      <c r="H1237" s="20">
        <v>8.61402086890296E-3</v>
      </c>
      <c r="I1237" s="20">
        <v>130.26149375487</v>
      </c>
      <c r="J1237" s="20">
        <v>753.49555264665037</v>
      </c>
      <c r="K1237" s="20">
        <v>9.5693935186124595</v>
      </c>
      <c r="L1237" s="20">
        <f t="shared" si="42"/>
        <v>753.4940361606748</v>
      </c>
      <c r="M1237" s="20">
        <f t="shared" si="43"/>
        <v>-9.5693742592788489</v>
      </c>
    </row>
    <row r="1238" spans="1:13" x14ac:dyDescent="0.2">
      <c r="A1238" s="23">
        <v>302.75</v>
      </c>
      <c r="B1238" s="20">
        <v>751.33056585157897</v>
      </c>
      <c r="C1238" s="20">
        <v>64.118510096943098</v>
      </c>
      <c r="D1238" s="20">
        <v>336.50246630631801</v>
      </c>
      <c r="E1238" s="20">
        <v>-0.307020032308854</v>
      </c>
      <c r="F1238" s="20">
        <v>-1.3151171877371599</v>
      </c>
      <c r="G1238" s="20">
        <v>1.3504793658996199</v>
      </c>
      <c r="H1238" s="20">
        <v>8.6185927618227798E-3</v>
      </c>
      <c r="I1238" s="20">
        <v>130.32193321190601</v>
      </c>
      <c r="J1238" s="20">
        <v>754.06305524950187</v>
      </c>
      <c r="K1238" s="20">
        <v>9.5766008016686754</v>
      </c>
      <c r="L1238" s="20">
        <f t="shared" si="42"/>
        <v>754.06153762137058</v>
      </c>
      <c r="M1238" s="20">
        <f t="shared" si="43"/>
        <v>-9.5765815278297133</v>
      </c>
    </row>
    <row r="1239" spans="1:13" x14ac:dyDescent="0.2">
      <c r="A1239" s="23">
        <v>303</v>
      </c>
      <c r="B1239" s="20">
        <v>751.89088685487695</v>
      </c>
      <c r="C1239" s="20">
        <v>64.220819644929904</v>
      </c>
      <c r="D1239" s="20">
        <v>336.47544406184102</v>
      </c>
      <c r="E1239" s="20">
        <v>-0.30717036740692599</v>
      </c>
      <c r="F1239" s="20">
        <v>-1.31384913525762</v>
      </c>
      <c r="G1239" s="20">
        <v>1.3492787646850799</v>
      </c>
      <c r="H1239" s="20">
        <v>8.6231629202461902E-3</v>
      </c>
      <c r="I1239" s="20">
        <v>130.38233858625699</v>
      </c>
      <c r="J1239" s="20">
        <v>754.63004951222638</v>
      </c>
      <c r="K1239" s="20">
        <v>9.5838016288052756</v>
      </c>
      <c r="L1239" s="20">
        <f t="shared" si="42"/>
        <v>754.62853074296095</v>
      </c>
      <c r="M1239" s="20">
        <f t="shared" si="43"/>
        <v>-9.58378234047394</v>
      </c>
    </row>
    <row r="1240" spans="1:13" x14ac:dyDescent="0.2">
      <c r="A1240" s="23">
        <v>303.25</v>
      </c>
      <c r="B1240" s="20">
        <v>752.45069406492803</v>
      </c>
      <c r="C1240" s="20">
        <v>64.323121793521196</v>
      </c>
      <c r="D1240" s="20">
        <v>336.44841874366602</v>
      </c>
      <c r="E1240" s="20">
        <v>-0.30731997703200897</v>
      </c>
      <c r="F1240" s="20">
        <v>-1.3125803154804701</v>
      </c>
      <c r="G1240" s="20">
        <v>1.3480773912760999</v>
      </c>
      <c r="H1240" s="20">
        <v>8.6277314363548199E-3</v>
      </c>
      <c r="I1240" s="20">
        <v>130.44270938364801</v>
      </c>
      <c r="J1240" s="20">
        <v>755.19653511806644</v>
      </c>
      <c r="K1240" s="20">
        <v>9.5909959959994442</v>
      </c>
      <c r="L1240" s="20">
        <f t="shared" si="42"/>
        <v>755.19501520869164</v>
      </c>
      <c r="M1240" s="20">
        <f t="shared" si="43"/>
        <v>-9.5909766931887486</v>
      </c>
    </row>
    <row r="1241" spans="1:13" x14ac:dyDescent="0.2">
      <c r="A1241" s="23">
        <v>303.5</v>
      </c>
      <c r="B1241" s="20">
        <v>753.00998718892401</v>
      </c>
      <c r="C1241" s="20">
        <v>64.425416262340406</v>
      </c>
      <c r="D1241" s="20">
        <v>336.42139033208201</v>
      </c>
      <c r="E1241" s="20">
        <v>-0.30746886048553501</v>
      </c>
      <c r="F1241" s="20">
        <v>-1.31131072907932</v>
      </c>
      <c r="G1241" s="20">
        <v>1.34687524602942</v>
      </c>
      <c r="H1241" s="20">
        <v>8.6322984029684607E-3</v>
      </c>
      <c r="I1241" s="20">
        <v>130.50304510397299</v>
      </c>
      <c r="J1241" s="20">
        <v>755.76251175044047</v>
      </c>
      <c r="K1241" s="20">
        <v>9.5981838992305946</v>
      </c>
      <c r="L1241" s="20">
        <f t="shared" si="42"/>
        <v>755.76099070198063</v>
      </c>
      <c r="M1241" s="20">
        <f t="shared" si="43"/>
        <v>-9.5981645819535473</v>
      </c>
    </row>
    <row r="1242" spans="1:13" x14ac:dyDescent="0.2">
      <c r="A1242" s="23">
        <v>303.75</v>
      </c>
      <c r="B1242" s="20">
        <v>753.56876593426705</v>
      </c>
      <c r="C1242" s="20">
        <v>64.527702771036701</v>
      </c>
      <c r="D1242" s="20">
        <v>336.39435880715899</v>
      </c>
      <c r="E1242" s="20">
        <v>-0.30761701704934902</v>
      </c>
      <c r="F1242" s="20">
        <v>-1.3100403767119499</v>
      </c>
      <c r="G1242" s="20">
        <v>1.34567232928152</v>
      </c>
      <c r="H1242" s="20">
        <v>8.6368639135586504E-3</v>
      </c>
      <c r="I1242" s="20">
        <v>130.56334524120001</v>
      </c>
      <c r="J1242" s="20">
        <v>756.32797909292867</v>
      </c>
      <c r="K1242" s="20">
        <v>9.6053653344801955</v>
      </c>
      <c r="L1242" s="20">
        <f t="shared" si="42"/>
        <v>756.32645690640845</v>
      </c>
      <c r="M1242" s="20">
        <f t="shared" si="43"/>
        <v>-9.6053460027498101</v>
      </c>
    </row>
    <row r="1243" spans="1:13" x14ac:dyDescent="0.2">
      <c r="A1243" s="23">
        <v>304</v>
      </c>
      <c r="B1243" s="20">
        <v>754.12703000856095</v>
      </c>
      <c r="C1243" s="20">
        <v>64.629981039291195</v>
      </c>
      <c r="D1243" s="20">
        <v>336.36732414874598</v>
      </c>
      <c r="E1243" s="20">
        <v>-0.30776444598535602</v>
      </c>
      <c r="F1243" s="20">
        <v>-1.30876925902026</v>
      </c>
      <c r="G1243" s="20">
        <v>1.34446864134836</v>
      </c>
      <c r="H1243" s="20">
        <v>8.6414280622626599E-3</v>
      </c>
      <c r="I1243" s="20">
        <v>130.62360928327499</v>
      </c>
      <c r="J1243" s="20">
        <v>756.89293682926495</v>
      </c>
      <c r="K1243" s="20">
        <v>9.6125402977316661</v>
      </c>
      <c r="L1243" s="20">
        <f t="shared" si="42"/>
        <v>756.89141350571026</v>
      </c>
      <c r="M1243" s="20">
        <f t="shared" si="43"/>
        <v>-9.6125209515609704</v>
      </c>
    </row>
    <row r="1244" spans="1:13" x14ac:dyDescent="0.2">
      <c r="A1244" s="23">
        <v>304.25</v>
      </c>
      <c r="B1244" s="20">
        <v>754.68477911959906</v>
      </c>
      <c r="C1244" s="20">
        <v>64.7322507868234</v>
      </c>
      <c r="D1244" s="20">
        <v>336.34028633647802</v>
      </c>
      <c r="E1244" s="20">
        <v>-0.30791114653516799</v>
      </c>
      <c r="F1244" s="20">
        <v>-1.3074973766301401</v>
      </c>
      <c r="G1244" s="20">
        <v>1.34326418252528</v>
      </c>
      <c r="H1244" s="20">
        <v>8.6459909438975895E-3</v>
      </c>
      <c r="I1244" s="20">
        <v>130.683836712025</v>
      </c>
      <c r="J1244" s="20">
        <v>757.45738464332726</v>
      </c>
      <c r="K1244" s="20">
        <v>9.6197087849702569</v>
      </c>
      <c r="L1244" s="20">
        <f t="shared" ref="L1244:L1307" si="44">SQRT(B1244^2+C1244^2)</f>
        <v>757.45586018376423</v>
      </c>
      <c r="M1244" s="20">
        <f t="shared" ref="M1244:M1307" si="45">-L1244/A$25*100</f>
        <v>-9.6196894243722859</v>
      </c>
    </row>
    <row r="1245" spans="1:13" x14ac:dyDescent="0.2">
      <c r="A1245" s="23">
        <v>304.5</v>
      </c>
      <c r="B1245" s="20">
        <v>755.24201297535797</v>
      </c>
      <c r="C1245" s="20">
        <v>64.834511733398401</v>
      </c>
      <c r="D1245" s="20">
        <v>336.31324534977898</v>
      </c>
      <c r="E1245" s="20">
        <v>-0.30805711791974499</v>
      </c>
      <c r="F1245" s="20">
        <v>-1.30622473015142</v>
      </c>
      <c r="G1245" s="20">
        <v>1.3420589530867</v>
      </c>
      <c r="H1245" s="20">
        <v>8.6505526539748193E-3</v>
      </c>
      <c r="I1245" s="20">
        <v>130.744027003062</v>
      </c>
      <c r="J1245" s="20">
        <v>758.02132221913018</v>
      </c>
      <c r="K1245" s="20">
        <v>9.6268707921829542</v>
      </c>
      <c r="L1245" s="20">
        <f t="shared" si="44"/>
        <v>758.01979662458609</v>
      </c>
      <c r="M1245" s="20">
        <f t="shared" si="45"/>
        <v>-9.6268514171707515</v>
      </c>
    </row>
    <row r="1246" spans="1:13" x14ac:dyDescent="0.2">
      <c r="A1246" s="23">
        <v>304.75</v>
      </c>
      <c r="B1246" s="20">
        <v>755.79873128398299</v>
      </c>
      <c r="C1246" s="20">
        <v>64.936763598833494</v>
      </c>
      <c r="D1246" s="20">
        <v>336.286201167863</v>
      </c>
      <c r="E1246" s="20">
        <v>-0.30820235933903001</v>
      </c>
      <c r="F1246" s="20">
        <v>-1.30495132017777</v>
      </c>
      <c r="G1246" s="20">
        <v>1.3408529532860201</v>
      </c>
      <c r="H1246" s="20">
        <v>8.6551132887144593E-3</v>
      </c>
      <c r="I1246" s="20">
        <v>130.80417962567901</v>
      </c>
      <c r="J1246" s="20">
        <v>758.58474924081349</v>
      </c>
      <c r="K1246" s="20">
        <v>9.6340263153583319</v>
      </c>
      <c r="L1246" s="20">
        <f t="shared" si="44"/>
        <v>758.58322251231539</v>
      </c>
      <c r="M1246" s="20">
        <f t="shared" si="45"/>
        <v>-9.6340069259449415</v>
      </c>
    </row>
    <row r="1247" spans="1:13" x14ac:dyDescent="0.2">
      <c r="A1247" s="23">
        <v>305</v>
      </c>
      <c r="B1247" s="20">
        <v>756.35493375377996</v>
      </c>
      <c r="C1247" s="20">
        <v>65.039006103004496</v>
      </c>
      <c r="D1247" s="20">
        <v>336.25915376973802</v>
      </c>
      <c r="E1247" s="20">
        <v>-0.30834686997157301</v>
      </c>
      <c r="F1247" s="20">
        <v>-1.30367714728661</v>
      </c>
      <c r="G1247" s="20">
        <v>1.3396461833553699</v>
      </c>
      <c r="H1247" s="20">
        <v>8.6596729450603895E-3</v>
      </c>
      <c r="I1247" s="20">
        <v>130.86429404275</v>
      </c>
      <c r="J1247" s="20">
        <v>759.14766539263189</v>
      </c>
      <c r="K1247" s="20">
        <v>9.6411753504864244</v>
      </c>
      <c r="L1247" s="20">
        <f t="shared" si="44"/>
        <v>759.14613753120796</v>
      </c>
      <c r="M1247" s="20">
        <f t="shared" si="45"/>
        <v>-9.6411559466849059</v>
      </c>
    </row>
    <row r="1248" spans="1:13" x14ac:dyDescent="0.2">
      <c r="A1248" s="23">
        <v>305.25</v>
      </c>
      <c r="B1248" s="20">
        <v>756.91062009320603</v>
      </c>
      <c r="C1248" s="20">
        <v>65.141238965853404</v>
      </c>
      <c r="D1248" s="20">
        <v>336.23210313421202</v>
      </c>
      <c r="E1248" s="20">
        <v>-0.30849064897416401</v>
      </c>
      <c r="F1248" s="20">
        <v>-1.30240221203901</v>
      </c>
      <c r="G1248" s="20">
        <v>1.3384386435054201</v>
      </c>
      <c r="H1248" s="20">
        <v>8.6642317206952202E-3</v>
      </c>
      <c r="I1248" s="20">
        <v>130.92436971062801</v>
      </c>
      <c r="J1248" s="20">
        <v>759.71007035894741</v>
      </c>
      <c r="K1248" s="20">
        <v>9.648317893558632</v>
      </c>
      <c r="L1248" s="20">
        <f t="shared" si="44"/>
        <v>759.70854136562673</v>
      </c>
      <c r="M1248" s="20">
        <f t="shared" si="45"/>
        <v>-9.6482984753820524</v>
      </c>
    </row>
    <row r="1249" spans="1:13" x14ac:dyDescent="0.2">
      <c r="A1249" s="23">
        <v>305.5</v>
      </c>
      <c r="B1249" s="20">
        <v>757.46579001085297</v>
      </c>
      <c r="C1249" s="20">
        <v>65.243461907394703</v>
      </c>
      <c r="D1249" s="20">
        <v>336.20504923989301</v>
      </c>
      <c r="E1249" s="20">
        <v>-0.30863369548144198</v>
      </c>
      <c r="F1249" s="20">
        <v>-1.3011265149796301</v>
      </c>
      <c r="G1249" s="20">
        <v>1.3372303339251499</v>
      </c>
      <c r="H1249" s="20">
        <v>8.6687897140555591E-3</v>
      </c>
      <c r="I1249" s="20">
        <v>130.984406079037</v>
      </c>
      <c r="J1249" s="20">
        <v>760.27196382421573</v>
      </c>
      <c r="K1249" s="20">
        <v>9.6554539405675399</v>
      </c>
      <c r="L1249" s="20">
        <f t="shared" si="44"/>
        <v>760.27043370002707</v>
      </c>
      <c r="M1249" s="20">
        <f t="shared" si="45"/>
        <v>-9.6554345080289661</v>
      </c>
    </row>
    <row r="1250" spans="1:13" x14ac:dyDescent="0.2">
      <c r="A1250" s="23">
        <v>305.75</v>
      </c>
      <c r="B1250" s="20">
        <v>758.02044321544599</v>
      </c>
      <c r="C1250" s="20">
        <v>65.345674647722703</v>
      </c>
      <c r="D1250" s="20">
        <v>336.17799206519499</v>
      </c>
      <c r="E1250" s="20">
        <v>-0.30877600860551302</v>
      </c>
      <c r="F1250" s="20">
        <v>-1.2998500566365701</v>
      </c>
      <c r="G1250" s="20">
        <v>1.3360212547816901</v>
      </c>
      <c r="H1250" s="20">
        <v>8.6733470243477093E-3</v>
      </c>
      <c r="I1250" s="20">
        <v>131.044402590967</v>
      </c>
      <c r="J1250" s="20">
        <v>760.83334547298102</v>
      </c>
      <c r="K1250" s="20">
        <v>9.6625834875068595</v>
      </c>
      <c r="L1250" s="20">
        <f t="shared" si="44"/>
        <v>760.83181421895551</v>
      </c>
      <c r="M1250" s="20">
        <f t="shared" si="45"/>
        <v>-9.6625640406193849</v>
      </c>
    </row>
    <row r="1251" spans="1:13" x14ac:dyDescent="0.2">
      <c r="A1251" s="23">
        <v>306</v>
      </c>
      <c r="B1251" s="20">
        <v>758.57457941582402</v>
      </c>
      <c r="C1251" s="20">
        <v>65.447876907018497</v>
      </c>
      <c r="D1251" s="20">
        <v>336.15093158833997</v>
      </c>
      <c r="E1251" s="20">
        <v>-0.30891758743555398</v>
      </c>
      <c r="F1251" s="20">
        <v>-1.2985728375213199</v>
      </c>
      <c r="G1251" s="20">
        <v>1.33481140622006</v>
      </c>
      <c r="H1251" s="20">
        <v>8.6779037515635499E-3</v>
      </c>
      <c r="I1251" s="20">
        <v>131.104358682564</v>
      </c>
      <c r="J1251" s="20">
        <v>761.39421498986292</v>
      </c>
      <c r="K1251" s="20">
        <v>9.6697065303712595</v>
      </c>
      <c r="L1251" s="20">
        <f t="shared" si="44"/>
        <v>761.39268260703068</v>
      </c>
      <c r="M1251" s="20">
        <f t="shared" si="45"/>
        <v>-9.6696870691479688</v>
      </c>
    </row>
    <row r="1252" spans="1:13" x14ac:dyDescent="0.2">
      <c r="A1252" s="23">
        <v>306.25</v>
      </c>
      <c r="B1252" s="20">
        <v>759.12819832093396</v>
      </c>
      <c r="C1252" s="20">
        <v>65.550068405557099</v>
      </c>
      <c r="D1252" s="20">
        <v>336.12386778736197</v>
      </c>
      <c r="E1252" s="20">
        <v>-0.30905843103741498</v>
      </c>
      <c r="F1252" s="20">
        <v>-1.2972948581286401</v>
      </c>
      <c r="G1252" s="20">
        <v>1.3336007883629599</v>
      </c>
      <c r="H1252" s="20">
        <v>8.6824599964965294E-3</v>
      </c>
      <c r="I1252" s="20">
        <v>131.16427378302001</v>
      </c>
      <c r="J1252" s="20">
        <v>761.95457205954608</v>
      </c>
      <c r="K1252" s="20">
        <v>9.6768230651562348</v>
      </c>
      <c r="L1252" s="20">
        <f t="shared" si="44"/>
        <v>761.95303854893859</v>
      </c>
      <c r="M1252" s="20">
        <f t="shared" si="45"/>
        <v>-9.6768035896102269</v>
      </c>
    </row>
    <row r="1253" spans="1:13" x14ac:dyDescent="0.2">
      <c r="A1253" s="23">
        <v>306.5</v>
      </c>
      <c r="B1253" s="20">
        <v>759.68129963981698</v>
      </c>
      <c r="C1253" s="20">
        <v>65.652248863714803</v>
      </c>
      <c r="D1253" s="20">
        <v>336.09680064011297</v>
      </c>
      <c r="E1253" s="20">
        <v>-0.30919853845321199</v>
      </c>
      <c r="F1253" s="20">
        <v>-1.2960161189364701</v>
      </c>
      <c r="G1253" s="20">
        <v>1.3323894013105799</v>
      </c>
      <c r="H1253" s="20">
        <v>8.6870158607581204E-3</v>
      </c>
      <c r="I1253" s="20">
        <v>131.22414731446199</v>
      </c>
      <c r="J1253" s="20">
        <v>762.51441636677077</v>
      </c>
      <c r="K1253" s="20">
        <v>9.683933087857989</v>
      </c>
      <c r="L1253" s="20">
        <f t="shared" si="44"/>
        <v>762.51288172942009</v>
      </c>
      <c r="M1253" s="20">
        <f t="shared" si="45"/>
        <v>-9.6839135980023716</v>
      </c>
    </row>
    <row r="1254" spans="1:13" x14ac:dyDescent="0.2">
      <c r="A1254" s="23">
        <v>306.75</v>
      </c>
      <c r="B1254" s="20">
        <v>760.23388308159997</v>
      </c>
      <c r="C1254" s="20">
        <v>65.754418001976006</v>
      </c>
      <c r="D1254" s="20">
        <v>336.06973012426101</v>
      </c>
      <c r="E1254" s="20">
        <v>-0.30933790870091599</v>
      </c>
      <c r="F1254" s="20">
        <v>-1.2947366204058299</v>
      </c>
      <c r="G1254" s="20">
        <v>1.3311772451403101</v>
      </c>
      <c r="H1254" s="20">
        <v>8.6915714467944109E-3</v>
      </c>
      <c r="I1254" s="20">
        <v>131.283978691833</v>
      </c>
      <c r="J1254" s="20">
        <v>763.07374759632285</v>
      </c>
      <c r="K1254" s="20">
        <v>9.6910365944733012</v>
      </c>
      <c r="L1254" s="20">
        <f t="shared" si="44"/>
        <v>763.0722118332618</v>
      </c>
      <c r="M1254" s="20">
        <f t="shared" si="45"/>
        <v>-9.6910170903211892</v>
      </c>
    </row>
    <row r="1255" spans="1:13" x14ac:dyDescent="0.2">
      <c r="A1255" s="23">
        <v>307</v>
      </c>
      <c r="B1255" s="20">
        <v>760.78594835548097</v>
      </c>
      <c r="C1255" s="20">
        <v>65.856575540941293</v>
      </c>
      <c r="D1255" s="20">
        <v>336.04265621730099</v>
      </c>
      <c r="E1255" s="20">
        <v>-0.30947654077393399</v>
      </c>
      <c r="F1255" s="20">
        <v>-1.2934563629806799</v>
      </c>
      <c r="G1255" s="20">
        <v>1.32996431990659</v>
      </c>
      <c r="H1255" s="20">
        <v>8.6961268579031793E-3</v>
      </c>
      <c r="I1255" s="20">
        <v>131.343767322784</v>
      </c>
      <c r="J1255" s="20">
        <v>763.63256543302191</v>
      </c>
      <c r="K1255" s="20">
        <v>9.6981335809993787</v>
      </c>
      <c r="L1255" s="20">
        <f t="shared" si="44"/>
        <v>763.63102854528393</v>
      </c>
      <c r="M1255" s="20">
        <f t="shared" si="45"/>
        <v>-9.6981140625638993</v>
      </c>
    </row>
    <row r="1256" spans="1:13" x14ac:dyDescent="0.2">
      <c r="A1256" s="23">
        <v>307.25</v>
      </c>
      <c r="B1256" s="20">
        <v>761.33749517071999</v>
      </c>
      <c r="C1256" s="20">
        <v>65.9587212013342</v>
      </c>
      <c r="D1256" s="20">
        <v>336.01557889655498</v>
      </c>
      <c r="E1256" s="20">
        <v>-0.30961443364068703</v>
      </c>
      <c r="F1256" s="20">
        <v>-1.2921753470878601</v>
      </c>
      <c r="G1256" s="20">
        <v>1.3287506256405901</v>
      </c>
      <c r="H1256" s="20">
        <v>8.7006821982510297E-3</v>
      </c>
      <c r="I1256" s="20">
        <v>131.40351260754599</v>
      </c>
      <c r="J1256" s="20">
        <v>764.1908695617135</v>
      </c>
      <c r="K1256" s="20">
        <v>9.7052240434337627</v>
      </c>
      <c r="L1256" s="20">
        <f t="shared" si="44"/>
        <v>764.18933155033073</v>
      </c>
      <c r="M1256" s="20">
        <f t="shared" si="45"/>
        <v>-9.7052045107280218</v>
      </c>
    </row>
    <row r="1257" spans="1:13" x14ac:dyDescent="0.2">
      <c r="A1257" s="23">
        <v>307.5</v>
      </c>
      <c r="B1257" s="20">
        <v>761.888523236629</v>
      </c>
      <c r="C1257" s="20">
        <v>66.060854704008904</v>
      </c>
      <c r="D1257" s="20">
        <v>335.98849813917599</v>
      </c>
      <c r="E1257" s="20">
        <v>-0.30975158624417398</v>
      </c>
      <c r="F1257" s="20">
        <v>-1.29089357313697</v>
      </c>
      <c r="G1257" s="20">
        <v>1.3275361623500599</v>
      </c>
      <c r="H1257" s="20">
        <v>8.7052375728909805E-3</v>
      </c>
      <c r="I1257" s="20">
        <v>131.46321393881601</v>
      </c>
      <c r="J1257" s="20">
        <v>764.74865966725326</v>
      </c>
      <c r="K1257" s="20">
        <v>9.7123079777741168</v>
      </c>
      <c r="L1257" s="20">
        <f t="shared" si="44"/>
        <v>764.74712053326209</v>
      </c>
      <c r="M1257" s="20">
        <f t="shared" si="45"/>
        <v>-9.7122884308112774</v>
      </c>
    </row>
    <row r="1258" spans="1:13" x14ac:dyDescent="0.2">
      <c r="A1258" s="23">
        <v>307.75</v>
      </c>
      <c r="B1258" s="20">
        <v>762.43903226255497</v>
      </c>
      <c r="C1258" s="20">
        <v>66.162975769957995</v>
      </c>
      <c r="D1258" s="20">
        <v>335.96141392215299</v>
      </c>
      <c r="E1258" s="20">
        <v>-0.309887997501539</v>
      </c>
      <c r="F1258" s="20">
        <v>-1.28961104152024</v>
      </c>
      <c r="G1258" s="20">
        <v>1.32632093001899</v>
      </c>
      <c r="H1258" s="20">
        <v>8.7097930877802297E-3</v>
      </c>
      <c r="I1258" s="20">
        <v>131.52287070163601</v>
      </c>
      <c r="J1258" s="20">
        <v>765.30593543450084</v>
      </c>
      <c r="K1258" s="20">
        <v>9.7193853800181618</v>
      </c>
      <c r="L1258" s="20">
        <f t="shared" si="44"/>
        <v>765.30439517893626</v>
      </c>
      <c r="M1258" s="20">
        <f t="shared" si="45"/>
        <v>-9.7193658188113687</v>
      </c>
    </row>
    <row r="1259" spans="1:13" x14ac:dyDescent="0.2">
      <c r="A1259" s="23">
        <v>308</v>
      </c>
      <c r="B1259" s="20">
        <v>762.98902195787196</v>
      </c>
      <c r="C1259" s="20">
        <v>66.265084120319898</v>
      </c>
      <c r="D1259" s="20">
        <v>335.93432622231501</v>
      </c>
      <c r="E1259" s="20">
        <v>-0.31002366630362399</v>
      </c>
      <c r="F1259" s="20">
        <v>-1.2883277526124499</v>
      </c>
      <c r="G1259" s="20">
        <v>1.3251049286074601</v>
      </c>
      <c r="H1259" s="20">
        <v>8.7143488497984992E-3</v>
      </c>
      <c r="I1259" s="20">
        <v>131.582482273262</v>
      </c>
      <c r="J1259" s="20">
        <v>765.86269654830733</v>
      </c>
      <c r="K1259" s="20">
        <v>9.7264562461635027</v>
      </c>
      <c r="L1259" s="20">
        <f t="shared" si="44"/>
        <v>765.86115517220423</v>
      </c>
      <c r="M1259" s="20">
        <f t="shared" si="45"/>
        <v>-9.7264366707258993</v>
      </c>
    </row>
    <row r="1260" spans="1:13" x14ac:dyDescent="0.2">
      <c r="A1260" s="23">
        <v>308.25</v>
      </c>
      <c r="B1260" s="20">
        <v>763.53849203197103</v>
      </c>
      <c r="C1260" s="20">
        <v>66.367179476386497</v>
      </c>
      <c r="D1260" s="20">
        <v>335.90723501633499</v>
      </c>
      <c r="E1260" s="20">
        <v>-0.31015859151451802</v>
      </c>
      <c r="F1260" s="20">
        <v>-1.2870437067707801</v>
      </c>
      <c r="G1260" s="20">
        <v>1.32388815805132</v>
      </c>
      <c r="H1260" s="20">
        <v>8.7189049667662603E-3</v>
      </c>
      <c r="I1260" s="20">
        <v>131.642048023043</v>
      </c>
      <c r="J1260" s="20">
        <v>766.4189426935045</v>
      </c>
      <c r="K1260" s="20">
        <v>9.7335205722075067</v>
      </c>
      <c r="L1260" s="20">
        <f t="shared" si="44"/>
        <v>766.4174001978995</v>
      </c>
      <c r="M1260" s="20">
        <f t="shared" si="45"/>
        <v>-9.7335009825522576</v>
      </c>
    </row>
    <row r="1261" spans="1:13" x14ac:dyDescent="0.2">
      <c r="A1261" s="23">
        <v>308.5</v>
      </c>
      <c r="B1261" s="20">
        <v>764.08744219424398</v>
      </c>
      <c r="C1261" s="20">
        <v>66.469261559611297</v>
      </c>
      <c r="D1261" s="20">
        <v>335.880140280734</v>
      </c>
      <c r="E1261" s="20">
        <v>-0.310292771971099</v>
      </c>
      <c r="F1261" s="20">
        <v>-1.2857589043347</v>
      </c>
      <c r="G1261" s="20">
        <v>1.3226706182619601</v>
      </c>
      <c r="H1261" s="20">
        <v>8.7234615474638001E-3</v>
      </c>
      <c r="I1261" s="20">
        <v>131.70156731229</v>
      </c>
      <c r="J1261" s="20">
        <v>766.97467355489198</v>
      </c>
      <c r="K1261" s="20">
        <v>9.7405783541471287</v>
      </c>
      <c r="L1261" s="20">
        <f t="shared" si="44"/>
        <v>766.97312994082267</v>
      </c>
      <c r="M1261" s="20">
        <f t="shared" si="45"/>
        <v>-9.7405587502874109</v>
      </c>
    </row>
    <row r="1262" spans="1:13" x14ac:dyDescent="0.2">
      <c r="A1262" s="23">
        <v>308.75</v>
      </c>
      <c r="B1262" s="20">
        <v>764.63587215407097</v>
      </c>
      <c r="C1262" s="20">
        <v>66.571330091617</v>
      </c>
      <c r="D1262" s="20">
        <v>335.85304199188698</v>
      </c>
      <c r="E1262" s="20">
        <v>-0.31042620648256403</v>
      </c>
      <c r="F1262" s="20">
        <v>-1.2844733456259001</v>
      </c>
      <c r="G1262" s="20">
        <v>1.3214523091260399</v>
      </c>
      <c r="H1262" s="20">
        <v>8.7280187016501708E-3</v>
      </c>
      <c r="I1262" s="20">
        <v>131.76103949414701</v>
      </c>
      <c r="J1262" s="20">
        <v>767.52988881722695</v>
      </c>
      <c r="K1262" s="20">
        <v>9.7476295879787838</v>
      </c>
      <c r="L1262" s="20">
        <f t="shared" si="44"/>
        <v>767.52834408573074</v>
      </c>
      <c r="M1262" s="20">
        <f t="shared" si="45"/>
        <v>-9.7476099699277707</v>
      </c>
    </row>
    <row r="1263" spans="1:13" x14ac:dyDescent="0.2">
      <c r="A1263" s="23">
        <v>309</v>
      </c>
      <c r="B1263" s="20">
        <v>765.18378162081399</v>
      </c>
      <c r="C1263" s="20">
        <v>66.673384794203599</v>
      </c>
      <c r="D1263" s="20">
        <v>335.82594012602499</v>
      </c>
      <c r="E1263" s="20">
        <v>-0.31055889382996399</v>
      </c>
      <c r="F1263" s="20">
        <v>-1.2831870309481099</v>
      </c>
      <c r="G1263" s="20">
        <v>1.32023323050524</v>
      </c>
      <c r="H1263" s="20">
        <v>8.7325765400827395E-3</v>
      </c>
      <c r="I1263" s="20">
        <v>131.82046391345401</v>
      </c>
      <c r="J1263" s="20">
        <v>768.08458816521443</v>
      </c>
      <c r="K1263" s="20">
        <v>9.7546742696982243</v>
      </c>
      <c r="L1263" s="20">
        <f t="shared" si="44"/>
        <v>768.08304231733018</v>
      </c>
      <c r="M1263" s="20">
        <f t="shared" si="45"/>
        <v>-9.7546546374691125</v>
      </c>
    </row>
    <row r="1264" spans="1:13" x14ac:dyDescent="0.2">
      <c r="A1264" s="23">
        <v>309.25</v>
      </c>
      <c r="B1264" s="20">
        <v>765.73117030379797</v>
      </c>
      <c r="C1264" s="20">
        <v>66.7754253893564</v>
      </c>
      <c r="D1264" s="20">
        <v>335.79883465924098</v>
      </c>
      <c r="E1264" s="20">
        <v>-0.31069083276571502</v>
      </c>
      <c r="F1264" s="20">
        <v>-1.2818999605869901</v>
      </c>
      <c r="G1264" s="20">
        <v>1.31901338223597</v>
      </c>
      <c r="H1264" s="20">
        <v>8.7371351745371504E-3</v>
      </c>
      <c r="I1264" s="20">
        <v>131.87983990661499</v>
      </c>
      <c r="J1264" s="20">
        <v>768.6387712834935</v>
      </c>
      <c r="K1264" s="20">
        <v>9.7617123953003677</v>
      </c>
      <c r="L1264" s="20">
        <f t="shared" si="44"/>
        <v>768.63722432025986</v>
      </c>
      <c r="M1264" s="20">
        <f t="shared" si="45"/>
        <v>-9.7616927489063485</v>
      </c>
    </row>
    <row r="1265" spans="1:13" x14ac:dyDescent="0.2">
      <c r="A1265" s="23">
        <v>309.5</v>
      </c>
      <c r="B1265" s="20">
        <v>766.27803791229996</v>
      </c>
      <c r="C1265" s="20">
        <v>66.877451599254002</v>
      </c>
      <c r="D1265" s="20">
        <v>335.77172556749599</v>
      </c>
      <c r="E1265" s="20">
        <v>-0.31082202201311299</v>
      </c>
      <c r="F1265" s="20">
        <v>-1.2806121348100401</v>
      </c>
      <c r="G1265" s="20">
        <v>1.3177927641291101</v>
      </c>
      <c r="H1265" s="20">
        <v>8.7416947178273492E-3</v>
      </c>
      <c r="I1265" s="20">
        <v>131.93916680145901</v>
      </c>
      <c r="J1265" s="20">
        <v>769.19243785662536</v>
      </c>
      <c r="K1265" s="20">
        <v>9.7687439607791422</v>
      </c>
      <c r="L1265" s="20">
        <f t="shared" si="44"/>
        <v>769.19088977908132</v>
      </c>
      <c r="M1265" s="20">
        <f t="shared" si="45"/>
        <v>-9.7687243002334085</v>
      </c>
    </row>
    <row r="1266" spans="1:13" x14ac:dyDescent="0.2">
      <c r="A1266" s="23">
        <v>309.75</v>
      </c>
      <c r="B1266" s="20">
        <v>766.82438415553997</v>
      </c>
      <c r="C1266" s="20">
        <v>66.979463146276899</v>
      </c>
      <c r="D1266" s="20">
        <v>335.74461282662099</v>
      </c>
      <c r="E1266" s="20">
        <v>-0.310952460265839</v>
      </c>
      <c r="F1266" s="20">
        <v>-1.27932355386643</v>
      </c>
      <c r="G1266" s="20">
        <v>1.31657137596972</v>
      </c>
      <c r="H1266" s="20">
        <v>8.7462552838261896E-3</v>
      </c>
      <c r="I1266" s="20">
        <v>131.99844391709701</v>
      </c>
      <c r="J1266" s="20">
        <v>769.745587569083</v>
      </c>
      <c r="K1266" s="20">
        <v>9.7757689621273549</v>
      </c>
      <c r="L1266" s="20">
        <f t="shared" si="44"/>
        <v>769.74403837826935</v>
      </c>
      <c r="M1266" s="20">
        <f t="shared" si="45"/>
        <v>-9.7757492874431229</v>
      </c>
    </row>
    <row r="1267" spans="1:13" x14ac:dyDescent="0.2">
      <c r="A1267" s="23">
        <v>310</v>
      </c>
      <c r="B1267" s="20">
        <v>767.37020874266295</v>
      </c>
      <c r="C1267" s="20">
        <v>67.081459753015295</v>
      </c>
      <c r="D1267" s="20">
        <v>335.71749641232202</v>
      </c>
      <c r="E1267" s="20">
        <v>-0.311082146187453</v>
      </c>
      <c r="F1267" s="20">
        <v>-1.27803421798689</v>
      </c>
      <c r="G1267" s="20">
        <v>1.31534921751676</v>
      </c>
      <c r="H1267" s="20">
        <v>8.7508169874865697E-3</v>
      </c>
      <c r="I1267" s="20">
        <v>132.05767056378301</v>
      </c>
      <c r="J1267" s="20">
        <v>770.2982201052389</v>
      </c>
      <c r="K1267" s="20">
        <v>9.7827873953365341</v>
      </c>
      <c r="L1267" s="20">
        <f t="shared" si="44"/>
        <v>770.29666980219611</v>
      </c>
      <c r="M1267" s="20">
        <f t="shared" si="45"/>
        <v>-9.7827677065270215</v>
      </c>
    </row>
    <row r="1268" spans="1:13" x14ac:dyDescent="0.2">
      <c r="A1268" s="23">
        <v>310.25</v>
      </c>
      <c r="B1268" s="20">
        <v>767.91551138272905</v>
      </c>
      <c r="C1268" s="20">
        <v>67.183441142277999</v>
      </c>
      <c r="D1268" s="20">
        <v>335.69037630018801</v>
      </c>
      <c r="E1268" s="20">
        <v>-0.31121107841088402</v>
      </c>
      <c r="F1268" s="20">
        <v>-1.2767441273836</v>
      </c>
      <c r="G1268" s="20">
        <v>1.31412628850281</v>
      </c>
      <c r="H1268" s="20">
        <v>8.7553799448625309E-3</v>
      </c>
      <c r="I1268" s="20">
        <v>132.11684604276701</v>
      </c>
      <c r="J1268" s="20">
        <v>770.85033514935174</v>
      </c>
      <c r="K1268" s="20">
        <v>9.7897992563967673</v>
      </c>
      <c r="L1268" s="20">
        <f t="shared" si="44"/>
        <v>770.84878373512163</v>
      </c>
      <c r="M1268" s="20">
        <f t="shared" si="45"/>
        <v>-9.7897795534752046</v>
      </c>
    </row>
    <row r="1269" spans="1:13" x14ac:dyDescent="0.2">
      <c r="A1269" s="23">
        <v>310.5</v>
      </c>
      <c r="B1269" s="20">
        <v>768.46029178469905</v>
      </c>
      <c r="C1269" s="20">
        <v>67.285407037100299</v>
      </c>
      <c r="D1269" s="20">
        <v>335.66325246569198</v>
      </c>
      <c r="E1269" s="20">
        <v>-0.31133925553790498</v>
      </c>
      <c r="F1269" s="20">
        <v>-1.27545328225</v>
      </c>
      <c r="G1269" s="20">
        <v>1.31290258863375</v>
      </c>
      <c r="H1269" s="20">
        <v>8.7599442731311501E-3</v>
      </c>
      <c r="I1269" s="20">
        <v>132.17596964614501</v>
      </c>
      <c r="J1269" s="20">
        <v>771.40193238555571</v>
      </c>
      <c r="K1269" s="20">
        <v>9.7968045412965576</v>
      </c>
      <c r="L1269" s="20">
        <f t="shared" si="44"/>
        <v>771.40037986118023</v>
      </c>
      <c r="M1269" s="20">
        <f t="shared" si="45"/>
        <v>-9.7967848242761768</v>
      </c>
    </row>
    <row r="1270" spans="1:13" x14ac:dyDescent="0.2">
      <c r="A1270" s="23">
        <v>310.75</v>
      </c>
      <c r="B1270" s="20">
        <v>769.00454965742199</v>
      </c>
      <c r="C1270" s="20">
        <v>67.387357160753297</v>
      </c>
      <c r="D1270" s="20">
        <v>335.6361248842</v>
      </c>
      <c r="E1270" s="20">
        <v>-0.31146667613860901</v>
      </c>
      <c r="F1270" s="20">
        <v>-1.2741616827607201</v>
      </c>
      <c r="G1270" s="20">
        <v>1.31167811758848</v>
      </c>
      <c r="H1270" s="20">
        <v>8.7645100906147203E-3</v>
      </c>
      <c r="I1270" s="20">
        <v>132.23504065671</v>
      </c>
      <c r="J1270" s="20">
        <v>771.95301149784723</v>
      </c>
      <c r="K1270" s="20">
        <v>9.8038032460226603</v>
      </c>
      <c r="L1270" s="20">
        <f t="shared" si="44"/>
        <v>771.95145786436944</v>
      </c>
      <c r="M1270" s="20">
        <f t="shared" si="45"/>
        <v>-9.8037835149167076</v>
      </c>
    </row>
    <row r="1271" spans="1:13" x14ac:dyDescent="0.2">
      <c r="A1271" s="23">
        <v>311</v>
      </c>
      <c r="B1271" s="20">
        <v>769.54828470962104</v>
      </c>
      <c r="C1271" s="20">
        <v>67.489291236752095</v>
      </c>
      <c r="D1271" s="20">
        <v>335.60899353097102</v>
      </c>
      <c r="E1271" s="20">
        <v>-0.31159333875086997</v>
      </c>
      <c r="F1271" s="20">
        <v>-1.27286932907138</v>
      </c>
      <c r="G1271" s="20">
        <v>1.31045287501861</v>
      </c>
      <c r="H1271" s="20">
        <v>8.7690775168031698E-3</v>
      </c>
      <c r="I1271" s="20">
        <v>132.29405834779899</v>
      </c>
      <c r="J1271" s="20">
        <v>772.50357217007331</v>
      </c>
      <c r="K1271" s="20">
        <v>9.8107953665599315</v>
      </c>
      <c r="L1271" s="20">
        <f t="shared" si="44"/>
        <v>772.50201742853665</v>
      </c>
      <c r="M1271" s="20">
        <f t="shared" si="45"/>
        <v>-9.8107756213816586</v>
      </c>
    </row>
    <row r="1272" spans="1:13" x14ac:dyDescent="0.2">
      <c r="A1272" s="23">
        <v>311.25</v>
      </c>
      <c r="B1272" s="20">
        <v>770.09149664987899</v>
      </c>
      <c r="C1272" s="20">
        <v>67.591208988864395</v>
      </c>
      <c r="D1272" s="20">
        <v>335.58185838116799</v>
      </c>
      <c r="E1272" s="20">
        <v>-0.311719241879794</v>
      </c>
      <c r="F1272" s="20">
        <v>-1.27157622131851</v>
      </c>
      <c r="G1272" s="20">
        <v>1.3092268605481601</v>
      </c>
      <c r="H1272" s="20">
        <v>8.7736466723771604E-3</v>
      </c>
      <c r="I1272" s="20">
        <v>132.35302198313499</v>
      </c>
      <c r="J1272" s="20">
        <v>773.05361408591693</v>
      </c>
      <c r="K1272" s="20">
        <v>9.8177808988911455</v>
      </c>
      <c r="L1272" s="20">
        <f t="shared" si="44"/>
        <v>773.05205823736537</v>
      </c>
      <c r="M1272" s="20">
        <f t="shared" si="45"/>
        <v>-9.8177611396538111</v>
      </c>
    </row>
    <row r="1273" spans="1:13" x14ac:dyDescent="0.2">
      <c r="A1273" s="23">
        <v>311.5</v>
      </c>
      <c r="B1273" s="20">
        <v>770.63418518662502</v>
      </c>
      <c r="C1273" s="20">
        <v>67.693110141120002</v>
      </c>
      <c r="D1273" s="20">
        <v>335.55471940985802</v>
      </c>
      <c r="E1273" s="20">
        <v>-0.31184438399716702</v>
      </c>
      <c r="F1273" s="20">
        <v>-1.27028235961936</v>
      </c>
      <c r="G1273" s="20">
        <v>1.3080000737732</v>
      </c>
      <c r="H1273" s="20">
        <v>8.7782176792315803E-3</v>
      </c>
      <c r="I1273" s="20">
        <v>132.41193081667001</v>
      </c>
      <c r="J1273" s="20">
        <v>773.60313692888531</v>
      </c>
      <c r="K1273" s="20">
        <v>9.8247598389968438</v>
      </c>
      <c r="L1273" s="20">
        <f t="shared" si="44"/>
        <v>773.60157997436329</v>
      </c>
      <c r="M1273" s="20">
        <f t="shared" si="45"/>
        <v>-9.8247400657137138</v>
      </c>
    </row>
    <row r="1274" spans="1:13" x14ac:dyDescent="0.2">
      <c r="A1274" s="23">
        <v>311.75</v>
      </c>
      <c r="B1274" s="20">
        <v>771.17635002812403</v>
      </c>
      <c r="C1274" s="20">
        <v>67.794994417819296</v>
      </c>
      <c r="D1274" s="20">
        <v>335.52757659202399</v>
      </c>
      <c r="E1274" s="20">
        <v>-0.31196876354089098</v>
      </c>
      <c r="F1274" s="20">
        <v>-1.2689877440717601</v>
      </c>
      <c r="G1274" s="20">
        <v>1.30677251426159</v>
      </c>
      <c r="H1274" s="20">
        <v>8.7827906604993899E-3</v>
      </c>
      <c r="I1274" s="20">
        <v>132.47078409242101</v>
      </c>
      <c r="J1274" s="20">
        <v>774.15214038229908</v>
      </c>
      <c r="K1274" s="20">
        <v>9.8317321828551982</v>
      </c>
      <c r="L1274" s="20">
        <f t="shared" si="44"/>
        <v>774.15058232285264</v>
      </c>
      <c r="M1274" s="20">
        <f t="shared" si="45"/>
        <v>-9.8317123955395562</v>
      </c>
    </row>
    <row r="1275" spans="1:13" x14ac:dyDescent="0.2">
      <c r="A1275" s="23">
        <v>312</v>
      </c>
      <c r="B1275" s="20">
        <v>771.71799088245598</v>
      </c>
      <c r="C1275" s="20">
        <v>67.896861543542599</v>
      </c>
      <c r="D1275" s="20">
        <v>335.50042990256298</v>
      </c>
      <c r="E1275" s="20">
        <v>-0.312092378914407</v>
      </c>
      <c r="F1275" s="20">
        <v>-1.2676923747539901</v>
      </c>
      <c r="G1275" s="20">
        <v>1.3055441815526101</v>
      </c>
      <c r="H1275" s="20">
        <v>8.7873657405758403E-3</v>
      </c>
      <c r="I1275" s="20">
        <v>132.52958104430499</v>
      </c>
      <c r="J1275" s="20">
        <v>774.70062412927518</v>
      </c>
      <c r="K1275" s="20">
        <v>9.838697926441796</v>
      </c>
      <c r="L1275" s="20">
        <f t="shared" si="44"/>
        <v>774.69906496595013</v>
      </c>
      <c r="M1275" s="20">
        <f t="shared" si="45"/>
        <v>-9.838678125106922</v>
      </c>
    </row>
    <row r="1276" spans="1:13" x14ac:dyDescent="0.2">
      <c r="A1276" s="23">
        <v>312.25</v>
      </c>
      <c r="B1276" s="20">
        <v>772.25910745750696</v>
      </c>
      <c r="C1276" s="20">
        <v>67.998711243158994</v>
      </c>
      <c r="D1276" s="20">
        <v>335.47327931629502</v>
      </c>
      <c r="E1276" s="20">
        <v>-0.31221522848611299</v>
      </c>
      <c r="F1276" s="20">
        <v>-1.2663962517246301</v>
      </c>
      <c r="G1276" s="20">
        <v>1.3043150751566199</v>
      </c>
      <c r="H1276" s="20">
        <v>8.7919430451435798E-3</v>
      </c>
      <c r="I1276" s="20">
        <v>132.58832089597399</v>
      </c>
      <c r="J1276" s="20">
        <v>775.24858785271692</v>
      </c>
      <c r="K1276" s="20">
        <v>9.8456570657295064</v>
      </c>
      <c r="L1276" s="20">
        <f t="shared" si="44"/>
        <v>775.24702758655951</v>
      </c>
      <c r="M1276" s="20">
        <f t="shared" si="45"/>
        <v>-9.8456372503886893</v>
      </c>
    </row>
    <row r="1277" spans="1:13" x14ac:dyDescent="0.2">
      <c r="A1277" s="23">
        <v>312.5</v>
      </c>
      <c r="B1277" s="20">
        <v>772.79969946095196</v>
      </c>
      <c r="C1277" s="20">
        <v>68.100543241835993</v>
      </c>
      <c r="D1277" s="20">
        <v>335.44612480797099</v>
      </c>
      <c r="E1277" s="20">
        <v>-0.31233731058877501</v>
      </c>
      <c r="F1277" s="20">
        <v>-1.26509937502239</v>
      </c>
      <c r="G1277" s="20">
        <v>1.3030851945547799</v>
      </c>
      <c r="H1277" s="20">
        <v>8.7965227011977207E-3</v>
      </c>
      <c r="I1277" s="20">
        <v>132.647002860638</v>
      </c>
      <c r="J1277" s="20">
        <v>775.79603123529853</v>
      </c>
      <c r="K1277" s="20">
        <v>9.8526095966882909</v>
      </c>
      <c r="L1277" s="20">
        <f t="shared" si="44"/>
        <v>775.79446986735536</v>
      </c>
      <c r="M1277" s="20">
        <f t="shared" si="45"/>
        <v>-9.8525897673548233</v>
      </c>
    </row>
    <row r="1278" spans="1:13" x14ac:dyDescent="0.2">
      <c r="A1278" s="23">
        <v>312.75</v>
      </c>
      <c r="B1278" s="20">
        <v>773.33976660024302</v>
      </c>
      <c r="C1278" s="20">
        <v>68.202357265048903</v>
      </c>
      <c r="D1278" s="20">
        <v>335.41896635227499</v>
      </c>
      <c r="E1278" s="20">
        <v>-0.31245862351891701</v>
      </c>
      <c r="F1278" s="20">
        <v>-1.26380174466595</v>
      </c>
      <c r="G1278" s="20">
        <v>1.30185453919862</v>
      </c>
      <c r="H1278" s="20">
        <v>8.8011048370718395E-3</v>
      </c>
      <c r="I1278" s="20">
        <v>132.70562614089701</v>
      </c>
      <c r="J1278" s="20">
        <v>776.34295395945151</v>
      </c>
      <c r="K1278" s="20">
        <v>9.8595555152850345</v>
      </c>
      <c r="L1278" s="20">
        <f t="shared" si="44"/>
        <v>776.34139149077168</v>
      </c>
      <c r="M1278" s="20">
        <f t="shared" si="45"/>
        <v>-9.8595356719722389</v>
      </c>
    </row>
    <row r="1279" spans="1:13" x14ac:dyDescent="0.2">
      <c r="A1279" s="23">
        <v>313</v>
      </c>
      <c r="B1279" s="20">
        <v>773.87930858258903</v>
      </c>
      <c r="C1279" s="20">
        <v>68.304153038590101</v>
      </c>
      <c r="D1279" s="20">
        <v>335.39180392383298</v>
      </c>
      <c r="E1279" s="20">
        <v>-0.31257916553621501</v>
      </c>
      <c r="F1279" s="20">
        <v>-1.2625033606538401</v>
      </c>
      <c r="G1279" s="20">
        <v>1.3006231085097399</v>
      </c>
      <c r="H1279" s="20">
        <v>8.8056895824642004E-3</v>
      </c>
      <c r="I1279" s="20">
        <v>132.76418992856</v>
      </c>
      <c r="J1279" s="20">
        <v>776.88935570735305</v>
      </c>
      <c r="K1279" s="20">
        <v>9.8664948174833853</v>
      </c>
      <c r="L1279" s="20">
        <f t="shared" si="44"/>
        <v>776.88779213898397</v>
      </c>
      <c r="M1279" s="20">
        <f t="shared" si="45"/>
        <v>-9.8664749602045632</v>
      </c>
    </row>
    <row r="1280" spans="1:13" x14ac:dyDescent="0.2">
      <c r="A1280" s="23">
        <v>313.25</v>
      </c>
      <c r="B1280" s="20">
        <v>774.41832511494795</v>
      </c>
      <c r="C1280" s="20">
        <v>68.405930288579</v>
      </c>
      <c r="D1280" s="20">
        <v>335.36463749721599</v>
      </c>
      <c r="E1280" s="20">
        <v>-0.31269893486286998</v>
      </c>
      <c r="F1280" s="20">
        <v>-1.26120422296421</v>
      </c>
      <c r="G1280" s="20">
        <v>1.29939090187947</v>
      </c>
      <c r="H1280" s="20">
        <v>8.8102770684645899E-3</v>
      </c>
      <c r="I1280" s="20">
        <v>132.82269340446399</v>
      </c>
      <c r="J1280" s="20">
        <v>777.43523616091011</v>
      </c>
      <c r="K1280" s="20">
        <v>9.873427499243558</v>
      </c>
      <c r="L1280" s="20">
        <f t="shared" si="44"/>
        <v>777.43367149390122</v>
      </c>
      <c r="M1280" s="20">
        <f t="shared" si="45"/>
        <v>-9.8734076280120391</v>
      </c>
    </row>
    <row r="1281" spans="1:13" x14ac:dyDescent="0.2">
      <c r="A1281" s="23">
        <v>313.5</v>
      </c>
      <c r="B1281" s="20">
        <v>774.95681590400602</v>
      </c>
      <c r="C1281" s="20">
        <v>68.507688741471199</v>
      </c>
      <c r="D1281" s="20">
        <v>335.33746704694801</v>
      </c>
      <c r="E1281" s="20">
        <v>-0.312817929682975</v>
      </c>
      <c r="F1281" s="20">
        <v>-1.25990433155475</v>
      </c>
      <c r="G1281" s="20">
        <v>1.29815791866844</v>
      </c>
      <c r="H1281" s="20">
        <v>8.8148674275818507E-3</v>
      </c>
      <c r="I1281" s="20">
        <v>132.88113573829</v>
      </c>
      <c r="J1281" s="20">
        <v>777.98059500174543</v>
      </c>
      <c r="K1281" s="20">
        <v>9.8803535565221665</v>
      </c>
      <c r="L1281" s="20">
        <f t="shared" si="44"/>
        <v>777.97902923714719</v>
      </c>
      <c r="M1281" s="20">
        <f t="shared" si="45"/>
        <v>-9.8803336713512913</v>
      </c>
    </row>
    <row r="1282" spans="1:13" x14ac:dyDescent="0.2">
      <c r="A1282" s="23">
        <v>313.75</v>
      </c>
      <c r="B1282" s="20">
        <v>775.49478065616199</v>
      </c>
      <c r="C1282" s="20">
        <v>68.609428124069296</v>
      </c>
      <c r="D1282" s="20">
        <v>335.31029254751201</v>
      </c>
      <c r="E1282" s="20">
        <v>-0.31293614814186999</v>
      </c>
      <c r="F1282" s="20">
        <v>-1.2586036863624599</v>
      </c>
      <c r="G1282" s="20">
        <v>1.2969241582062701</v>
      </c>
      <c r="H1282" s="20">
        <v>8.8194607937716902E-3</v>
      </c>
      <c r="I1282" s="20">
        <v>132.939516088376</v>
      </c>
      <c r="J1282" s="20">
        <v>778.52543191118355</v>
      </c>
      <c r="K1282" s="20">
        <v>9.8872729852720322</v>
      </c>
      <c r="L1282" s="20">
        <f t="shared" si="44"/>
        <v>778.52386505004495</v>
      </c>
      <c r="M1282" s="20">
        <f t="shared" si="45"/>
        <v>-9.8872530861751198</v>
      </c>
    </row>
    <row r="1283" spans="1:13" x14ac:dyDescent="0.2">
      <c r="A1283" s="23">
        <v>314</v>
      </c>
      <c r="B1283" s="20">
        <v>776.03221907751799</v>
      </c>
      <c r="C1283" s="20">
        <v>68.711148163531902</v>
      </c>
      <c r="D1283" s="20">
        <v>335.28311397335699</v>
      </c>
      <c r="E1283" s="20">
        <v>-0.31305358834549002</v>
      </c>
      <c r="F1283" s="20">
        <v>-1.25730228730348</v>
      </c>
      <c r="G1283" s="20">
        <v>1.29568961979116</v>
      </c>
      <c r="H1283" s="20">
        <v>8.8240573024653095E-3</v>
      </c>
      <c r="I1283" s="20">
        <v>132.99783360152699</v>
      </c>
      <c r="J1283" s="20">
        <v>779.0697465702367</v>
      </c>
      <c r="K1283" s="20">
        <v>9.8941857814420064</v>
      </c>
      <c r="L1283" s="20">
        <f t="shared" si="44"/>
        <v>779.06817861361003</v>
      </c>
      <c r="M1283" s="20">
        <f t="shared" si="45"/>
        <v>-9.8941658684324238</v>
      </c>
    </row>
    <row r="1284" spans="1:13" x14ac:dyDescent="0.2">
      <c r="A1284" s="23">
        <v>314.25</v>
      </c>
      <c r="B1284" s="20">
        <v>776.56913087385601</v>
      </c>
      <c r="C1284" s="20">
        <v>68.812848587384394</v>
      </c>
      <c r="D1284" s="20">
        <v>335.255931298902</v>
      </c>
      <c r="E1284" s="20">
        <v>-0.31317024835969298</v>
      </c>
      <c r="F1284" s="20">
        <v>-1.2560001342729701</v>
      </c>
      <c r="G1284" s="20">
        <v>1.2944543026895201</v>
      </c>
      <c r="H1284" s="20">
        <v>8.8286570905983693E-3</v>
      </c>
      <c r="I1284" s="20">
        <v>133.05608741281401</v>
      </c>
      <c r="J1284" s="20">
        <v>779.61353865958995</v>
      </c>
      <c r="K1284" s="20">
        <v>9.9010919409767926</v>
      </c>
      <c r="L1284" s="20">
        <f t="shared" si="44"/>
        <v>779.61196960852669</v>
      </c>
      <c r="M1284" s="20">
        <f t="shared" si="45"/>
        <v>-9.9010720140678945</v>
      </c>
    </row>
    <row r="1285" spans="1:13" x14ac:dyDescent="0.2">
      <c r="A1285" s="23">
        <v>314.5</v>
      </c>
      <c r="B1285" s="20">
        <v>777.105515750628</v>
      </c>
      <c r="C1285" s="20">
        <v>68.914529123528894</v>
      </c>
      <c r="D1285" s="20">
        <v>335.22874449854498</v>
      </c>
      <c r="E1285" s="20">
        <v>-0.31328612620958701</v>
      </c>
      <c r="F1285" s="20">
        <v>-1.25469722714489</v>
      </c>
      <c r="G1285" s="20">
        <v>1.2932182061355699</v>
      </c>
      <c r="H1285" s="20">
        <v>8.8332602966408498E-3</v>
      </c>
      <c r="I1285" s="20">
        <v>133.11427664538201</v>
      </c>
      <c r="J1285" s="20">
        <v>780.15680785958727</v>
      </c>
      <c r="K1285" s="20">
        <v>9.9079914598167598</v>
      </c>
      <c r="L1285" s="20">
        <f t="shared" si="44"/>
        <v>780.1552377151404</v>
      </c>
      <c r="M1285" s="20">
        <f t="shared" si="45"/>
        <v>-9.9079715190219151</v>
      </c>
    </row>
    <row r="1286" spans="1:13" x14ac:dyDescent="0.2">
      <c r="A1286" s="23">
        <v>314.75</v>
      </c>
      <c r="B1286" s="20">
        <v>777.64137341293304</v>
      </c>
      <c r="C1286" s="20">
        <v>69.016189500254796</v>
      </c>
      <c r="D1286" s="20">
        <v>335.201553546669</v>
      </c>
      <c r="E1286" s="20">
        <v>-0.31340121987883501</v>
      </c>
      <c r="F1286" s="20">
        <v>-1.25339356577183</v>
      </c>
      <c r="G1286" s="20">
        <v>1.2919813293309499</v>
      </c>
      <c r="H1286" s="20">
        <v>8.8378670606273201E-3</v>
      </c>
      <c r="I1286" s="20">
        <v>133.17240041024601</v>
      </c>
      <c r="J1286" s="20">
        <v>780.69955385021331</v>
      </c>
      <c r="K1286" s="20">
        <v>9.9148843338977102</v>
      </c>
      <c r="L1286" s="20">
        <f t="shared" si="44"/>
        <v>780.69798261343533</v>
      </c>
      <c r="M1286" s="20">
        <f t="shared" si="45"/>
        <v>-9.9148643792302877</v>
      </c>
    </row>
    <row r="1287" spans="1:13" x14ac:dyDescent="0.2">
      <c r="A1287" s="23">
        <v>315</v>
      </c>
      <c r="B1287" s="20">
        <v>778.176703565509</v>
      </c>
      <c r="C1287" s="20">
        <v>69.117829446249004</v>
      </c>
      <c r="D1287" s="20">
        <v>335.17435841764802</v>
      </c>
      <c r="E1287" s="20">
        <v>-0.31351552730895899</v>
      </c>
      <c r="F1287" s="20">
        <v>-1.2520891499848199</v>
      </c>
      <c r="G1287" s="20">
        <v>1.2907436714442999</v>
      </c>
      <c r="H1287" s="20">
        <v>8.8424775241877293E-3</v>
      </c>
      <c r="I1287" s="20">
        <v>133.23045780608001</v>
      </c>
      <c r="J1287" s="20">
        <v>781.24177631108262</v>
      </c>
      <c r="K1287" s="20">
        <v>9.9217705591507492</v>
      </c>
      <c r="L1287" s="20">
        <f t="shared" si="44"/>
        <v>781.24020398302775</v>
      </c>
      <c r="M1287" s="20">
        <f t="shared" si="45"/>
        <v>-9.9217505906241392</v>
      </c>
    </row>
    <row r="1288" spans="1:13" x14ac:dyDescent="0.2">
      <c r="A1288" s="23">
        <v>315.25</v>
      </c>
      <c r="B1288" s="20">
        <v>778.71150591270896</v>
      </c>
      <c r="C1288" s="20">
        <v>69.219448690606896</v>
      </c>
      <c r="D1288" s="20">
        <v>335.14715908585401</v>
      </c>
      <c r="E1288" s="20">
        <v>-0.31362904639862499</v>
      </c>
      <c r="F1288" s="20">
        <v>-1.2507839795931699</v>
      </c>
      <c r="G1288" s="20">
        <v>1.2895052316108799</v>
      </c>
      <c r="H1288" s="20">
        <v>8.8470918305792907E-3</v>
      </c>
      <c r="I1288" s="20">
        <v>133.28844791901301</v>
      </c>
      <c r="J1288" s="20">
        <v>781.78347492142211</v>
      </c>
      <c r="K1288" s="20">
        <v>9.9286501315020619</v>
      </c>
      <c r="L1288" s="20">
        <f t="shared" si="44"/>
        <v>781.78190150314333</v>
      </c>
      <c r="M1288" s="20">
        <f t="shared" si="45"/>
        <v>-9.9286301491296349</v>
      </c>
    </row>
    <row r="1289" spans="1:13" x14ac:dyDescent="0.2">
      <c r="A1289" s="23">
        <v>315.5</v>
      </c>
      <c r="B1289" s="20">
        <v>779.24578015848897</v>
      </c>
      <c r="C1289" s="20">
        <v>69.321046962842701</v>
      </c>
      <c r="D1289" s="20">
        <v>335.11995552566498</v>
      </c>
      <c r="E1289" s="20">
        <v>-0.31374177500291101</v>
      </c>
      <c r="F1289" s="20">
        <v>-1.2494780543842601</v>
      </c>
      <c r="G1289" s="20">
        <v>1.2882660089321001</v>
      </c>
      <c r="H1289" s="20">
        <v>8.8517101247185606E-3</v>
      </c>
      <c r="I1289" s="20">
        <v>133.346369822409</v>
      </c>
      <c r="J1289" s="20">
        <v>782.32464936005374</v>
      </c>
      <c r="K1289" s="20">
        <v>9.9355230468726816</v>
      </c>
      <c r="L1289" s="20">
        <f t="shared" si="44"/>
        <v>782.3230748526064</v>
      </c>
      <c r="M1289" s="20">
        <f t="shared" si="45"/>
        <v>-9.9355030506678439</v>
      </c>
    </row>
    <row r="1290" spans="1:13" x14ac:dyDescent="0.2">
      <c r="A1290" s="23">
        <v>315.75</v>
      </c>
      <c r="B1290" s="20">
        <v>779.77952600638901</v>
      </c>
      <c r="C1290" s="20">
        <v>69.422623992900796</v>
      </c>
      <c r="D1290" s="20">
        <v>335.09274771147199</v>
      </c>
      <c r="E1290" s="20">
        <v>-0.31385371093257702</v>
      </c>
      <c r="F1290" s="20">
        <v>-1.24817137412337</v>
      </c>
      <c r="G1290" s="20">
        <v>1.2870260024751501</v>
      </c>
      <c r="H1290" s="20">
        <v>8.8563325532143803E-3</v>
      </c>
      <c r="I1290" s="20">
        <v>133.40422257665199</v>
      </c>
      <c r="J1290" s="20">
        <v>782.86529930538541</v>
      </c>
      <c r="K1290" s="20">
        <v>9.9423893011783946</v>
      </c>
      <c r="L1290" s="20">
        <f t="shared" si="44"/>
        <v>782.8637237098219</v>
      </c>
      <c r="M1290" s="20">
        <f t="shared" si="45"/>
        <v>-9.9423692911545078</v>
      </c>
    </row>
    <row r="1291" spans="1:13" x14ac:dyDescent="0.2">
      <c r="A1291" s="23">
        <v>316</v>
      </c>
      <c r="B1291" s="20">
        <v>780.312743159516</v>
      </c>
      <c r="C1291" s="20">
        <v>69.524179511166807</v>
      </c>
      <c r="D1291" s="20">
        <v>335.06553561768499</v>
      </c>
      <c r="E1291" s="20">
        <v>-0.31396485195330598</v>
      </c>
      <c r="F1291" s="20">
        <v>-1.2468639385534499</v>
      </c>
      <c r="G1291" s="20">
        <v>1.2857852112725101</v>
      </c>
      <c r="H1291" s="20">
        <v>8.8609592644015595E-3</v>
      </c>
      <c r="I1291" s="20">
        <v>133.46200522892201</v>
      </c>
      <c r="J1291" s="20">
        <v>783.40542443537765</v>
      </c>
      <c r="K1291" s="20">
        <v>9.9492488903292973</v>
      </c>
      <c r="L1291" s="20">
        <f t="shared" si="44"/>
        <v>783.40384775276016</v>
      </c>
      <c r="M1291" s="20">
        <f t="shared" si="45"/>
        <v>-9.9492288664998512</v>
      </c>
    </row>
    <row r="1292" spans="1:13" x14ac:dyDescent="0.2">
      <c r="A1292" s="23">
        <v>316.25</v>
      </c>
      <c r="B1292" s="20">
        <v>780.84543132052499</v>
      </c>
      <c r="C1292" s="20">
        <v>69.625713248478107</v>
      </c>
      <c r="D1292" s="20">
        <v>335.03831921874098</v>
      </c>
      <c r="E1292" s="20">
        <v>-0.31407519578494503</v>
      </c>
      <c r="F1292" s="20">
        <v>-1.2455557473949701</v>
      </c>
      <c r="G1292" s="20">
        <v>1.28454363432154</v>
      </c>
      <c r="H1292" s="20">
        <v>8.8655904083753106E-3</v>
      </c>
      <c r="I1292" s="20">
        <v>133.51971681296601</v>
      </c>
      <c r="J1292" s="20">
        <v>783.94502442755368</v>
      </c>
      <c r="K1292" s="20">
        <v>9.9561018102299315</v>
      </c>
      <c r="L1292" s="20">
        <f t="shared" si="44"/>
        <v>783.94344665893857</v>
      </c>
      <c r="M1292" s="20">
        <f t="shared" si="45"/>
        <v>-9.9560817726083446</v>
      </c>
    </row>
    <row r="1293" spans="1:13" x14ac:dyDescent="0.2">
      <c r="A1293" s="23">
        <v>316.5</v>
      </c>
      <c r="B1293" s="20">
        <v>781.37759019160399</v>
      </c>
      <c r="C1293" s="20">
        <v>69.727224936136096</v>
      </c>
      <c r="D1293" s="20">
        <v>335.01109848911199</v>
      </c>
      <c r="E1293" s="20">
        <v>-0.31418474010072001</v>
      </c>
      <c r="F1293" s="20">
        <v>-1.2442468003456699</v>
      </c>
      <c r="G1293" s="20">
        <v>1.2833012705840401</v>
      </c>
      <c r="H1293" s="20">
        <v>8.8702261370263696E-3</v>
      </c>
      <c r="I1293" s="20">
        <v>133.57735634886799</v>
      </c>
      <c r="J1293" s="20">
        <v>784.48409895896407</v>
      </c>
      <c r="K1293" s="20">
        <v>9.9629480567788455</v>
      </c>
      <c r="L1293" s="20">
        <f t="shared" si="44"/>
        <v>784.48252010540853</v>
      </c>
      <c r="M1293" s="20">
        <f t="shared" si="45"/>
        <v>-9.9629280053785401</v>
      </c>
    </row>
    <row r="1294" spans="1:13" x14ac:dyDescent="0.2">
      <c r="A1294" s="23">
        <v>316.75</v>
      </c>
      <c r="B1294" s="20">
        <v>781.90921947445395</v>
      </c>
      <c r="C1294" s="20">
        <v>69.828714305917202</v>
      </c>
      <c r="D1294" s="20">
        <v>334.98387340331197</v>
      </c>
      <c r="E1294" s="20">
        <v>-0.31429348252644801</v>
      </c>
      <c r="F1294" s="20">
        <v>-1.2429370970803999</v>
      </c>
      <c r="G1294" s="20">
        <v>1.2820581189857401</v>
      </c>
      <c r="H1294" s="20">
        <v>8.8748666040767508E-3</v>
      </c>
      <c r="I1294" s="20">
        <v>133.63492284281301</v>
      </c>
      <c r="J1294" s="20">
        <v>785.02264770618171</v>
      </c>
      <c r="K1294" s="20">
        <v>9.9697876258685074</v>
      </c>
      <c r="L1294" s="20">
        <f t="shared" si="44"/>
        <v>785.02106776873654</v>
      </c>
      <c r="M1294" s="20">
        <f t="shared" si="45"/>
        <v>-9.9697675607028327</v>
      </c>
    </row>
    <row r="1295" spans="1:13" x14ac:dyDescent="0.2">
      <c r="A1295" s="23">
        <v>317</v>
      </c>
      <c r="B1295" s="20">
        <v>782.44031887027302</v>
      </c>
      <c r="C1295" s="20">
        <v>69.930181090084602</v>
      </c>
      <c r="D1295" s="20">
        <v>334.95664393590403</v>
      </c>
      <c r="E1295" s="20">
        <v>-0.31440142063973098</v>
      </c>
      <c r="F1295" s="20">
        <v>-1.24162663725087</v>
      </c>
      <c r="G1295" s="20">
        <v>1.28081417841589</v>
      </c>
      <c r="H1295" s="20">
        <v>8.8795119651165003E-3</v>
      </c>
      <c r="I1295" s="20">
        <v>133.69241528684299</v>
      </c>
      <c r="J1295" s="20">
        <v>785.56067034525597</v>
      </c>
      <c r="K1295" s="20">
        <v>9.9766205133847521</v>
      </c>
      <c r="L1295" s="20">
        <f t="shared" si="44"/>
        <v>785.55908932498926</v>
      </c>
      <c r="M1295" s="20">
        <f t="shared" si="45"/>
        <v>-9.9766004344672705</v>
      </c>
    </row>
    <row r="1296" spans="1:13" x14ac:dyDescent="0.2">
      <c r="A1296" s="23">
        <v>317.25</v>
      </c>
      <c r="B1296" s="20">
        <v>782.970888079735</v>
      </c>
      <c r="C1296" s="20">
        <v>70.031625021399904</v>
      </c>
      <c r="D1296" s="20">
        <v>334.92941006151199</v>
      </c>
      <c r="E1296" s="20">
        <v>-0.31450855196913002</v>
      </c>
      <c r="F1296" s="20">
        <v>-1.2403154204854701</v>
      </c>
      <c r="G1296" s="20">
        <v>1.2795694477267601</v>
      </c>
      <c r="H1296" s="20">
        <v>8.8841623776411902E-3</v>
      </c>
      <c r="I1296" s="20">
        <v>133.749832658613</v>
      </c>
      <c r="J1296" s="20">
        <v>786.09816655174257</v>
      </c>
      <c r="K1296" s="20">
        <v>9.9834467152071316</v>
      </c>
      <c r="L1296" s="20">
        <f t="shared" si="44"/>
        <v>786.09658444971433</v>
      </c>
      <c r="M1296" s="20">
        <f t="shared" si="45"/>
        <v>-9.9834266225513062</v>
      </c>
    </row>
    <row r="1297" spans="1:13" x14ac:dyDescent="0.2">
      <c r="A1297" s="23">
        <v>317.5</v>
      </c>
      <c r="B1297" s="20">
        <v>783.500926802972</v>
      </c>
      <c r="C1297" s="20">
        <v>70.133045833135697</v>
      </c>
      <c r="D1297" s="20">
        <v>334.90217175482098</v>
      </c>
      <c r="E1297" s="20">
        <v>-0.31461487399333599</v>
      </c>
      <c r="F1297" s="20">
        <v>-1.23900344638904</v>
      </c>
      <c r="G1297" s="20">
        <v>1.27832392573313</v>
      </c>
      <c r="H1297" s="20">
        <v>8.8888180010901693E-3</v>
      </c>
      <c r="I1297" s="20">
        <v>133.80717392114201</v>
      </c>
      <c r="J1297" s="20">
        <v>786.63513600065767</v>
      </c>
      <c r="K1297" s="20">
        <v>9.9902662272083518</v>
      </c>
      <c r="L1297" s="20">
        <f t="shared" si="44"/>
        <v>786.63355281792349</v>
      </c>
      <c r="M1297" s="20">
        <f t="shared" si="45"/>
        <v>-9.9902461208275888</v>
      </c>
    </row>
    <row r="1298" spans="1:13" x14ac:dyDescent="0.2">
      <c r="A1298" s="23">
        <v>317.75</v>
      </c>
      <c r="B1298" s="20">
        <v>784.03043473955699</v>
      </c>
      <c r="C1298" s="20">
        <v>70.234443259087001</v>
      </c>
      <c r="D1298" s="20">
        <v>334.87492899059401</v>
      </c>
      <c r="E1298" s="20">
        <v>-0.314720384140315</v>
      </c>
      <c r="F1298" s="20">
        <v>-1.2376907145426801</v>
      </c>
      <c r="G1298" s="20">
        <v>1.27707761121186</v>
      </c>
      <c r="H1298" s="20">
        <v>8.8934789968857907E-3</v>
      </c>
      <c r="I1298" s="20">
        <v>133.864438022553</v>
      </c>
      <c r="J1298" s="20">
        <v>787.17157836646174</v>
      </c>
      <c r="K1298" s="20">
        <v>9.9970790452540648</v>
      </c>
      <c r="L1298" s="20">
        <f t="shared" si="44"/>
        <v>787.16999410407698</v>
      </c>
      <c r="M1298" s="20">
        <f t="shared" si="45"/>
        <v>-9.997058925161765</v>
      </c>
    </row>
    <row r="1299" spans="1:13" x14ac:dyDescent="0.2">
      <c r="A1299" s="23">
        <v>318</v>
      </c>
      <c r="B1299" s="20">
        <v>784.55941158848202</v>
      </c>
      <c r="C1299" s="20">
        <v>70.335817033583893</v>
      </c>
      <c r="D1299" s="20">
        <v>334.84768174367298</v>
      </c>
      <c r="E1299" s="20">
        <v>-0.31482507978644197</v>
      </c>
      <c r="F1299" s="20">
        <v>-1.2363772245034601</v>
      </c>
      <c r="G1299" s="20">
        <v>1.2758305029013099</v>
      </c>
      <c r="H1299" s="20">
        <v>8.8981455284733203E-3</v>
      </c>
      <c r="I1299" s="20">
        <v>133.92162389581401</v>
      </c>
      <c r="J1299" s="20">
        <v>787.70749332302864</v>
      </c>
      <c r="K1299" s="20">
        <v>10.003885165202464</v>
      </c>
      <c r="L1299" s="20">
        <f t="shared" si="44"/>
        <v>787.70590798206331</v>
      </c>
      <c r="M1299" s="20">
        <f t="shared" si="45"/>
        <v>-10.00386503141222</v>
      </c>
    </row>
    <row r="1300" spans="1:13" x14ac:dyDescent="0.2">
      <c r="A1300" s="23">
        <v>318.25</v>
      </c>
      <c r="B1300" s="20">
        <v>785.08785704814102</v>
      </c>
      <c r="C1300" s="20">
        <v>70.437166891504106</v>
      </c>
      <c r="D1300" s="20">
        <v>334.82042998899402</v>
      </c>
      <c r="E1300" s="20">
        <v>-0.31492895825562001</v>
      </c>
      <c r="F1300" s="20">
        <v>-1.2350629758042699</v>
      </c>
      <c r="G1300" s="20">
        <v>1.2745825995008999</v>
      </c>
      <c r="H1300" s="20">
        <v>8.9028177613620293E-3</v>
      </c>
      <c r="I1300" s="20">
        <v>133.97873045847101</v>
      </c>
      <c r="J1300" s="20">
        <v>788.24288054366843</v>
      </c>
      <c r="K1300" s="20">
        <v>10.01068458290459</v>
      </c>
      <c r="L1300" s="20">
        <f t="shared" si="44"/>
        <v>788.24129412518346</v>
      </c>
      <c r="M1300" s="20">
        <f t="shared" si="45"/>
        <v>-10.010664435429872</v>
      </c>
    </row>
    <row r="1301" spans="1:13" x14ac:dyDescent="0.2">
      <c r="A1301" s="23">
        <v>318.5</v>
      </c>
      <c r="B1301" s="20">
        <v>785.61577081630696</v>
      </c>
      <c r="C1301" s="20">
        <v>70.538492568285704</v>
      </c>
      <c r="D1301" s="20">
        <v>334.79317370158998</v>
      </c>
      <c r="E1301" s="20">
        <v>-0.315032016818385</v>
      </c>
      <c r="F1301" s="20">
        <v>-1.2337479679535499</v>
      </c>
      <c r="G1301" s="20">
        <v>1.2733338996705399</v>
      </c>
      <c r="H1301" s="20">
        <v>8.9074958631669005E-3</v>
      </c>
      <c r="I1301" s="20">
        <v>134.03575661237701</v>
      </c>
      <c r="J1301" s="20">
        <v>788.7777397010733</v>
      </c>
      <c r="K1301" s="20">
        <v>10.017477294203632</v>
      </c>
      <c r="L1301" s="20">
        <f t="shared" si="44"/>
        <v>788.77615220612893</v>
      </c>
      <c r="M1301" s="20">
        <f t="shared" si="45"/>
        <v>-10.017457133057906</v>
      </c>
    </row>
    <row r="1302" spans="1:13" x14ac:dyDescent="0.2">
      <c r="A1302" s="23">
        <v>318.75</v>
      </c>
      <c r="B1302" s="20">
        <v>786.14315259011698</v>
      </c>
      <c r="C1302" s="20">
        <v>70.639793799939596</v>
      </c>
      <c r="D1302" s="20">
        <v>334.76591285660197</v>
      </c>
      <c r="E1302" s="20">
        <v>-0.315134252690985</v>
      </c>
      <c r="F1302" s="20">
        <v>-1.2324322004350701</v>
      </c>
      <c r="G1302" s="20">
        <v>1.2720844020301201</v>
      </c>
      <c r="H1302" s="20">
        <v>8.9121800036515101E-3</v>
      </c>
      <c r="I1302" s="20">
        <v>134.09270124341501</v>
      </c>
      <c r="J1302" s="20">
        <v>789.31207046730935</v>
      </c>
      <c r="K1302" s="20">
        <v>10.02426329493483</v>
      </c>
      <c r="L1302" s="20">
        <f t="shared" si="44"/>
        <v>789.31048189696924</v>
      </c>
      <c r="M1302" s="20">
        <f t="shared" si="45"/>
        <v>-10.024243120131606</v>
      </c>
    </row>
    <row r="1303" spans="1:13" x14ac:dyDescent="0.2">
      <c r="A1303" s="23">
        <v>319</v>
      </c>
      <c r="B1303" s="20">
        <v>786.67000206604598</v>
      </c>
      <c r="C1303" s="20">
        <v>70.741070323062999</v>
      </c>
      <c r="D1303" s="20">
        <v>334.73864742928799</v>
      </c>
      <c r="E1303" s="20">
        <v>-0.31523566303445499</v>
      </c>
      <c r="F1303" s="20">
        <v>-1.23111567270766</v>
      </c>
      <c r="G1303" s="20">
        <v>1.27083410515897</v>
      </c>
      <c r="H1303" s="20">
        <v>8.9168703547718702E-3</v>
      </c>
      <c r="I1303" s="20">
        <v>134.14956322121299</v>
      </c>
      <c r="J1303" s="20">
        <v>789.84587251379355</v>
      </c>
      <c r="K1303" s="20">
        <v>10.031042580925179</v>
      </c>
      <c r="L1303" s="20">
        <f t="shared" si="44"/>
        <v>789.84428286912691</v>
      </c>
      <c r="M1303" s="20">
        <f t="shared" si="45"/>
        <v>-10.031022392478036</v>
      </c>
    </row>
    <row r="1304" spans="1:13" x14ac:dyDescent="0.2">
      <c r="A1304" s="23">
        <v>319.25</v>
      </c>
      <c r="B1304" s="20">
        <v>787.19631893989197</v>
      </c>
      <c r="C1304" s="20">
        <v>70.842321874852402</v>
      </c>
      <c r="D1304" s="20">
        <v>334.71137739503098</v>
      </c>
      <c r="E1304" s="20">
        <v>-0.31533624495366602</v>
      </c>
      <c r="F1304" s="20">
        <v>-1.22979838420502</v>
      </c>
      <c r="G1304" s="20">
        <v>1.2695830075953101</v>
      </c>
      <c r="H1304" s="20">
        <v>8.9215670907211806E-3</v>
      </c>
      <c r="I1304" s="20">
        <v>134.20634139885399</v>
      </c>
      <c r="J1304" s="20">
        <v>790.37914551130086</v>
      </c>
      <c r="K1304" s="20">
        <v>10.037815147993522</v>
      </c>
      <c r="L1304" s="20">
        <f t="shared" si="44"/>
        <v>790.37755479336352</v>
      </c>
      <c r="M1304" s="20">
        <f t="shared" si="45"/>
        <v>-10.037794945915868</v>
      </c>
    </row>
    <row r="1305" spans="1:13" x14ac:dyDescent="0.2">
      <c r="A1305" s="23">
        <v>319.5</v>
      </c>
      <c r="B1305" s="20">
        <v>787.72210290675105</v>
      </c>
      <c r="C1305" s="20">
        <v>70.943548193117095</v>
      </c>
      <c r="D1305" s="20">
        <v>334.68410272935103</v>
      </c>
      <c r="E1305" s="20">
        <v>-0.31543599549635798</v>
      </c>
      <c r="F1305" s="20">
        <v>-1.22848033433544</v>
      </c>
      <c r="G1305" s="20">
        <v>1.26833110783569</v>
      </c>
      <c r="H1305" s="20">
        <v>8.9262703879756794E-3</v>
      </c>
      <c r="I1305" s="20">
        <v>134.26303461258499</v>
      </c>
      <c r="J1305" s="20">
        <v>790.91188912989412</v>
      </c>
      <c r="K1305" s="20">
        <v>10.044580991949656</v>
      </c>
      <c r="L1305" s="20">
        <f t="shared" si="44"/>
        <v>790.91029733975734</v>
      </c>
      <c r="M1305" s="20">
        <f t="shared" si="45"/>
        <v>-10.044560776255098</v>
      </c>
    </row>
    <row r="1306" spans="1:13" x14ac:dyDescent="0.2">
      <c r="A1306" s="23">
        <v>319.75</v>
      </c>
      <c r="B1306" s="20">
        <v>788.24735366099696</v>
      </c>
      <c r="C1306" s="20">
        <v>71.044749016292798</v>
      </c>
      <c r="D1306" s="20">
        <v>334.65682340791102</v>
      </c>
      <c r="E1306" s="20">
        <v>-0.31553491165216002</v>
      </c>
      <c r="F1306" s="20">
        <v>-1.22716152248156</v>
      </c>
      <c r="G1306" s="20">
        <v>1.2670784043344001</v>
      </c>
      <c r="H1306" s="20">
        <v>8.9309804253415292E-3</v>
      </c>
      <c r="I1306" s="20">
        <v>134.31964168151501</v>
      </c>
      <c r="J1306" s="20">
        <v>791.44410303895597</v>
      </c>
      <c r="K1306" s="20">
        <v>10.051340108594742</v>
      </c>
      <c r="L1306" s="20">
        <f t="shared" si="44"/>
        <v>791.44251017768363</v>
      </c>
      <c r="M1306" s="20">
        <f t="shared" si="45"/>
        <v>-10.051319879296788</v>
      </c>
    </row>
    <row r="1307" spans="1:13" x14ac:dyDescent="0.2">
      <c r="A1307" s="23">
        <v>320</v>
      </c>
      <c r="B1307" s="20">
        <v>788.77207089626097</v>
      </c>
      <c r="C1307" s="20">
        <v>71.145924083455498</v>
      </c>
      <c r="D1307" s="20">
        <v>334.62953940652699</v>
      </c>
      <c r="E1307" s="20">
        <v>-0.31563299035158199</v>
      </c>
      <c r="F1307" s="20">
        <v>-1.2258419480001099</v>
      </c>
      <c r="G1307" s="20">
        <v>1.2658248955029201</v>
      </c>
      <c r="H1307" s="20">
        <v>8.9356973840029504E-3</v>
      </c>
      <c r="I1307" s="20">
        <v>134.37616140730299</v>
      </c>
      <c r="J1307" s="20">
        <v>791.97578690713283</v>
      </c>
      <c r="K1307" s="20">
        <v>10.058092493720586</v>
      </c>
      <c r="L1307" s="20">
        <f t="shared" si="44"/>
        <v>791.974192975797</v>
      </c>
      <c r="M1307" s="20">
        <f t="shared" si="45"/>
        <v>-10.058072250832854</v>
      </c>
    </row>
    <row r="1308" spans="1:13" x14ac:dyDescent="0.2">
      <c r="A1308" s="23">
        <v>320.25</v>
      </c>
      <c r="B1308" s="20">
        <v>789.29625430541103</v>
      </c>
      <c r="C1308" s="20">
        <v>71.247073134335295</v>
      </c>
      <c r="D1308" s="20">
        <v>334.602250701179</v>
      </c>
      <c r="E1308" s="20">
        <v>-0.31573022846499998</v>
      </c>
      <c r="F1308" s="20">
        <v>-1.2245216102216501</v>
      </c>
      <c r="G1308" s="20">
        <v>1.2645705797093201</v>
      </c>
      <c r="H1308" s="20">
        <v>8.9404214475712496E-3</v>
      </c>
      <c r="I1308" s="20">
        <v>134.432592573851</v>
      </c>
      <c r="J1308" s="20">
        <v>792.5069404023518</v>
      </c>
      <c r="K1308" s="20">
        <v>10.064838143109869</v>
      </c>
      <c r="L1308" s="20">
        <f t="shared" ref="L1308:L1371" si="46">SQRT(B1308^2+C1308^2)</f>
        <v>792.50534540201147</v>
      </c>
      <c r="M1308" s="20">
        <f t="shared" ref="M1308:M1371" si="47">-L1308/A$25*100</f>
        <v>-10.064817886645805</v>
      </c>
    </row>
    <row r="1309" spans="1:13" x14ac:dyDescent="0.2">
      <c r="A1309" s="23">
        <v>320.5</v>
      </c>
      <c r="B1309" s="20">
        <v>789.81990358052599</v>
      </c>
      <c r="C1309" s="20">
        <v>71.348195909330997</v>
      </c>
      <c r="D1309" s="20">
        <v>334.57495726802</v>
      </c>
      <c r="E1309" s="20">
        <v>-0.315826622801612</v>
      </c>
      <c r="F1309" s="20">
        <v>-1.2232005084503099</v>
      </c>
      <c r="G1309" s="20">
        <v>1.26331545527765</v>
      </c>
      <c r="H1309" s="20">
        <v>8.9451528021351808E-3</v>
      </c>
      <c r="I1309" s="20">
        <v>134.48893394697799</v>
      </c>
      <c r="J1309" s="20">
        <v>793.03756319174931</v>
      </c>
      <c r="K1309" s="20">
        <v>10.071577052535217</v>
      </c>
      <c r="L1309" s="20">
        <f t="shared" si="46"/>
        <v>793.03596712347644</v>
      </c>
      <c r="M1309" s="20">
        <f t="shared" si="47"/>
        <v>-10.071556782508436</v>
      </c>
    </row>
    <row r="1310" spans="1:13" x14ac:dyDescent="0.2">
      <c r="A1310" s="23">
        <v>320.75</v>
      </c>
      <c r="B1310" s="20">
        <v>790.34301841287595</v>
      </c>
      <c r="C1310" s="20">
        <v>71.449292149523998</v>
      </c>
      <c r="D1310" s="20">
        <v>334.54765908338697</v>
      </c>
      <c r="E1310" s="20">
        <v>-0.31592217010837997</v>
      </c>
      <c r="F1310" s="20">
        <v>-1.2218786419635499</v>
      </c>
      <c r="G1310" s="20">
        <v>1.26205952048732</v>
      </c>
      <c r="H1310" s="20">
        <v>8.9498916363124903E-3</v>
      </c>
      <c r="I1310" s="20">
        <v>134.54518427409599</v>
      </c>
      <c r="J1310" s="20">
        <v>793.5676549416952</v>
      </c>
      <c r="K1310" s="20">
        <v>10.078309217759529</v>
      </c>
      <c r="L1310" s="20">
        <f t="shared" si="46"/>
        <v>793.56605780655946</v>
      </c>
      <c r="M1310" s="20">
        <f t="shared" si="47"/>
        <v>-10.078288934183618</v>
      </c>
    </row>
    <row r="1311" spans="1:13" x14ac:dyDescent="0.2">
      <c r="A1311" s="23">
        <v>321</v>
      </c>
      <c r="B1311" s="20">
        <v>790.86559849289995</v>
      </c>
      <c r="C1311" s="20">
        <v>71.550361596693904</v>
      </c>
      <c r="D1311" s="20">
        <v>334.52035612380803</v>
      </c>
      <c r="E1311" s="20">
        <v>-0.31601686706894699</v>
      </c>
      <c r="F1311" s="20">
        <v>-1.22055601001183</v>
      </c>
      <c r="G1311" s="20">
        <v>1.26080277357249</v>
      </c>
      <c r="H1311" s="20">
        <v>8.9546381413026198E-3</v>
      </c>
      <c r="I1311" s="20">
        <v>134.601342283874</v>
      </c>
      <c r="J1311" s="20">
        <v>794.09721531775358</v>
      </c>
      <c r="K1311" s="20">
        <v>10.085034634535472</v>
      </c>
      <c r="L1311" s="20">
        <f t="shared" si="46"/>
        <v>794.09561711682454</v>
      </c>
      <c r="M1311" s="20">
        <f t="shared" si="47"/>
        <v>-10.085014337424012</v>
      </c>
    </row>
    <row r="1312" spans="1:13" x14ac:dyDescent="0.2">
      <c r="A1312" s="23">
        <v>321.25</v>
      </c>
      <c r="B1312" s="20">
        <v>791.38764351018096</v>
      </c>
      <c r="C1312" s="20">
        <v>71.651403993332295</v>
      </c>
      <c r="D1312" s="20">
        <v>334.49304836601698</v>
      </c>
      <c r="E1312" s="20">
        <v>-0.31611071030254101</v>
      </c>
      <c r="F1312" s="20">
        <v>-1.2192326118183801</v>
      </c>
      <c r="G1312" s="20">
        <v>1.2595452127214199</v>
      </c>
      <c r="H1312" s="20">
        <v>8.9593925109408695E-3</v>
      </c>
      <c r="I1312" s="20">
        <v>134.657406685898</v>
      </c>
      <c r="J1312" s="20">
        <v>794.62624398465846</v>
      </c>
      <c r="K1312" s="20">
        <v>10.091753298605163</v>
      </c>
      <c r="L1312" s="20">
        <f t="shared" si="46"/>
        <v>794.62464471901012</v>
      </c>
      <c r="M1312" s="20">
        <f t="shared" si="47"/>
        <v>-10.091732987971795</v>
      </c>
    </row>
    <row r="1313" spans="1:13" x14ac:dyDescent="0.2">
      <c r="A1313" s="23">
        <v>321.5</v>
      </c>
      <c r="B1313" s="20">
        <v>791.909153153425</v>
      </c>
      <c r="C1313" s="20">
        <v>71.752419082658804</v>
      </c>
      <c r="D1313" s="20">
        <v>334.46573578696001</v>
      </c>
      <c r="E1313" s="20">
        <v>-0.31620369636285101</v>
      </c>
      <c r="F1313" s="20">
        <v>-1.2179084465788901</v>
      </c>
      <c r="G1313" s="20">
        <v>1.2582868360758399</v>
      </c>
      <c r="H1313" s="20">
        <v>8.9641549417535799E-3</v>
      </c>
      <c r="I1313" s="20">
        <v>134.71337617032299</v>
      </c>
      <c r="J1313" s="20">
        <v>795.15474060631493</v>
      </c>
      <c r="K1313" s="20">
        <v>10.098465205700201</v>
      </c>
      <c r="L1313" s="20">
        <f t="shared" si="46"/>
        <v>795.15314027700867</v>
      </c>
      <c r="M1313" s="20">
        <f t="shared" si="47"/>
        <v>-10.098444881558404</v>
      </c>
    </row>
    <row r="1314" spans="1:13" x14ac:dyDescent="0.2">
      <c r="A1314" s="23">
        <v>321.75</v>
      </c>
      <c r="B1314" s="20">
        <v>792.43012711043605</v>
      </c>
      <c r="C1314" s="20">
        <v>71.853406608636107</v>
      </c>
      <c r="D1314" s="20">
        <v>334.43841836381</v>
      </c>
      <c r="E1314" s="20">
        <v>-0.31629582173688198</v>
      </c>
      <c r="F1314" s="20">
        <v>-1.2165835134612699</v>
      </c>
      <c r="G1314" s="20">
        <v>1.2570276417302699</v>
      </c>
      <c r="H1314" s="20">
        <v>8.9689256330149902E-3</v>
      </c>
      <c r="I1314" s="20">
        <v>134.76924940751499</v>
      </c>
      <c r="J1314" s="20">
        <v>795.68270484572815</v>
      </c>
      <c r="K1314" s="20">
        <v>10.10517035154075</v>
      </c>
      <c r="L1314" s="20">
        <f t="shared" si="46"/>
        <v>795.68110345384468</v>
      </c>
      <c r="M1314" s="20">
        <f t="shared" si="47"/>
        <v>-10.105150013904248</v>
      </c>
    </row>
    <row r="1315" spans="1:13" x14ac:dyDescent="0.2">
      <c r="A1315" s="23">
        <v>322</v>
      </c>
      <c r="B1315" s="20">
        <v>792.95056506808896</v>
      </c>
      <c r="C1315" s="20">
        <v>71.954366315985297</v>
      </c>
      <c r="D1315" s="20">
        <v>334.411096073973</v>
      </c>
      <c r="E1315" s="20">
        <v>-0.31638708284379402</v>
      </c>
      <c r="F1315" s="20">
        <v>-1.2152578116052699</v>
      </c>
      <c r="G1315" s="20">
        <v>1.2557676277313601</v>
      </c>
      <c r="H1315" s="20">
        <v>8.9737047868051895E-3</v>
      </c>
      <c r="I1315" s="20">
        <v>134.825025047688</v>
      </c>
      <c r="J1315" s="20">
        <v>796.21013636504256</v>
      </c>
      <c r="K1315" s="20">
        <v>10.11186873183604</v>
      </c>
      <c r="L1315" s="20">
        <f t="shared" si="46"/>
        <v>796.20853391164849</v>
      </c>
      <c r="M1315" s="20">
        <f t="shared" si="47"/>
        <v>-10.111848380718383</v>
      </c>
    </row>
    <row r="1316" spans="1:13" x14ac:dyDescent="0.2">
      <c r="A1316" s="23">
        <v>322.25</v>
      </c>
      <c r="B1316" s="20">
        <v>793.47046671231305</v>
      </c>
      <c r="C1316" s="20">
        <v>72.055297950202203</v>
      </c>
      <c r="D1316" s="20">
        <v>334.383768895103</v>
      </c>
      <c r="E1316" s="20">
        <v>-0.31647747603371101</v>
      </c>
      <c r="F1316" s="20">
        <v>-1.2139313401223</v>
      </c>
      <c r="G1316" s="20">
        <v>1.25450679207719</v>
      </c>
      <c r="H1316" s="20">
        <v>8.9784926080698404E-3</v>
      </c>
      <c r="I1316" s="20">
        <v>134.88070172053301</v>
      </c>
      <c r="J1316" s="20">
        <v>796.73703482547137</v>
      </c>
      <c r="K1316" s="20">
        <v>10.118560342283486</v>
      </c>
      <c r="L1316" s="20">
        <f t="shared" si="46"/>
        <v>796.73543131164206</v>
      </c>
      <c r="M1316" s="20">
        <f t="shared" si="47"/>
        <v>-10.11853997769833</v>
      </c>
    </row>
    <row r="1317" spans="1:13" x14ac:dyDescent="0.2">
      <c r="A1317" s="23">
        <v>322.5</v>
      </c>
      <c r="B1317" s="20">
        <v>793.98983172805799</v>
      </c>
      <c r="C1317" s="20">
        <v>72.1562012575734</v>
      </c>
      <c r="D1317" s="20">
        <v>334.356436805111</v>
      </c>
      <c r="E1317" s="20">
        <v>-0.31656699758651302</v>
      </c>
      <c r="F1317" s="20">
        <v>-1.2126040980950199</v>
      </c>
      <c r="G1317" s="20">
        <v>1.2532451327165699</v>
      </c>
      <c r="H1317" s="20">
        <v>8.9832893046809699E-3</v>
      </c>
      <c r="I1317" s="20">
        <v>134.93627803484</v>
      </c>
      <c r="J1317" s="20">
        <v>797.26339988729694</v>
      </c>
      <c r="K1317" s="20">
        <v>10.125245178568672</v>
      </c>
      <c r="L1317" s="20">
        <f t="shared" si="46"/>
        <v>797.26179531410719</v>
      </c>
      <c r="M1317" s="20">
        <f t="shared" si="47"/>
        <v>-10.125224800529663</v>
      </c>
    </row>
    <row r="1318" spans="1:13" x14ac:dyDescent="0.2">
      <c r="A1318" s="23">
        <v>322.75</v>
      </c>
      <c r="B1318" s="20">
        <v>794.50865979927801</v>
      </c>
      <c r="C1318" s="20">
        <v>72.257075985192202</v>
      </c>
      <c r="D1318" s="20">
        <v>334.32909978217901</v>
      </c>
      <c r="E1318" s="20">
        <v>-0.31665564371059801</v>
      </c>
      <c r="F1318" s="20">
        <v>-1.21127608457711</v>
      </c>
      <c r="G1318" s="20">
        <v>1.25198264754837</v>
      </c>
      <c r="H1318" s="20">
        <v>8.9880950874997503E-3</v>
      </c>
      <c r="I1318" s="20">
        <v>134.99175257810501</v>
      </c>
      <c r="J1318" s="20">
        <v>797.78923120985451</v>
      </c>
      <c r="K1318" s="20">
        <v>10.131923236365154</v>
      </c>
      <c r="L1318" s="20">
        <f t="shared" si="46"/>
        <v>797.78762557837081</v>
      </c>
      <c r="M1318" s="20">
        <f t="shared" si="47"/>
        <v>-10.131902844885838</v>
      </c>
    </row>
    <row r="1319" spans="1:13" x14ac:dyDescent="0.2">
      <c r="A1319" s="23">
        <v>323</v>
      </c>
      <c r="B1319" s="20">
        <v>795.02695060889596</v>
      </c>
      <c r="C1319" s="20">
        <v>72.357921880975894</v>
      </c>
      <c r="D1319" s="20">
        <v>334.30175780476702</v>
      </c>
      <c r="E1319" s="20">
        <v>-0.31674341054163002</v>
      </c>
      <c r="F1319" s="20">
        <v>-1.2099472985929001</v>
      </c>
      <c r="G1319" s="20">
        <v>1.2507193344207199</v>
      </c>
      <c r="H1319" s="20">
        <v>8.9929101704404203E-3</v>
      </c>
      <c r="I1319" s="20">
        <v>135.04712391614001</v>
      </c>
      <c r="J1319" s="20">
        <v>798.31452845146987</v>
      </c>
      <c r="K1319" s="20">
        <v>10.138594511333668</v>
      </c>
      <c r="L1319" s="20">
        <f t="shared" si="46"/>
        <v>798.31292176277168</v>
      </c>
      <c r="M1319" s="20">
        <f t="shared" si="47"/>
        <v>-10.138574106427754</v>
      </c>
    </row>
    <row r="1320" spans="1:13" x14ac:dyDescent="0.2">
      <c r="A1320" s="23">
        <v>323.25</v>
      </c>
      <c r="B1320" s="20">
        <v>795.544703838788</v>
      </c>
      <c r="C1320" s="20">
        <v>72.458738693682307</v>
      </c>
      <c r="D1320" s="20">
        <v>334.27441085163002</v>
      </c>
      <c r="E1320" s="20">
        <v>-0.31683029414124703</v>
      </c>
      <c r="F1320" s="20">
        <v>-1.20861773913712</v>
      </c>
      <c r="G1320" s="20">
        <v>1.24945519113034</v>
      </c>
      <c r="H1320" s="20">
        <v>8.9977347705362497E-3</v>
      </c>
      <c r="I1320" s="20">
        <v>135.102390592662</v>
      </c>
      <c r="J1320" s="20">
        <v>798.83929126948317</v>
      </c>
      <c r="K1320" s="20">
        <v>10.145258999122436</v>
      </c>
      <c r="L1320" s="20">
        <f t="shared" si="46"/>
        <v>798.8376835246471</v>
      </c>
      <c r="M1320" s="20">
        <f t="shared" si="47"/>
        <v>-10.1452385808036</v>
      </c>
    </row>
    <row r="1321" spans="1:13" x14ac:dyDescent="0.2">
      <c r="A1321" s="23">
        <v>323.5</v>
      </c>
      <c r="B1321" s="20">
        <v>796.06191916975001</v>
      </c>
      <c r="C1321" s="20">
        <v>72.559526172926695</v>
      </c>
      <c r="D1321" s="20">
        <v>334.24705890182599</v>
      </c>
      <c r="E1321" s="20">
        <v>-0.31691629049576098</v>
      </c>
      <c r="F1321" s="20">
        <v>-1.2072874051745</v>
      </c>
      <c r="G1321" s="20">
        <v>1.2481902154217399</v>
      </c>
      <c r="H1321" s="20">
        <v>9.0025691080066802E-3</v>
      </c>
      <c r="I1321" s="20">
        <v>135.15755112888399</v>
      </c>
      <c r="J1321" s="20">
        <v>799.36351932019397</v>
      </c>
      <c r="K1321" s="20">
        <v>10.151916695366465</v>
      </c>
      <c r="L1321" s="20">
        <f t="shared" si="46"/>
        <v>799.36191052030074</v>
      </c>
      <c r="M1321" s="20">
        <f t="shared" si="47"/>
        <v>-10.151896263648426</v>
      </c>
    </row>
    <row r="1322" spans="1:13" x14ac:dyDescent="0.2">
      <c r="A1322" s="23">
        <v>323.75</v>
      </c>
      <c r="B1322" s="20">
        <v>796.57859628147298</v>
      </c>
      <c r="C1322" s="20">
        <v>72.660284069200102</v>
      </c>
      <c r="D1322" s="20">
        <v>334.21970193473101</v>
      </c>
      <c r="E1322" s="20">
        <v>-0.31700139551481799</v>
      </c>
      <c r="F1322" s="20">
        <v>-1.2059562956395</v>
      </c>
      <c r="G1322" s="20">
        <v>1.2469244049864801</v>
      </c>
      <c r="H1322" s="20">
        <v>9.00741340632682E-3</v>
      </c>
      <c r="I1322" s="20">
        <v>135.21260402308801</v>
      </c>
      <c r="J1322" s="20">
        <v>799.8872122588607</v>
      </c>
      <c r="K1322" s="20">
        <v>10.158567595687531</v>
      </c>
      <c r="L1322" s="20">
        <f t="shared" si="46"/>
        <v>799.88560240498066</v>
      </c>
      <c r="M1322" s="20">
        <f t="shared" si="47"/>
        <v>-10.158547150583889</v>
      </c>
    </row>
    <row r="1323" spans="1:13" x14ac:dyDescent="0.2">
      <c r="A1323" s="23">
        <v>324</v>
      </c>
      <c r="B1323" s="20">
        <v>797.09473485251704</v>
      </c>
      <c r="C1323" s="20">
        <v>72.761012133886098</v>
      </c>
      <c r="D1323" s="20">
        <v>334.192339930049</v>
      </c>
      <c r="E1323" s="20">
        <v>-0.31708560503004002</v>
      </c>
      <c r="F1323" s="20">
        <v>-1.2046244094359499</v>
      </c>
      <c r="G1323" s="20">
        <v>1.24565775746237</v>
      </c>
      <c r="H1323" s="20">
        <v>9.0122678922980107E-3</v>
      </c>
      <c r="I1323" s="20">
        <v>135.26754775019501</v>
      </c>
      <c r="J1323" s="20">
        <v>800.41036973964651</v>
      </c>
      <c r="K1323" s="20">
        <v>10.165211695693511</v>
      </c>
      <c r="L1323" s="20">
        <f t="shared" si="46"/>
        <v>800.40875883285526</v>
      </c>
      <c r="M1323" s="20">
        <f t="shared" si="47"/>
        <v>-10.165191237217924</v>
      </c>
    </row>
    <row r="1324" spans="1:13" x14ac:dyDescent="0.2">
      <c r="A1324" s="23">
        <v>324.25</v>
      </c>
      <c r="B1324" s="20">
        <v>797.61033456028497</v>
      </c>
      <c r="C1324" s="20">
        <v>72.861710119279607</v>
      </c>
      <c r="D1324" s="20">
        <v>334.164972867828</v>
      </c>
      <c r="E1324" s="20">
        <v>-0.31716891479363601</v>
      </c>
      <c r="F1324" s="20">
        <v>-1.20329174543673</v>
      </c>
      <c r="G1324" s="20">
        <v>1.2443902704326899</v>
      </c>
      <c r="H1324" s="20">
        <v>9.0171327961208903E-3</v>
      </c>
      <c r="I1324" s="20">
        <v>135.322380761321</v>
      </c>
      <c r="J1324" s="20">
        <v>800.93299141560374</v>
      </c>
      <c r="K1324" s="20">
        <v>10.171848990978168</v>
      </c>
      <c r="L1324" s="20">
        <f t="shared" si="46"/>
        <v>800.93137945698925</v>
      </c>
      <c r="M1324" s="20">
        <f t="shared" si="47"/>
        <v>-10.17182851914445</v>
      </c>
    </row>
    <row r="1325" spans="1:13" x14ac:dyDescent="0.2">
      <c r="A1325" s="23">
        <v>324.5</v>
      </c>
      <c r="B1325" s="20">
        <v>798.12539508098803</v>
      </c>
      <c r="C1325" s="20">
        <v>72.962377778604903</v>
      </c>
      <c r="D1325" s="20">
        <v>334.13760072846799</v>
      </c>
      <c r="E1325" s="20">
        <v>-0.31725132047698701</v>
      </c>
      <c r="F1325" s="20">
        <v>-1.20195830248338</v>
      </c>
      <c r="G1325" s="20">
        <v>1.24312194142534</v>
      </c>
      <c r="H1325" s="20">
        <v>9.0220083514699102E-3</v>
      </c>
      <c r="I1325" s="20">
        <v>135.37710148332499</v>
      </c>
      <c r="J1325" s="20">
        <v>801.45507693868115</v>
      </c>
      <c r="K1325" s="20">
        <v>10.17847947712125</v>
      </c>
      <c r="L1325" s="20">
        <f t="shared" si="46"/>
        <v>801.45346392931083</v>
      </c>
      <c r="M1325" s="20">
        <f t="shared" si="47"/>
        <v>-10.178458991942961</v>
      </c>
    </row>
    <row r="1326" spans="1:13" x14ac:dyDescent="0.2">
      <c r="A1326" s="23">
        <v>324.75</v>
      </c>
      <c r="B1326" s="20">
        <v>798.63991608962795</v>
      </c>
      <c r="C1326" s="20">
        <v>73.063014866034294</v>
      </c>
      <c r="D1326" s="20">
        <v>334.11022349273998</v>
      </c>
      <c r="E1326" s="20">
        <v>-0.31733281766920002</v>
      </c>
      <c r="F1326" s="20">
        <v>-1.2006240793857901</v>
      </c>
      <c r="G1326" s="20">
        <v>1.2418527679120701</v>
      </c>
      <c r="H1326" s="20">
        <v>9.0268947955700098E-3</v>
      </c>
      <c r="I1326" s="20">
        <v>135.431708318348</v>
      </c>
      <c r="J1326" s="20">
        <v>801.9766259596305</v>
      </c>
      <c r="K1326" s="20">
        <v>10.185103149687308</v>
      </c>
      <c r="L1326" s="20">
        <f t="shared" si="46"/>
        <v>801.97501190059677</v>
      </c>
      <c r="M1326" s="20">
        <f t="shared" si="47"/>
        <v>-10.18508265117832</v>
      </c>
    </row>
    <row r="1327" spans="1:13" x14ac:dyDescent="0.2">
      <c r="A1327" s="23">
        <v>325</v>
      </c>
      <c r="B1327" s="20">
        <v>799.15389725995703</v>
      </c>
      <c r="C1327" s="20">
        <v>73.163621136707206</v>
      </c>
      <c r="D1327" s="20">
        <v>334.08284114179298</v>
      </c>
      <c r="E1327" s="20">
        <v>-0.31741340187563599</v>
      </c>
      <c r="F1327" s="20">
        <v>-1.1992890749218501</v>
      </c>
      <c r="G1327" s="20">
        <v>1.2405827473075599</v>
      </c>
      <c r="H1327" s="20">
        <v>9.03179236927526E-3</v>
      </c>
      <c r="I1327" s="20">
        <v>135.486199643341</v>
      </c>
      <c r="J1327" s="20">
        <v>802.49763812806066</v>
      </c>
      <c r="K1327" s="20">
        <v>10.19172000422637</v>
      </c>
      <c r="L1327" s="20">
        <f t="shared" si="46"/>
        <v>802.49602302043445</v>
      </c>
      <c r="M1327" s="20">
        <f t="shared" si="47"/>
        <v>-10.191699492400284</v>
      </c>
    </row>
    <row r="1328" spans="1:13" x14ac:dyDescent="0.2">
      <c r="A1328" s="23">
        <v>325.25</v>
      </c>
      <c r="B1328" s="20">
        <v>799.66733826445795</v>
      </c>
      <c r="C1328" s="20">
        <v>73.2641963467496</v>
      </c>
      <c r="D1328" s="20">
        <v>334.05545365717302</v>
      </c>
      <c r="E1328" s="20">
        <v>-0.31749306851640702</v>
      </c>
      <c r="F1328" s="20">
        <v>-1.19795328783703</v>
      </c>
      <c r="G1328" s="20">
        <v>1.23931187696863</v>
      </c>
      <c r="H1328" s="20">
        <v>9.0367013171495092E-3</v>
      </c>
      <c r="I1328" s="20">
        <v>135.54057380957599</v>
      </c>
      <c r="J1328" s="20">
        <v>803.01811309233688</v>
      </c>
      <c r="K1328" s="20">
        <v>10.198330036272679</v>
      </c>
      <c r="L1328" s="20">
        <f t="shared" si="46"/>
        <v>803.01649693720367</v>
      </c>
      <c r="M1328" s="20">
        <f t="shared" si="47"/>
        <v>-10.198309511143281</v>
      </c>
    </row>
    <row r="1329" spans="1:13" x14ac:dyDescent="0.2">
      <c r="A1329" s="23">
        <v>325.5</v>
      </c>
      <c r="B1329" s="20">
        <v>800.18023877430903</v>
      </c>
      <c r="C1329" s="20">
        <v>73.364740253293405</v>
      </c>
      <c r="D1329" s="20">
        <v>334.028061020834</v>
      </c>
      <c r="E1329" s="20">
        <v>-0.31757181292484099</v>
      </c>
      <c r="F1329" s="20">
        <v>-1.19661671684405</v>
      </c>
      <c r="G1329" s="20">
        <v>1.2380401541933199</v>
      </c>
      <c r="H1329" s="20">
        <v>9.0416218875494208E-3</v>
      </c>
      <c r="I1329" s="20">
        <v>135.59482914216099</v>
      </c>
      <c r="J1329" s="20">
        <v>803.53805049960386</v>
      </c>
      <c r="K1329" s="20">
        <v>10.204933241344969</v>
      </c>
      <c r="L1329" s="20">
        <f t="shared" si="46"/>
        <v>803.53643329804504</v>
      </c>
      <c r="M1329" s="20">
        <f t="shared" si="47"/>
        <v>-10.204912702925991</v>
      </c>
    </row>
    <row r="1330" spans="1:13" x14ac:dyDescent="0.2">
      <c r="A1330" s="23">
        <v>325.75</v>
      </c>
      <c r="B1330" s="20">
        <v>800.69259845935505</v>
      </c>
      <c r="C1330" s="20">
        <v>73.465252614496507</v>
      </c>
      <c r="D1330" s="20">
        <v>334.00066321515197</v>
      </c>
      <c r="E1330" s="20">
        <v>-0.31764963034591798</v>
      </c>
      <c r="F1330" s="20">
        <v>-1.19527936062252</v>
      </c>
      <c r="G1330" s="20">
        <v>1.2367675762199899</v>
      </c>
      <c r="H1330" s="20">
        <v>9.0465543327094694E-3</v>
      </c>
      <c r="I1330" s="20">
        <v>135.64896393952401</v>
      </c>
      <c r="J1330" s="20">
        <v>804.05744999573801</v>
      </c>
      <c r="K1330" s="20">
        <v>10.211529614945873</v>
      </c>
      <c r="L1330" s="20">
        <f t="shared" si="46"/>
        <v>804.05583174883191</v>
      </c>
      <c r="M1330" s="20">
        <f t="shared" si="47"/>
        <v>-10.211509063251011</v>
      </c>
    </row>
    <row r="1331" spans="1:13" x14ac:dyDescent="0.2">
      <c r="A1331" s="23">
        <v>326</v>
      </c>
      <c r="B1331" s="20">
        <v>801.20441698807701</v>
      </c>
      <c r="C1331" s="20">
        <v>73.565733189563403</v>
      </c>
      <c r="D1331" s="20">
        <v>333.97326022293998</v>
      </c>
      <c r="E1331" s="20">
        <v>-0.31772651593467199</v>
      </c>
      <c r="F1331" s="20">
        <v>-1.1939412178185</v>
      </c>
      <c r="G1331" s="20">
        <v>1.2354941402264501</v>
      </c>
      <c r="H1331" s="20">
        <v>9.0514989088293103E-3</v>
      </c>
      <c r="I1331" s="20">
        <v>135.702976472903</v>
      </c>
      <c r="J1331" s="20">
        <v>804.57631122530961</v>
      </c>
      <c r="K1331" s="20">
        <v>10.218119152561432</v>
      </c>
      <c r="L1331" s="20">
        <f t="shared" si="46"/>
        <v>804.57469193414374</v>
      </c>
      <c r="M1331" s="20">
        <f t="shared" si="47"/>
        <v>-10.2180985876045</v>
      </c>
    </row>
    <row r="1332" spans="1:13" x14ac:dyDescent="0.2">
      <c r="A1332" s="23">
        <v>326.25</v>
      </c>
      <c r="B1332" s="20">
        <v>801.71569402756302</v>
      </c>
      <c r="C1332" s="20">
        <v>73.666181738765502</v>
      </c>
      <c r="D1332" s="20">
        <v>333.94585202746299</v>
      </c>
      <c r="E1332" s="20">
        <v>-0.31780246475456098</v>
      </c>
      <c r="F1332" s="20">
        <v>-1.1926022870441499</v>
      </c>
      <c r="G1332" s="20">
        <v>1.2342198433289799</v>
      </c>
      <c r="H1332" s="20">
        <v>9.0564558761636604E-3</v>
      </c>
      <c r="I1332" s="20">
        <v>135.75686498581601</v>
      </c>
      <c r="J1332" s="20">
        <v>805.0946338315822</v>
      </c>
      <c r="K1332" s="20">
        <v>10.224701849661095</v>
      </c>
      <c r="L1332" s="20">
        <f t="shared" si="46"/>
        <v>805.09301349723921</v>
      </c>
      <c r="M1332" s="20">
        <f t="shared" si="47"/>
        <v>-10.224681271455836</v>
      </c>
    </row>
    <row r="1333" spans="1:13" x14ac:dyDescent="0.2">
      <c r="A1333" s="23">
        <v>326.5</v>
      </c>
      <c r="B1333" s="20">
        <v>802.22642924347304</v>
      </c>
      <c r="C1333" s="20">
        <v>73.766598023462393</v>
      </c>
      <c r="D1333" s="20">
        <v>333.91843861245098</v>
      </c>
      <c r="E1333" s="20">
        <v>-0.317877471775805</v>
      </c>
      <c r="F1333" s="20">
        <v>-1.19126256687732</v>
      </c>
      <c r="G1333" s="20">
        <v>1.2329446825813899</v>
      </c>
      <c r="H1333" s="20">
        <v>9.0614254991143901E-3</v>
      </c>
      <c r="I1333" s="20">
        <v>135.81062769351399</v>
      </c>
      <c r="J1333" s="20">
        <v>805.61241745645782</v>
      </c>
      <c r="K1333" s="20">
        <v>10.231277701697016</v>
      </c>
      <c r="L1333" s="20">
        <f t="shared" si="46"/>
        <v>805.61079608002285</v>
      </c>
      <c r="M1333" s="20">
        <f t="shared" si="47"/>
        <v>-10.231257110257214</v>
      </c>
    </row>
    <row r="1334" spans="1:13" x14ac:dyDescent="0.2">
      <c r="A1334" s="23">
        <v>326.75</v>
      </c>
      <c r="B1334" s="20">
        <v>802.736622300009</v>
      </c>
      <c r="C1334" s="20">
        <v>73.866981806123405</v>
      </c>
      <c r="D1334" s="20">
        <v>333.89101996211701</v>
      </c>
      <c r="E1334" s="20">
        <v>-0.31795153187368402</v>
      </c>
      <c r="F1334" s="20">
        <v>-1.1899220558611501</v>
      </c>
      <c r="G1334" s="20">
        <v>1.2316686549740801</v>
      </c>
      <c r="H1334" s="20">
        <v>9.0664080463253392E-3</v>
      </c>
      <c r="I1334" s="20">
        <v>135.86426278243599</v>
      </c>
      <c r="J1334" s="20">
        <v>806.12966174046062</v>
      </c>
      <c r="K1334" s="20">
        <v>10.23784670410385</v>
      </c>
      <c r="L1334" s="20">
        <f t="shared" si="46"/>
        <v>806.12803932301813</v>
      </c>
      <c r="M1334" s="20">
        <f t="shared" si="47"/>
        <v>-10.237826099443282</v>
      </c>
    </row>
    <row r="1335" spans="1:13" x14ac:dyDescent="0.2">
      <c r="A1335" s="23">
        <v>327</v>
      </c>
      <c r="B1335" s="20">
        <v>803.24627285988095</v>
      </c>
      <c r="C1335" s="20">
        <v>73.967332850349095</v>
      </c>
      <c r="D1335" s="20">
        <v>333.86359606116798</v>
      </c>
      <c r="E1335" s="20">
        <v>-0.31802463982680801</v>
      </c>
      <c r="F1335" s="20">
        <v>-1.18858075250365</v>
      </c>
      <c r="G1335" s="20">
        <v>1.2303917574330201</v>
      </c>
      <c r="H1335" s="20">
        <v>9.0714037907796904E-3</v>
      </c>
      <c r="I1335" s="20">
        <v>135.91776840963399</v>
      </c>
      <c r="J1335" s="20">
        <v>806.64636632269946</v>
      </c>
      <c r="K1335" s="20">
        <v>10.244408852298283</v>
      </c>
      <c r="L1335" s="20">
        <f t="shared" si="46"/>
        <v>806.64474286533641</v>
      </c>
      <c r="M1335" s="20">
        <f t="shared" si="47"/>
        <v>-10.244388234430749</v>
      </c>
    </row>
    <row r="1336" spans="1:13" x14ac:dyDescent="0.2">
      <c r="A1336" s="23">
        <v>327.25</v>
      </c>
      <c r="B1336" s="20">
        <v>803.75538058427503</v>
      </c>
      <c r="C1336" s="20">
        <v>74.067650920893897</v>
      </c>
      <c r="D1336" s="20">
        <v>333.836166894825</v>
      </c>
      <c r="E1336" s="20">
        <v>-0.31809679031534499</v>
      </c>
      <c r="F1336" s="20">
        <v>-1.18723865527727</v>
      </c>
      <c r="G1336" s="20">
        <v>1.2291139868187599</v>
      </c>
      <c r="H1336" s="20">
        <v>9.0764130098998606E-3</v>
      </c>
      <c r="I1336" s="20">
        <v>135.97114270219799</v>
      </c>
      <c r="J1336" s="20">
        <v>807.16253084084292</v>
      </c>
      <c r="K1336" s="20">
        <v>10.250964141678706</v>
      </c>
      <c r="L1336" s="20">
        <f t="shared" si="46"/>
        <v>807.16090634464717</v>
      </c>
      <c r="M1336" s="20">
        <f t="shared" si="47"/>
        <v>-10.250943510618022</v>
      </c>
    </row>
    <row r="1337" spans="1:13" x14ac:dyDescent="0.2">
      <c r="A1337" s="23">
        <v>327.5</v>
      </c>
      <c r="B1337" s="20">
        <v>804.26394513282105</v>
      </c>
      <c r="C1337" s="20">
        <v>74.167935783688193</v>
      </c>
      <c r="D1337" s="20">
        <v>333.808732448836</v>
      </c>
      <c r="E1337" s="20">
        <v>-0.31816797791921803</v>
      </c>
      <c r="F1337" s="20">
        <v>-1.18589576261851</v>
      </c>
      <c r="G1337" s="20">
        <v>1.2278353399254101</v>
      </c>
      <c r="H1337" s="20">
        <v>9.0814359856506103E-3</v>
      </c>
      <c r="I1337" s="20">
        <v>136.02438375666301</v>
      </c>
      <c r="J1337" s="20">
        <v>807.6781549310889</v>
      </c>
      <c r="K1337" s="20">
        <v>10.257512567624829</v>
      </c>
      <c r="L1337" s="20">
        <f t="shared" si="46"/>
        <v>807.67652939714844</v>
      </c>
      <c r="M1337" s="20">
        <f t="shared" si="47"/>
        <v>-10.257491923384816</v>
      </c>
    </row>
    <row r="1338" spans="1:13" x14ac:dyDescent="0.2">
      <c r="A1338" s="23">
        <v>327.75</v>
      </c>
      <c r="B1338" s="20">
        <v>804.771966163554</v>
      </c>
      <c r="C1338" s="20">
        <v>74.268187205862006</v>
      </c>
      <c r="D1338" s="20">
        <v>333.78129270949302</v>
      </c>
      <c r="E1338" s="20">
        <v>-0.31823819711625401</v>
      </c>
      <c r="F1338" s="20">
        <v>-1.1845520729274199</v>
      </c>
      <c r="G1338" s="20">
        <v>1.22655581347954</v>
      </c>
      <c r="H1338" s="20">
        <v>9.08647300464447E-3</v>
      </c>
      <c r="I1338" s="20">
        <v>136.07748963839501</v>
      </c>
      <c r="J1338" s="20">
        <v>808.19323822813237</v>
      </c>
      <c r="K1338" s="20">
        <v>10.264054125497282</v>
      </c>
      <c r="L1338" s="20">
        <f t="shared" si="46"/>
        <v>808.1916116575311</v>
      </c>
      <c r="M1338" s="20">
        <f t="shared" si="47"/>
        <v>-10.264033468091702</v>
      </c>
    </row>
    <row r="1339" spans="1:13" x14ac:dyDescent="0.2">
      <c r="A1339" s="23">
        <v>328</v>
      </c>
      <c r="B1339" s="20">
        <v>805.27944333288497</v>
      </c>
      <c r="C1339" s="20">
        <v>74.368404955767801</v>
      </c>
      <c r="D1339" s="20">
        <v>333.753847663648</v>
      </c>
      <c r="E1339" s="20">
        <v>-0.318307442280305</v>
      </c>
      <c r="F1339" s="20">
        <v>-1.1832075845672301</v>
      </c>
      <c r="G1339" s="20">
        <v>1.22527540413919</v>
      </c>
      <c r="H1339" s="20">
        <v>9.0915243582506602E-3</v>
      </c>
      <c r="I1339" s="20">
        <v>136.13045838097901</v>
      </c>
      <c r="J1339" s="20">
        <v>808.70778036511956</v>
      </c>
      <c r="K1339" s="20">
        <v>10.270588810637019</v>
      </c>
      <c r="L1339" s="20">
        <f t="shared" si="46"/>
        <v>808.7061527589525</v>
      </c>
      <c r="M1339" s="20">
        <f t="shared" si="47"/>
        <v>-10.27056814007978</v>
      </c>
    </row>
    <row r="1340" spans="1:13" x14ac:dyDescent="0.2">
      <c r="A1340" s="23">
        <v>328.25</v>
      </c>
      <c r="B1340" s="20">
        <v>805.78637629555897</v>
      </c>
      <c r="C1340" s="20">
        <v>74.468588803004906</v>
      </c>
      <c r="D1340" s="20">
        <v>333.72639729873202</v>
      </c>
      <c r="E1340" s="20">
        <v>-0.31837570767932299</v>
      </c>
      <c r="F1340" s="20">
        <v>-1.1818622958638501</v>
      </c>
      <c r="G1340" s="20">
        <v>1.2239941084927199</v>
      </c>
      <c r="H1340" s="20">
        <v>9.0965903427067604E-3</v>
      </c>
      <c r="I1340" s="20">
        <v>136.183287985574</v>
      </c>
      <c r="J1340" s="20">
        <v>809.22178097363951</v>
      </c>
      <c r="K1340" s="20">
        <v>10.277116618365223</v>
      </c>
      <c r="L1340" s="20">
        <f t="shared" si="46"/>
        <v>809.22015233299715</v>
      </c>
      <c r="M1340" s="20">
        <f t="shared" si="47"/>
        <v>-10.277095934670172</v>
      </c>
    </row>
    <row r="1341" spans="1:13" x14ac:dyDescent="0.2">
      <c r="A1341" s="23">
        <v>328.5</v>
      </c>
      <c r="B1341" s="20">
        <v>806.29276470462503</v>
      </c>
      <c r="C1341" s="20">
        <v>74.568738518443396</v>
      </c>
      <c r="D1341" s="20">
        <v>333.69894160276903</v>
      </c>
      <c r="E1341" s="20">
        <v>-0.318442987473394</v>
      </c>
      <c r="F1341" s="20">
        <v>-1.1805162051054201</v>
      </c>
      <c r="G1341" s="20">
        <v>1.2227119230577099</v>
      </c>
      <c r="H1341" s="20">
        <v>9.1016712592336107E-3</v>
      </c>
      <c r="I1341" s="20">
        <v>136.235976420268</v>
      </c>
      <c r="J1341" s="20">
        <v>809.73523968368454</v>
      </c>
      <c r="K1341" s="20">
        <v>10.283637543982795</v>
      </c>
      <c r="L1341" s="20">
        <f t="shared" si="46"/>
        <v>809.73361000964985</v>
      </c>
      <c r="M1341" s="20">
        <f t="shared" si="47"/>
        <v>-10.283616847163687</v>
      </c>
    </row>
    <row r="1342" spans="1:13" x14ac:dyDescent="0.2">
      <c r="A1342" s="23">
        <v>328.75</v>
      </c>
      <c r="B1342" s="20">
        <v>806.79860821139903</v>
      </c>
      <c r="C1342" s="20">
        <v>74.668853874249294</v>
      </c>
      <c r="D1342" s="20">
        <v>333.67148056439299</v>
      </c>
      <c r="E1342" s="20">
        <v>-0.31850927571273402</v>
      </c>
      <c r="F1342" s="20">
        <v>-1.1791693105418399</v>
      </c>
      <c r="G1342" s="20">
        <v>1.22142884427983</v>
      </c>
      <c r="H1342" s="20">
        <v>9.1067674141536506E-3</v>
      </c>
      <c r="I1342" s="20">
        <v>136.288521619405</v>
      </c>
      <c r="J1342" s="20">
        <v>810.24815612358873</v>
      </c>
      <c r="K1342" s="20">
        <v>10.290151582769576</v>
      </c>
      <c r="L1342" s="20">
        <f t="shared" si="46"/>
        <v>810.2465254172613</v>
      </c>
      <c r="M1342" s="20">
        <f t="shared" si="47"/>
        <v>-10.290130872840379</v>
      </c>
    </row>
    <row r="1343" spans="1:13" x14ac:dyDescent="0.2">
      <c r="A1343" s="23">
        <v>329</v>
      </c>
      <c r="B1343" s="20">
        <v>807.30390646542105</v>
      </c>
      <c r="C1343" s="20">
        <v>74.768934643909503</v>
      </c>
      <c r="D1343" s="20">
        <v>333.64401417287002</v>
      </c>
      <c r="E1343" s="20">
        <v>-0.31857456633563702</v>
      </c>
      <c r="F1343" s="20">
        <v>-1.17782161038431</v>
      </c>
      <c r="G1343" s="20">
        <v>1.22014486853169</v>
      </c>
      <c r="H1343" s="20">
        <v>9.1118791190126103E-3</v>
      </c>
      <c r="I1343" s="20">
        <v>136.34092148290699</v>
      </c>
      <c r="J1343" s="20">
        <v>810.76052992004259</v>
      </c>
      <c r="K1343" s="20">
        <v>10.296658729984541</v>
      </c>
      <c r="L1343" s="20">
        <f t="shared" si="46"/>
        <v>810.75889818250801</v>
      </c>
      <c r="M1343" s="20">
        <f t="shared" si="47"/>
        <v>-10.296638006959039</v>
      </c>
    </row>
    <row r="1344" spans="1:13" x14ac:dyDescent="0.2">
      <c r="A1344" s="23">
        <v>329.25</v>
      </c>
      <c r="B1344" s="20">
        <v>807.80865911442402</v>
      </c>
      <c r="C1344" s="20">
        <v>74.868980602257693</v>
      </c>
      <c r="D1344" s="20">
        <v>333.61654241810999</v>
      </c>
      <c r="E1344" s="20">
        <v>-0.31863885316638202</v>
      </c>
      <c r="F1344" s="20">
        <v>-1.1764731028048201</v>
      </c>
      <c r="G1344" s="20">
        <v>1.2188599921116401</v>
      </c>
      <c r="H1344" s="20">
        <v>9.1170066907045599E-3</v>
      </c>
      <c r="I1344" s="20">
        <v>136.39317387557301</v>
      </c>
      <c r="J1344" s="20">
        <v>811.27236069800756</v>
      </c>
      <c r="K1344" s="20">
        <v>10.303158980864696</v>
      </c>
      <c r="L1344" s="20">
        <f t="shared" si="46"/>
        <v>811.27072793036541</v>
      </c>
      <c r="M1344" s="20">
        <f t="shared" si="47"/>
        <v>-10.303138244756854</v>
      </c>
    </row>
    <row r="1345" spans="1:13" x14ac:dyDescent="0.2">
      <c r="A1345" s="23">
        <v>329.5</v>
      </c>
      <c r="B1345" s="20">
        <v>808.31286580429298</v>
      </c>
      <c r="C1345" s="20">
        <v>74.9689915255003</v>
      </c>
      <c r="D1345" s="20">
        <v>333.589065290691</v>
      </c>
      <c r="E1345" s="20">
        <v>-0.31870212991309399</v>
      </c>
      <c r="F1345" s="20">
        <v>-1.17512378593568</v>
      </c>
      <c r="G1345" s="20">
        <v>1.21757421124256</v>
      </c>
      <c r="H1345" s="20">
        <v>9.12215045160065E-3</v>
      </c>
      <c r="I1345" s="20">
        <v>136.44527662636199</v>
      </c>
      <c r="J1345" s="20">
        <v>811.7836480807315</v>
      </c>
      <c r="K1345" s="20">
        <v>10.309652330625291</v>
      </c>
      <c r="L1345" s="20">
        <f t="shared" si="46"/>
        <v>811.78201428406851</v>
      </c>
      <c r="M1345" s="20">
        <f t="shared" si="47"/>
        <v>-10.30963158144891</v>
      </c>
    </row>
    <row r="1346" spans="1:13" x14ac:dyDescent="0.2">
      <c r="A1346" s="23">
        <v>329.75</v>
      </c>
      <c r="B1346" s="20">
        <v>808.81652617902398</v>
      </c>
      <c r="C1346" s="20">
        <v>75.068967191243701</v>
      </c>
      <c r="D1346" s="20">
        <v>333.56158278187303</v>
      </c>
      <c r="E1346" s="20">
        <v>-0.31876439016556102</v>
      </c>
      <c r="F1346" s="20">
        <v>-1.1737736578689899</v>
      </c>
      <c r="G1346" s="20">
        <v>1.2162875220706499</v>
      </c>
      <c r="H1346" s="20">
        <v>9.1273107296819707E-3</v>
      </c>
      <c r="I1346" s="20">
        <v>136.49722752766101</v>
      </c>
      <c r="J1346" s="20">
        <v>812.29439168965439</v>
      </c>
      <c r="K1346" s="20">
        <v>10.316138774458611</v>
      </c>
      <c r="L1346" s="20">
        <f t="shared" si="46"/>
        <v>812.29275686507503</v>
      </c>
      <c r="M1346" s="20">
        <f t="shared" si="47"/>
        <v>-10.316118012227719</v>
      </c>
    </row>
    <row r="1347" spans="1:13" x14ac:dyDescent="0.2">
      <c r="A1347" s="23">
        <v>330</v>
      </c>
      <c r="B1347" s="20">
        <v>809.31963988068696</v>
      </c>
      <c r="C1347" s="20">
        <v>75.1689073785208</v>
      </c>
      <c r="D1347" s="20">
        <v>333.53409488362001</v>
      </c>
      <c r="E1347" s="20">
        <v>-0.31882562739299602</v>
      </c>
      <c r="F1347" s="20">
        <v>-1.1724227166561301</v>
      </c>
      <c r="G1347" s="20">
        <v>1.21499992066415</v>
      </c>
      <c r="H1347" s="20">
        <v>9.1324878586756895E-3</v>
      </c>
      <c r="I1347" s="20">
        <v>136.54902433453299</v>
      </c>
      <c r="J1347" s="20">
        <v>812.80459114444068</v>
      </c>
      <c r="K1347" s="20">
        <v>10.322618307534396</v>
      </c>
      <c r="L1347" s="20">
        <f t="shared" si="46"/>
        <v>812.80295529303135</v>
      </c>
      <c r="M1347" s="20">
        <f t="shared" si="47"/>
        <v>-10.32259753226279</v>
      </c>
    </row>
    <row r="1348" spans="1:13" x14ac:dyDescent="0.2">
      <c r="A1348" s="23">
        <v>330.25</v>
      </c>
      <c r="B1348" s="20">
        <v>809.82220654938703</v>
      </c>
      <c r="C1348" s="20">
        <v>75.268811867819295</v>
      </c>
      <c r="D1348" s="20">
        <v>333.50660158861598</v>
      </c>
      <c r="E1348" s="20">
        <v>-0.31888583494176198</v>
      </c>
      <c r="F1348" s="20">
        <v>-1.17107096030728</v>
      </c>
      <c r="G1348" s="20">
        <v>1.2137114030120599</v>
      </c>
      <c r="H1348" s="20">
        <v>9.1376821781956798E-3</v>
      </c>
      <c r="I1348" s="20">
        <v>136.600664763949</v>
      </c>
      <c r="J1348" s="20">
        <v>813.31424606288374</v>
      </c>
      <c r="K1348" s="20">
        <v>10.329090924998624</v>
      </c>
      <c r="L1348" s="20">
        <f t="shared" si="46"/>
        <v>813.31260918573685</v>
      </c>
      <c r="M1348" s="20">
        <f t="shared" si="47"/>
        <v>-10.329070136700174</v>
      </c>
    </row>
    <row r="1349" spans="1:13" x14ac:dyDescent="0.2">
      <c r="A1349" s="23">
        <v>330.5</v>
      </c>
      <c r="B1349" s="20">
        <v>810.32422582321703</v>
      </c>
      <c r="C1349" s="20">
        <v>75.368680441109802</v>
      </c>
      <c r="D1349" s="20">
        <v>333.47910289029102</v>
      </c>
      <c r="E1349" s="20">
        <v>-0.318945006033034</v>
      </c>
      <c r="F1349" s="20">
        <v>-1.1697183867908001</v>
      </c>
      <c r="G1349" s="20">
        <v>1.21242196502286</v>
      </c>
      <c r="H1349" s="20">
        <v>9.1428940338872406E-3</v>
      </c>
      <c r="I1349" s="20">
        <v>136.652146493999</v>
      </c>
      <c r="J1349" s="20">
        <v>813.82335606087668</v>
      </c>
      <c r="K1349" s="20">
        <v>10.335556621973135</v>
      </c>
      <c r="L1349" s="20">
        <f t="shared" si="46"/>
        <v>813.82171815910033</v>
      </c>
      <c r="M1349" s="20">
        <f t="shared" si="47"/>
        <v>-10.335535820661915</v>
      </c>
    </row>
    <row r="1350" spans="1:13" x14ac:dyDescent="0.2">
      <c r="A1350" s="23">
        <v>330.75</v>
      </c>
      <c r="B1350" s="20">
        <v>810.82569733822299</v>
      </c>
      <c r="C1350" s="20">
        <v>75.468512881874602</v>
      </c>
      <c r="D1350" s="20">
        <v>333.45159878283101</v>
      </c>
      <c r="E1350" s="20">
        <v>-0.319003133760423</v>
      </c>
      <c r="F1350" s="20">
        <v>-1.16836499403279</v>
      </c>
      <c r="G1350" s="20">
        <v>1.21113160252312</v>
      </c>
      <c r="H1350" s="20">
        <v>9.1481237775759196E-3</v>
      </c>
      <c r="I1350" s="20">
        <v>136.703467163086</v>
      </c>
      <c r="J1350" s="20">
        <v>814.33192075242596</v>
      </c>
      <c r="K1350" s="20">
        <v>10.34201539355581</v>
      </c>
      <c r="L1350" s="20">
        <f t="shared" si="46"/>
        <v>814.33028182710802</v>
      </c>
      <c r="M1350" s="20">
        <f t="shared" si="47"/>
        <v>-10.341994579245641</v>
      </c>
    </row>
    <row r="1351" spans="1:13" x14ac:dyDescent="0.2">
      <c r="A1351" s="23">
        <v>331</v>
      </c>
      <c r="B1351" s="20">
        <v>811.32662072835603</v>
      </c>
      <c r="C1351" s="20">
        <v>75.568308975137001</v>
      </c>
      <c r="D1351" s="20">
        <v>333.42408926120902</v>
      </c>
      <c r="E1351" s="20">
        <v>-0.31906021108753502</v>
      </c>
      <c r="F1351" s="20">
        <v>-1.16701077991646</v>
      </c>
      <c r="G1351" s="20">
        <v>1.20984031125618</v>
      </c>
      <c r="H1351" s="20">
        <v>9.1533717674211097E-3</v>
      </c>
      <c r="I1351" s="20">
        <v>136.75462436909601</v>
      </c>
      <c r="J1351" s="20">
        <v>814.83993974953523</v>
      </c>
      <c r="K1351" s="20">
        <v>10.348467234819097</v>
      </c>
      <c r="L1351" s="20">
        <f t="shared" si="46"/>
        <v>814.83829980177995</v>
      </c>
      <c r="M1351" s="20">
        <f t="shared" si="47"/>
        <v>-10.348446407523999</v>
      </c>
    </row>
    <row r="1352" spans="1:13" x14ac:dyDescent="0.2">
      <c r="A1352" s="23">
        <v>331.25</v>
      </c>
      <c r="B1352" s="20">
        <v>811.826995625432</v>
      </c>
      <c r="C1352" s="20">
        <v>75.668068507491597</v>
      </c>
      <c r="D1352" s="20">
        <v>333.39657432119901</v>
      </c>
      <c r="E1352" s="20">
        <v>-0.31911623084548502</v>
      </c>
      <c r="F1352" s="20">
        <v>-1.1656557422815701</v>
      </c>
      <c r="G1352" s="20">
        <v>1.2085480868807199</v>
      </c>
      <c r="H1352" s="20">
        <v>9.1586383680739396E-3</v>
      </c>
      <c r="I1352" s="20">
        <v>136.80561566855499</v>
      </c>
      <c r="J1352" s="20">
        <v>815.34741266222863</v>
      </c>
      <c r="K1352" s="20">
        <v>10.354912140810304</v>
      </c>
      <c r="L1352" s="20">
        <f t="shared" si="46"/>
        <v>815.34577169313241</v>
      </c>
      <c r="M1352" s="20">
        <f t="shared" si="47"/>
        <v>-10.354891300544201</v>
      </c>
    </row>
    <row r="1353" spans="1:13" x14ac:dyDescent="0.2">
      <c r="A1353" s="23">
        <v>331.5</v>
      </c>
      <c r="B1353" s="20">
        <v>812.32682165908898</v>
      </c>
      <c r="C1353" s="20">
        <v>75.767791267134498</v>
      </c>
      <c r="D1353" s="20">
        <v>333.36905395939698</v>
      </c>
      <c r="E1353" s="20">
        <v>-0.31917118573035402</v>
      </c>
      <c r="F1353" s="20">
        <v>-1.1642998789239201</v>
      </c>
      <c r="G1353" s="20">
        <v>1.20725492496936</v>
      </c>
      <c r="H1353" s="20">
        <v>9.1639239062743308E-3</v>
      </c>
      <c r="I1353" s="20">
        <v>136.85643898725601</v>
      </c>
      <c r="J1353" s="20">
        <v>815.85433909847984</v>
      </c>
      <c r="K1353" s="20">
        <v>10.361350106550695</v>
      </c>
      <c r="L1353" s="20">
        <f t="shared" si="46"/>
        <v>815.85269710913951</v>
      </c>
      <c r="M1353" s="20">
        <f t="shared" si="47"/>
        <v>-10.361329253327517</v>
      </c>
    </row>
    <row r="1354" spans="1:13" x14ac:dyDescent="0.2">
      <c r="A1354" s="23">
        <v>331.75</v>
      </c>
      <c r="B1354" s="20">
        <v>812.82609845674301</v>
      </c>
      <c r="C1354" s="20">
        <v>75.867477043888897</v>
      </c>
      <c r="D1354" s="20">
        <v>333.34152817324502</v>
      </c>
      <c r="E1354" s="20">
        <v>-0.31922506834187703</v>
      </c>
      <c r="F1354" s="20">
        <v>-1.1629431876062499</v>
      </c>
      <c r="G1354" s="20">
        <v>1.2059608210293</v>
      </c>
      <c r="H1354" s="20">
        <v>9.1692284014152602E-3</v>
      </c>
      <c r="I1354" s="20">
        <v>136.90709511139801</v>
      </c>
      <c r="J1354" s="20">
        <v>816.36071866416592</v>
      </c>
      <c r="K1354" s="20">
        <v>10.367781127034908</v>
      </c>
      <c r="L1354" s="20">
        <f t="shared" si="46"/>
        <v>816.35907565569198</v>
      </c>
      <c r="M1354" s="20">
        <f t="shared" si="47"/>
        <v>-10.36776026086876</v>
      </c>
    </row>
    <row r="1355" spans="1:13" x14ac:dyDescent="0.2">
      <c r="A1355" s="23">
        <v>332</v>
      </c>
      <c r="B1355" s="20">
        <v>813.324825643596</v>
      </c>
      <c r="C1355" s="20">
        <v>75.967125629183002</v>
      </c>
      <c r="D1355" s="20">
        <v>333.31399696102699</v>
      </c>
      <c r="E1355" s="20">
        <v>-0.31927787145604902</v>
      </c>
      <c r="F1355" s="20">
        <v>-1.16158566613492</v>
      </c>
      <c r="G1355" s="20">
        <v>1.20466577064828</v>
      </c>
      <c r="H1355" s="20">
        <v>9.1745517451339107E-3</v>
      </c>
      <c r="I1355" s="20">
        <v>136.957586095247</v>
      </c>
      <c r="J1355" s="20">
        <v>816.86655096312154</v>
      </c>
      <c r="K1355" s="20">
        <v>10.374205197231644</v>
      </c>
      <c r="L1355" s="20">
        <f t="shared" si="46"/>
        <v>816.86490693660357</v>
      </c>
      <c r="M1355" s="20">
        <f t="shared" si="47"/>
        <v>-10.374184318136361</v>
      </c>
    </row>
    <row r="1356" spans="1:13" x14ac:dyDescent="0.2">
      <c r="A1356" s="23">
        <v>332.25</v>
      </c>
      <c r="B1356" s="20">
        <v>813.82300284268604</v>
      </c>
      <c r="C1356" s="20">
        <v>76.066736815974494</v>
      </c>
      <c r="D1356" s="20">
        <v>333.28646032184997</v>
      </c>
      <c r="E1356" s="20">
        <v>-0.31932958804197697</v>
      </c>
      <c r="F1356" s="20">
        <v>-1.16022731236557</v>
      </c>
      <c r="G1356" s="20">
        <v>1.20336976950482</v>
      </c>
      <c r="H1356" s="20">
        <v>9.1798938251479202E-3</v>
      </c>
      <c r="I1356" s="20">
        <v>137.00791404695201</v>
      </c>
      <c r="J1356" s="20">
        <v>817.37183559710752</v>
      </c>
      <c r="K1356" s="20">
        <v>10.380622312083267</v>
      </c>
      <c r="L1356" s="20">
        <f t="shared" si="46"/>
        <v>817.37019055365431</v>
      </c>
      <c r="M1356" s="20">
        <f t="shared" si="47"/>
        <v>-10.380601420072932</v>
      </c>
    </row>
    <row r="1357" spans="1:13" x14ac:dyDescent="0.2">
      <c r="A1357" s="23">
        <v>332.5</v>
      </c>
      <c r="B1357" s="20">
        <v>814.320629674938</v>
      </c>
      <c r="C1357" s="20">
        <v>76.166310398679101</v>
      </c>
      <c r="D1357" s="20">
        <v>333.258918255624</v>
      </c>
      <c r="E1357" s="20">
        <v>-0.31938021122332899</v>
      </c>
      <c r="F1357" s="20">
        <v>-1.1588681241924901</v>
      </c>
      <c r="G1357" s="20">
        <v>1.2020728133480401</v>
      </c>
      <c r="H1357" s="20">
        <v>9.18525452062572E-3</v>
      </c>
      <c r="I1357" s="20">
        <v>137.05808112488799</v>
      </c>
      <c r="J1357" s="20">
        <v>817.87657216592152</v>
      </c>
      <c r="K1357" s="20">
        <v>10.387032466507204</v>
      </c>
      <c r="L1357" s="20">
        <f t="shared" si="46"/>
        <v>817.87492610663617</v>
      </c>
      <c r="M1357" s="20">
        <f t="shared" si="47"/>
        <v>-10.387011561595827</v>
      </c>
    </row>
    <row r="1358" spans="1:13" x14ac:dyDescent="0.2">
      <c r="A1358" s="23">
        <v>332.75</v>
      </c>
      <c r="B1358" s="20">
        <v>814.81770575920496</v>
      </c>
      <c r="C1358" s="20">
        <v>76.265846173108102</v>
      </c>
      <c r="D1358" s="20">
        <v>333.23137076303999</v>
      </c>
      <c r="E1358" s="20">
        <v>-0.31942973428299298</v>
      </c>
      <c r="F1358" s="20">
        <v>-1.1575080995499301</v>
      </c>
      <c r="G1358" s="20">
        <v>1.2007748980003701</v>
      </c>
      <c r="H1358" s="20">
        <v>9.1906337020203292E-3</v>
      </c>
      <c r="I1358" s="20">
        <v>137.10808953906999</v>
      </c>
      <c r="J1358" s="20">
        <v>818.38076026740384</v>
      </c>
      <c r="K1358" s="20">
        <v>10.393435655396029</v>
      </c>
      <c r="L1358" s="20">
        <f t="shared" si="46"/>
        <v>818.37911319338696</v>
      </c>
      <c r="M1358" s="20">
        <f t="shared" si="47"/>
        <v>-10.393414737597588</v>
      </c>
    </row>
    <row r="1359" spans="1:13" x14ac:dyDescent="0.2">
      <c r="A1359" s="23">
        <v>333</v>
      </c>
      <c r="B1359" s="20">
        <v>815.31423071231404</v>
      </c>
      <c r="C1359" s="20">
        <v>76.365343936404201</v>
      </c>
      <c r="D1359" s="20">
        <v>333.203817845559</v>
      </c>
      <c r="E1359" s="20">
        <v>-0.31947815066576102</v>
      </c>
      <c r="F1359" s="20">
        <v>-1.1561472364130401</v>
      </c>
      <c r="G1359" s="20">
        <v>1.1994760193594201</v>
      </c>
      <c r="H1359" s="20">
        <v>9.1960312308192096E-3</v>
      </c>
      <c r="I1359" s="20">
        <v>137.15794155222201</v>
      </c>
      <c r="J1359" s="20">
        <v>818.88439949747089</v>
      </c>
      <c r="K1359" s="20">
        <v>10.399831873617881</v>
      </c>
      <c r="L1359" s="20">
        <f t="shared" si="46"/>
        <v>818.88275140983274</v>
      </c>
      <c r="M1359" s="20">
        <f t="shared" si="47"/>
        <v>-10.399810942946475</v>
      </c>
    </row>
    <row r="1360" spans="1:13" x14ac:dyDescent="0.2">
      <c r="A1360" s="23">
        <v>333.25</v>
      </c>
      <c r="B1360" s="20">
        <v>815.81020414910699</v>
      </c>
      <c r="C1360" s="20">
        <v>76.464803486976905</v>
      </c>
      <c r="D1360" s="20">
        <v>333.17625950538797</v>
      </c>
      <c r="E1360" s="20">
        <v>-0.31952545398115401</v>
      </c>
      <c r="F1360" s="20">
        <v>-1.1547855327987899</v>
      </c>
      <c r="G1360" s="20">
        <v>1.1981761733999099</v>
      </c>
      <c r="H1360" s="20">
        <v>9.20144695929144E-3</v>
      </c>
      <c r="I1360" s="20">
        <v>137.207639480865</v>
      </c>
      <c r="J1360" s="20">
        <v>819.38748945018392</v>
      </c>
      <c r="K1360" s="20">
        <v>10.406221116017337</v>
      </c>
      <c r="L1360" s="20">
        <f t="shared" si="46"/>
        <v>819.38584035002077</v>
      </c>
      <c r="M1360" s="20">
        <f t="shared" si="47"/>
        <v>-10.406200172486889</v>
      </c>
    </row>
    <row r="1361" spans="1:13" x14ac:dyDescent="0.2">
      <c r="A1361" s="23">
        <v>333.5</v>
      </c>
      <c r="B1361" s="20">
        <v>816.30562568249002</v>
      </c>
      <c r="C1361" s="20">
        <v>76.564224624437699</v>
      </c>
      <c r="D1361" s="20">
        <v>333.14869574546202</v>
      </c>
      <c r="E1361" s="20">
        <v>-0.31957163800629301</v>
      </c>
      <c r="F1361" s="20">
        <v>-1.1534229867670001</v>
      </c>
      <c r="G1361" s="20">
        <v>1.19687535617563</v>
      </c>
      <c r="H1361" s="20">
        <v>9.2068807302317906E-3</v>
      </c>
      <c r="I1361" s="20">
        <v>137.25718569642299</v>
      </c>
      <c r="J1361" s="20">
        <v>819.89002971773471</v>
      </c>
      <c r="K1361" s="20">
        <v>10.412603377415232</v>
      </c>
      <c r="L1361" s="20">
        <f t="shared" si="46"/>
        <v>819.8883796061649</v>
      </c>
      <c r="M1361" s="20">
        <f t="shared" si="47"/>
        <v>-10.412582421039945</v>
      </c>
    </row>
    <row r="1362" spans="1:13" x14ac:dyDescent="0.2">
      <c r="A1362" s="23">
        <v>333.75</v>
      </c>
      <c r="B1362" s="20">
        <v>816.80049492347803</v>
      </c>
      <c r="C1362" s="20">
        <v>76.663607149534201</v>
      </c>
      <c r="D1362" s="20">
        <v>333.12112656942901</v>
      </c>
      <c r="E1362" s="20">
        <v>-0.31961669668883103</v>
      </c>
      <c r="F1362" s="20">
        <v>-1.1520595964212901</v>
      </c>
      <c r="G1362" s="20">
        <v>1.19557356382143</v>
      </c>
      <c r="H1362" s="20">
        <v>9.2123323767023101E-3</v>
      </c>
      <c r="I1362" s="20">
        <v>137.30658262633801</v>
      </c>
      <c r="J1362" s="20">
        <v>820.39201989056198</v>
      </c>
      <c r="K1362" s="20">
        <v>10.418978652610138</v>
      </c>
      <c r="L1362" s="20">
        <f t="shared" si="46"/>
        <v>820.39036876868363</v>
      </c>
      <c r="M1362" s="20">
        <f t="shared" si="47"/>
        <v>-10.418957683403958</v>
      </c>
    </row>
    <row r="1363" spans="1:13" x14ac:dyDescent="0.2">
      <c r="A1363" s="23">
        <v>334</v>
      </c>
      <c r="B1363" s="20">
        <v>817.29481148124398</v>
      </c>
      <c r="C1363" s="20">
        <v>76.762950864083905</v>
      </c>
      <c r="D1363" s="20">
        <v>333.09355198162598</v>
      </c>
      <c r="E1363" s="20">
        <v>-0.31966062414993102</v>
      </c>
      <c r="F1363" s="20">
        <v>-1.15069535991011</v>
      </c>
      <c r="G1363" s="20">
        <v>1.19427079255526</v>
      </c>
      <c r="H1363" s="20">
        <v>9.2178017217706305E-3</v>
      </c>
      <c r="I1363" s="20">
        <v>137.35583275519701</v>
      </c>
      <c r="J1363" s="20">
        <v>820.89345955732006</v>
      </c>
      <c r="K1363" s="20">
        <v>10.425346936377965</v>
      </c>
      <c r="L1363" s="20">
        <f t="shared" si="46"/>
        <v>820.89180742624296</v>
      </c>
      <c r="M1363" s="20">
        <f t="shared" si="47"/>
        <v>-10.425325954354987</v>
      </c>
    </row>
    <row r="1364" spans="1:13" x14ac:dyDescent="0.2">
      <c r="A1364" s="23">
        <v>334.25</v>
      </c>
      <c r="B1364" s="20">
        <v>817.78857496316596</v>
      </c>
      <c r="C1364" s="20">
        <v>76.862255570907195</v>
      </c>
      <c r="D1364" s="20">
        <v>333.06597198706203</v>
      </c>
      <c r="E1364" s="20">
        <v>-0.31970341468730801</v>
      </c>
      <c r="F1364" s="20">
        <v>-1.1493302754277801</v>
      </c>
      <c r="G1364" s="20">
        <v>1.19296703868029</v>
      </c>
      <c r="H1364" s="20">
        <v>9.2232885782456593E-3</v>
      </c>
      <c r="I1364" s="20">
        <v>137.40493862587101</v>
      </c>
      <c r="J1364" s="20">
        <v>821.39434830496612</v>
      </c>
      <c r="K1364" s="20">
        <v>10.43170822347307</v>
      </c>
      <c r="L1364" s="20">
        <f t="shared" si="46"/>
        <v>821.39269516579782</v>
      </c>
      <c r="M1364" s="20">
        <f t="shared" si="47"/>
        <v>-10.431687228647361</v>
      </c>
    </row>
    <row r="1365" spans="1:13" x14ac:dyDescent="0.2">
      <c r="A1365" s="23">
        <v>334.5</v>
      </c>
      <c r="B1365" s="20">
        <v>818.28178497487795</v>
      </c>
      <c r="C1365" s="20">
        <v>76.961521073759997</v>
      </c>
      <c r="D1365" s="20">
        <v>333.038386591397</v>
      </c>
      <c r="E1365" s="20">
        <v>-0.31974506277832698</v>
      </c>
      <c r="F1365" s="20">
        <v>-1.14796434121557</v>
      </c>
      <c r="G1365" s="20">
        <v>1.19166229858698</v>
      </c>
      <c r="H1365" s="20">
        <v>9.2287927484108103E-3</v>
      </c>
      <c r="I1365" s="20">
        <v>137.45390284066599</v>
      </c>
      <c r="J1365" s="20">
        <v>821.89468571878217</v>
      </c>
      <c r="K1365" s="20">
        <v>10.438062508628535</v>
      </c>
      <c r="L1365" s="20">
        <f t="shared" si="46"/>
        <v>821.89303157263669</v>
      </c>
      <c r="M1365" s="20">
        <f t="shared" si="47"/>
        <v>-10.438041501014238</v>
      </c>
    </row>
    <row r="1366" spans="1:13" x14ac:dyDescent="0.2">
      <c r="A1366" s="23">
        <v>334.75</v>
      </c>
      <c r="B1366" s="20">
        <v>818.77444112032094</v>
      </c>
      <c r="C1366" s="20">
        <v>77.060747177265398</v>
      </c>
      <c r="D1366" s="20">
        <v>333.01079580092198</v>
      </c>
      <c r="E1366" s="20">
        <v>-0.31978556308314499</v>
      </c>
      <c r="F1366" s="20">
        <v>-1.1465975555627499</v>
      </c>
      <c r="G1366" s="20">
        <v>1.1903565687552899</v>
      </c>
      <c r="H1366" s="20">
        <v>9.23431402375402E-3</v>
      </c>
      <c r="I1366" s="20">
        <v>137.50272806248401</v>
      </c>
      <c r="J1366" s="20">
        <v>822.3944713824385</v>
      </c>
      <c r="K1366" s="20">
        <v>10.444409786556969</v>
      </c>
      <c r="L1366" s="20">
        <f t="shared" si="46"/>
        <v>822.39281623042666</v>
      </c>
      <c r="M1366" s="20">
        <f t="shared" si="47"/>
        <v>-10.444388766168196</v>
      </c>
    </row>
    <row r="1367" spans="1:13" x14ac:dyDescent="0.2">
      <c r="A1367" s="23">
        <v>335</v>
      </c>
      <c r="B1367" s="20">
        <v>819.266543001797</v>
      </c>
      <c r="C1367" s="20">
        <v>77.159933686844894</v>
      </c>
      <c r="D1367" s="20">
        <v>332.98319962253498</v>
      </c>
      <c r="E1367" s="20">
        <v>-0.31982491044792599</v>
      </c>
      <c r="F1367" s="20">
        <v>-1.14522991680772</v>
      </c>
      <c r="G1367" s="20">
        <v>1.1890498457568699</v>
      </c>
      <c r="H1367" s="20">
        <v>9.2398521846957203E-3</v>
      </c>
      <c r="I1367" s="20">
        <v>137.55141701599999</v>
      </c>
      <c r="J1367" s="20">
        <v>822.89370487803285</v>
      </c>
      <c r="K1367" s="20">
        <v>10.450750051951017</v>
      </c>
      <c r="L1367" s="20">
        <f t="shared" si="46"/>
        <v>822.89204872126061</v>
      </c>
      <c r="M1367" s="20">
        <f t="shared" si="47"/>
        <v>-10.450729018801812</v>
      </c>
    </row>
    <row r="1368" spans="1:13" x14ac:dyDescent="0.2">
      <c r="A1368" s="23">
        <v>335.25</v>
      </c>
      <c r="B1368" s="20">
        <v>819.75809022001602</v>
      </c>
      <c r="C1368" s="20">
        <v>77.2590804086487</v>
      </c>
      <c r="D1368" s="20">
        <v>332.95559806372597</v>
      </c>
      <c r="E1368" s="20">
        <v>-0.31986309990810102</v>
      </c>
      <c r="F1368" s="20">
        <v>-1.14386142333915</v>
      </c>
      <c r="G1368" s="20">
        <v>1.18774212625733</v>
      </c>
      <c r="H1368" s="20">
        <v>9.2454070003138104E-3</v>
      </c>
      <c r="I1368" s="20">
        <v>137.599972488844</v>
      </c>
      <c r="J1368" s="20">
        <v>823.39238578611355</v>
      </c>
      <c r="K1368" s="20">
        <v>10.457083299483642</v>
      </c>
      <c r="L1368" s="20">
        <f t="shared" si="46"/>
        <v>823.3907286256981</v>
      </c>
      <c r="M1368" s="20">
        <f t="shared" si="47"/>
        <v>-10.457062253588195</v>
      </c>
    </row>
    <row r="1369" spans="1:13" x14ac:dyDescent="0.2">
      <c r="A1369" s="23">
        <v>335.5</v>
      </c>
      <c r="B1369" s="20">
        <v>820.24908237416003</v>
      </c>
      <c r="C1369" s="20">
        <v>77.3581871494859</v>
      </c>
      <c r="D1369" s="20">
        <v>332.92799113254898</v>
      </c>
      <c r="E1369" s="20">
        <v>-0.31990012669168499</v>
      </c>
      <c r="F1369" s="20">
        <v>-1.14249207359708</v>
      </c>
      <c r="G1369" s="20">
        <v>1.1864334070185001</v>
      </c>
      <c r="H1369" s="20">
        <v>9.2509782280668102E-3</v>
      </c>
      <c r="I1369" s="20">
        <v>137.64839733280101</v>
      </c>
      <c r="J1369" s="20">
        <v>823.89051368577316</v>
      </c>
      <c r="K1369" s="20">
        <v>10.46340952380932</v>
      </c>
      <c r="L1369" s="20">
        <f t="shared" si="46"/>
        <v>823.88885552282261</v>
      </c>
      <c r="M1369" s="20">
        <f t="shared" si="47"/>
        <v>-10.463388465181701</v>
      </c>
    </row>
    <row r="1370" spans="1:13" x14ac:dyDescent="0.2">
      <c r="A1370" s="23">
        <v>335.75</v>
      </c>
      <c r="B1370" s="20">
        <v>820.73951906192804</v>
      </c>
      <c r="C1370" s="20">
        <v>77.4572537167533</v>
      </c>
      <c r="D1370" s="20">
        <v>332.90037883760198</v>
      </c>
      <c r="E1370" s="20">
        <v>-0.31993598622266201</v>
      </c>
      <c r="F1370" s="20">
        <v>-1.14112186607418</v>
      </c>
      <c r="G1370" s="20">
        <v>1.18512368490081</v>
      </c>
      <c r="H1370" s="20">
        <v>9.2565656135140204E-3</v>
      </c>
      <c r="I1370" s="20">
        <v>137.69669446501501</v>
      </c>
      <c r="J1370" s="20">
        <v>824.38808815464961</v>
      </c>
      <c r="K1370" s="20">
        <v>10.469728719564051</v>
      </c>
      <c r="L1370" s="20">
        <f t="shared" si="46"/>
        <v>824.38642899028036</v>
      </c>
      <c r="M1370" s="20">
        <f t="shared" si="47"/>
        <v>-10.46970764821844</v>
      </c>
    </row>
    <row r="1371" spans="1:13" x14ac:dyDescent="0.2">
      <c r="A1371" s="23">
        <v>336</v>
      </c>
      <c r="B1371" s="20">
        <v>821.22939987960399</v>
      </c>
      <c r="C1371" s="20">
        <v>77.556279918363899</v>
      </c>
      <c r="D1371" s="20">
        <v>332.87276118800497</v>
      </c>
      <c r="E1371" s="20">
        <v>-0.31997067412440999</v>
      </c>
      <c r="F1371" s="20">
        <v>-1.1397507993168601</v>
      </c>
      <c r="G1371" s="20">
        <v>1.1838129568656699</v>
      </c>
      <c r="H1371" s="20">
        <v>9.2621688900340702E-3</v>
      </c>
      <c r="I1371" s="20">
        <v>137.74486686921099</v>
      </c>
      <c r="J1371" s="20">
        <v>824.88510876901853</v>
      </c>
      <c r="K1371" s="20">
        <v>10.476040881366536</v>
      </c>
      <c r="L1371" s="20">
        <f t="shared" si="46"/>
        <v>824.88344860434074</v>
      </c>
      <c r="M1371" s="20">
        <f t="shared" si="47"/>
        <v>-10.476019797317033</v>
      </c>
    </row>
    <row r="1372" spans="1:13" x14ac:dyDescent="0.2">
      <c r="A1372" s="23">
        <v>336.25</v>
      </c>
      <c r="B1372" s="20">
        <v>821.71872442210304</v>
      </c>
      <c r="C1372" s="20">
        <v>77.655265562674501</v>
      </c>
      <c r="D1372" s="20">
        <v>332.84513819337798</v>
      </c>
      <c r="E1372" s="20">
        <v>-0.32000418622319998</v>
      </c>
      <c r="F1372" s="20">
        <v>-1.13837887192656</v>
      </c>
      <c r="G1372" s="20">
        <v>1.1825012199778699</v>
      </c>
      <c r="H1372" s="20">
        <v>9.2677877785408494E-3</v>
      </c>
      <c r="I1372" s="20">
        <v>137.79291759692299</v>
      </c>
      <c r="J1372" s="20">
        <v>825.38157510380245</v>
      </c>
      <c r="K1372" s="20">
        <v>10.482346003818293</v>
      </c>
      <c r="L1372" s="20">
        <f t="shared" ref="L1372:L1435" si="48">SQRT(B1372^2+C1372^2)</f>
        <v>825.37991393993684</v>
      </c>
      <c r="M1372" s="20">
        <f t="shared" ref="M1372:M1435" si="49">-L1372/A$25*100</f>
        <v>-10.482324907079127</v>
      </c>
    </row>
    <row r="1373" spans="1:13" x14ac:dyDescent="0.2">
      <c r="A1373" s="23">
        <v>336.5</v>
      </c>
      <c r="B1373" s="20">
        <v>822.20749228304305</v>
      </c>
      <c r="C1373" s="20">
        <v>77.754210458413098</v>
      </c>
      <c r="D1373" s="20">
        <v>332.81750986381502</v>
      </c>
      <c r="E1373" s="20">
        <v>-0.32003651855174198</v>
      </c>
      <c r="F1373" s="20">
        <v>-1.13700608256097</v>
      </c>
      <c r="G1373" s="20">
        <v>1.18118847140809</v>
      </c>
      <c r="H1373" s="20">
        <v>9.2734219871977597E-3</v>
      </c>
      <c r="I1373" s="20">
        <v>137.84084976873399</v>
      </c>
      <c r="J1373" s="20">
        <v>825.87748673266378</v>
      </c>
      <c r="K1373" s="20">
        <v>10.48864408150483</v>
      </c>
      <c r="L1373" s="20">
        <f t="shared" si="48"/>
        <v>825.87582457072904</v>
      </c>
      <c r="M1373" s="20">
        <f t="shared" si="49"/>
        <v>-10.488622972090214</v>
      </c>
    </row>
    <row r="1374" spans="1:13" x14ac:dyDescent="0.2">
      <c r="A1374" s="23">
        <v>336.75</v>
      </c>
      <c r="B1374" s="20">
        <v>822.69570305479397</v>
      </c>
      <c r="C1374" s="20">
        <v>77.853114414604406</v>
      </c>
      <c r="D1374" s="20">
        <v>332.78987620985998</v>
      </c>
      <c r="E1374" s="20">
        <v>-0.32006766735279402</v>
      </c>
      <c r="F1374" s="20">
        <v>-1.13563242993531</v>
      </c>
      <c r="G1374" s="20">
        <v>1.17987470843537</v>
      </c>
      <c r="H1374" s="20">
        <v>9.2790712111300699E-3</v>
      </c>
      <c r="I1374" s="20">
        <v>137.888666575527</v>
      </c>
      <c r="J1374" s="20">
        <v>826.3728432280368</v>
      </c>
      <c r="K1374" s="20">
        <v>10.494935108996067</v>
      </c>
      <c r="L1374" s="20">
        <f t="shared" si="48"/>
        <v>826.37118006914739</v>
      </c>
      <c r="M1374" s="20">
        <f t="shared" si="49"/>
        <v>-10.494913986920151</v>
      </c>
    </row>
    <row r="1375" spans="1:13" x14ac:dyDescent="0.2">
      <c r="A1375" s="23">
        <v>337</v>
      </c>
      <c r="B1375" s="20">
        <v>823.18335632854905</v>
      </c>
      <c r="C1375" s="20">
        <v>77.951977240496305</v>
      </c>
      <c r="D1375" s="20">
        <v>332.76223724248501</v>
      </c>
      <c r="E1375" s="20">
        <v>-0.32009762908282502</v>
      </c>
      <c r="F1375" s="20">
        <v>-1.1342579128236201</v>
      </c>
      <c r="G1375" s="20">
        <v>1.1785599284497299</v>
      </c>
      <c r="H1375" s="20">
        <v>9.2847351321352998E-3</v>
      </c>
      <c r="I1375" s="20">
        <v>137.936371279746</v>
      </c>
      <c r="J1375" s="20">
        <v>826.86764416118172</v>
      </c>
      <c r="K1375" s="20">
        <v>10.501219080847008</v>
      </c>
      <c r="L1375" s="20">
        <f t="shared" si="48"/>
        <v>826.86598000645654</v>
      </c>
      <c r="M1375" s="20">
        <f t="shared" si="49"/>
        <v>-10.501197946124003</v>
      </c>
    </row>
    <row r="1376" spans="1:13" x14ac:dyDescent="0.2">
      <c r="A1376" s="23">
        <v>337.25</v>
      </c>
      <c r="B1376" s="20">
        <v>823.670451694382</v>
      </c>
      <c r="C1376" s="20">
        <v>78.050798745483505</v>
      </c>
      <c r="D1376" s="20">
        <v>332.73459297306403</v>
      </c>
      <c r="E1376" s="20">
        <v>-0.32012640041573898</v>
      </c>
      <c r="F1376" s="20">
        <v>-1.13288253006008</v>
      </c>
      <c r="G1376" s="20">
        <v>1.1772441289547599</v>
      </c>
      <c r="H1376" s="20">
        <v>9.2904134183923095E-3</v>
      </c>
      <c r="I1376" s="20">
        <v>137.983967216666</v>
      </c>
      <c r="J1376" s="20">
        <v>827.36188910224746</v>
      </c>
      <c r="K1376" s="20">
        <v>10.507495991598544</v>
      </c>
      <c r="L1376" s="20">
        <f t="shared" si="48"/>
        <v>827.36022395280474</v>
      </c>
      <c r="M1376" s="20">
        <f t="shared" si="49"/>
        <v>-10.507474844242651</v>
      </c>
    </row>
    <row r="1377" spans="1:13" x14ac:dyDescent="0.2">
      <c r="A1377" s="23">
        <v>337.5</v>
      </c>
      <c r="B1377" s="20">
        <v>824.15698874131499</v>
      </c>
      <c r="C1377" s="20">
        <v>78.149578739032506</v>
      </c>
      <c r="D1377" s="20">
        <v>332.70694341334598</v>
      </c>
      <c r="E1377" s="20">
        <v>-0.32015397824665998</v>
      </c>
      <c r="F1377" s="20">
        <v>-1.13150628054036</v>
      </c>
      <c r="G1377" s="20">
        <v>1.1759273075702601</v>
      </c>
      <c r="H1377" s="20">
        <v>9.2961057241686702E-3</v>
      </c>
      <c r="I1377" s="20">
        <v>138.03145779567299</v>
      </c>
      <c r="J1377" s="20">
        <v>827.85557762032749</v>
      </c>
      <c r="K1377" s="20">
        <v>10.513765835778161</v>
      </c>
      <c r="L1377" s="20">
        <f t="shared" si="48"/>
        <v>827.8539114772849</v>
      </c>
      <c r="M1377" s="20">
        <f t="shared" si="49"/>
        <v>-10.513744675803574</v>
      </c>
    </row>
    <row r="1378" spans="1:13" x14ac:dyDescent="0.2">
      <c r="A1378" s="23">
        <v>337.75</v>
      </c>
      <c r="B1378" s="20">
        <v>824.64296705738104</v>
      </c>
      <c r="C1378" s="20">
        <v>78.248317030604298</v>
      </c>
      <c r="D1378" s="20">
        <v>332.679288575432</v>
      </c>
      <c r="E1378" s="20">
        <v>-0.32018035969576503</v>
      </c>
      <c r="F1378" s="20">
        <v>-1.1301291632230099</v>
      </c>
      <c r="G1378" s="20">
        <v>1.1746094620349601</v>
      </c>
      <c r="H1378" s="20">
        <v>9.3018116895270293E-3</v>
      </c>
      <c r="I1378" s="20">
        <v>138.078846501556</v>
      </c>
      <c r="J1378" s="20">
        <v>828.3487092835129</v>
      </c>
      <c r="K1378" s="20">
        <v>10.520028607900613</v>
      </c>
      <c r="L1378" s="20">
        <f t="shared" si="48"/>
        <v>828.34704214798933</v>
      </c>
      <c r="M1378" s="20">
        <f t="shared" si="49"/>
        <v>-10.520007435321546</v>
      </c>
    </row>
    <row r="1379" spans="1:13" x14ac:dyDescent="0.2">
      <c r="A1379" s="23">
        <v>338</v>
      </c>
      <c r="B1379" s="20">
        <v>825.12838622969605</v>
      </c>
      <c r="C1379" s="20">
        <v>78.347013429576904</v>
      </c>
      <c r="D1379" s="20">
        <v>332.65162847174702</v>
      </c>
      <c r="E1379" s="20">
        <v>-0.32020554211218999</v>
      </c>
      <c r="F1379" s="20">
        <v>-1.1287511771308301</v>
      </c>
      <c r="G1379" s="20">
        <v>1.1732905902092601</v>
      </c>
      <c r="H1379" s="20">
        <v>9.3075309400300205E-3</v>
      </c>
      <c r="I1379" s="20">
        <v>138.12613689579999</v>
      </c>
      <c r="J1379" s="20">
        <v>828.8412836589481</v>
      </c>
      <c r="K1379" s="20">
        <v>10.526284302468641</v>
      </c>
      <c r="L1379" s="20">
        <f t="shared" si="48"/>
        <v>828.83961553207428</v>
      </c>
      <c r="M1379" s="20">
        <f t="shared" si="49"/>
        <v>-10.526263117299449</v>
      </c>
    </row>
    <row r="1380" spans="1:13" x14ac:dyDescent="0.2">
      <c r="A1380" s="23">
        <v>338.25</v>
      </c>
      <c r="B1380" s="20">
        <v>825.61324584452404</v>
      </c>
      <c r="C1380" s="20">
        <v>78.445667745166801</v>
      </c>
      <c r="D1380" s="20">
        <v>332.62396311501197</v>
      </c>
      <c r="E1380" s="20">
        <v>-0.32022952307798203</v>
      </c>
      <c r="F1380" s="20">
        <v>-1.1273723213522999</v>
      </c>
      <c r="G1380" s="20">
        <v>1.17197069007806</v>
      </c>
      <c r="H1380" s="20">
        <v>9.3132630864444597E-3</v>
      </c>
      <c r="I1380" s="20">
        <v>138.173332617901</v>
      </c>
      <c r="J1380" s="20">
        <v>829.33330031292496</v>
      </c>
      <c r="K1380" s="20">
        <v>10.532532913974148</v>
      </c>
      <c r="L1380" s="20">
        <f t="shared" si="48"/>
        <v>829.33163119581764</v>
      </c>
      <c r="M1380" s="20">
        <f t="shared" si="49"/>
        <v>-10.532511716229015</v>
      </c>
    </row>
    <row r="1381" spans="1:13" x14ac:dyDescent="0.2">
      <c r="A1381" s="23">
        <v>338.5</v>
      </c>
      <c r="B1381" s="20">
        <v>826.09754548734998</v>
      </c>
      <c r="C1381" s="20">
        <v>78.544279786350202</v>
      </c>
      <c r="D1381" s="20">
        <v>332.59629251822003</v>
      </c>
      <c r="E1381" s="20">
        <v>-0.320252300412115</v>
      </c>
      <c r="F1381" s="20">
        <v>-1.12599259504306</v>
      </c>
      <c r="G1381" s="20">
        <v>1.1706497597535499</v>
      </c>
      <c r="H1381" s="20">
        <v>9.3190077244446699E-3</v>
      </c>
      <c r="I1381" s="20">
        <v>138.220437386675</v>
      </c>
      <c r="J1381" s="20">
        <v>829.82475881090568</v>
      </c>
      <c r="K1381" s="20">
        <v>10.538774436898503</v>
      </c>
      <c r="L1381" s="20">
        <f t="shared" si="48"/>
        <v>829.8230887046833</v>
      </c>
      <c r="M1381" s="20">
        <f t="shared" si="49"/>
        <v>-10.538753226591634</v>
      </c>
    </row>
    <row r="1382" spans="1:13" x14ac:dyDescent="0.2">
      <c r="A1382" s="23">
        <v>338.75</v>
      </c>
      <c r="B1382" s="20">
        <v>826.58128474294904</v>
      </c>
      <c r="C1382" s="20">
        <v>78.642849361782595</v>
      </c>
      <c r="D1382" s="20">
        <v>332.56861669460397</v>
      </c>
      <c r="E1382" s="20">
        <v>-0.32027387217456499</v>
      </c>
      <c r="F1382" s="20">
        <v>-1.1246119974273201</v>
      </c>
      <c r="G1382" s="20">
        <v>1.1693277974781799</v>
      </c>
      <c r="H1382" s="20">
        <v>9.3247644343154197E-3</v>
      </c>
      <c r="I1382" s="20">
        <v>138.26745500158501</v>
      </c>
      <c r="J1382" s="20">
        <v>830.31565871758551</v>
      </c>
      <c r="K1382" s="20">
        <v>10.545008865713337</v>
      </c>
      <c r="L1382" s="20">
        <f t="shared" si="48"/>
        <v>830.31398762338347</v>
      </c>
      <c r="M1382" s="20">
        <f t="shared" si="49"/>
        <v>-10.544987642859152</v>
      </c>
    </row>
    <row r="1383" spans="1:13" x14ac:dyDescent="0.2">
      <c r="A1383" s="23">
        <v>339</v>
      </c>
      <c r="B1383" s="20">
        <v>827.06446319546001</v>
      </c>
      <c r="C1383" s="20">
        <v>78.741376279718196</v>
      </c>
      <c r="D1383" s="20">
        <v>332.54093565761298</v>
      </c>
      <c r="E1383" s="20">
        <v>-0.32029423667044299</v>
      </c>
      <c r="F1383" s="20">
        <v>-1.1232305277994401</v>
      </c>
      <c r="G1383" s="20">
        <v>1.16800480162751</v>
      </c>
      <c r="H1383" s="20">
        <v>9.3305327806541896E-3</v>
      </c>
      <c r="I1383" s="20">
        <v>138.314389344071</v>
      </c>
      <c r="J1383" s="20">
        <v>830.80599959701055</v>
      </c>
      <c r="K1383" s="20">
        <v>10.551236194882033</v>
      </c>
      <c r="L1383" s="20">
        <f t="shared" si="48"/>
        <v>830.8043275159431</v>
      </c>
      <c r="M1383" s="20">
        <f t="shared" si="49"/>
        <v>-10.551214959494683</v>
      </c>
    </row>
    <row r="1384" spans="1:13" x14ac:dyDescent="0.2">
      <c r="A1384" s="23">
        <v>339.25</v>
      </c>
      <c r="B1384" s="20">
        <v>827.547080428463</v>
      </c>
      <c r="C1384" s="20">
        <v>78.839860347928195</v>
      </c>
      <c r="D1384" s="20">
        <v>332.51324942087803</v>
      </c>
      <c r="E1384" s="20">
        <v>-0.320313392454184</v>
      </c>
      <c r="F1384" s="20">
        <v>-1.1218481855253899</v>
      </c>
      <c r="G1384" s="20">
        <v>1.16668077071328</v>
      </c>
      <c r="H1384" s="20">
        <v>9.3363123120736805E-3</v>
      </c>
      <c r="I1384" s="20">
        <v>138.36124437888799</v>
      </c>
      <c r="J1384" s="20">
        <v>831.29578101256936</v>
      </c>
      <c r="K1384" s="20">
        <v>10.557456418859632</v>
      </c>
      <c r="L1384" s="20">
        <f t="shared" si="48"/>
        <v>831.29410794577018</v>
      </c>
      <c r="M1384" s="20">
        <f t="shared" si="49"/>
        <v>-10.557435170953511</v>
      </c>
    </row>
    <row r="1385" spans="1:13" x14ac:dyDescent="0.2">
      <c r="A1385" s="23">
        <v>339.5</v>
      </c>
      <c r="B1385" s="20">
        <v>828.02913602505396</v>
      </c>
      <c r="C1385" s="20">
        <v>78.938301373618103</v>
      </c>
      <c r="D1385" s="20">
        <v>332.48555799818803</v>
      </c>
      <c r="E1385" s="20">
        <v>-0.32033133833379801</v>
      </c>
      <c r="F1385" s="20">
        <v>-1.1204649700443601</v>
      </c>
      <c r="G1385" s="20">
        <v>1.1653557033863999</v>
      </c>
      <c r="H1385" s="20">
        <v>9.3421025609039896E-3</v>
      </c>
      <c r="I1385" s="20">
        <v>138.40802415545301</v>
      </c>
      <c r="J1385" s="20">
        <v>831.78500252712661</v>
      </c>
      <c r="K1385" s="20">
        <v>10.563669532094508</v>
      </c>
      <c r="L1385" s="20">
        <f t="shared" si="48"/>
        <v>831.78332847572119</v>
      </c>
      <c r="M1385" s="20">
        <f t="shared" si="49"/>
        <v>-10.563648271683913</v>
      </c>
    </row>
    <row r="1386" spans="1:13" x14ac:dyDescent="0.2">
      <c r="A1386" s="23">
        <v>339.75</v>
      </c>
      <c r="B1386" s="20">
        <v>828.51062956791895</v>
      </c>
      <c r="C1386" s="20">
        <v>79.036699163344807</v>
      </c>
      <c r="D1386" s="20">
        <v>332.45786140345598</v>
      </c>
      <c r="E1386" s="20">
        <v>-0.32034807337517701</v>
      </c>
      <c r="F1386" s="20">
        <v>-1.1190808808702799</v>
      </c>
      <c r="G1386" s="20">
        <v>1.1640295984400899</v>
      </c>
      <c r="H1386" s="20">
        <v>9.3479030428955494E-3</v>
      </c>
      <c r="I1386" s="20">
        <v>138.45473280919299</v>
      </c>
      <c r="J1386" s="20">
        <v>832.27366370305356</v>
      </c>
      <c r="K1386" s="20">
        <v>10.569875529028781</v>
      </c>
      <c r="L1386" s="20">
        <f t="shared" si="48"/>
        <v>832.27198866816764</v>
      </c>
      <c r="M1386" s="20">
        <f t="shared" si="49"/>
        <v>-10.569854256128009</v>
      </c>
    </row>
    <row r="1387" spans="1:13" x14ac:dyDescent="0.2">
      <c r="A1387" s="23">
        <v>340</v>
      </c>
      <c r="B1387" s="20">
        <v>828.99156063942098</v>
      </c>
      <c r="C1387" s="20">
        <v>79.135053522931898</v>
      </c>
      <c r="D1387" s="20">
        <v>332.43015965068997</v>
      </c>
      <c r="E1387" s="20">
        <v>-0.32036359690646099</v>
      </c>
      <c r="F1387" s="20">
        <v>-1.1176959175935199</v>
      </c>
      <c r="G1387" s="20">
        <v>1.1627024548129501</v>
      </c>
      <c r="H1387" s="20">
        <v>9.35371325692241E-3</v>
      </c>
      <c r="I1387" s="20">
        <v>138.501374562904</v>
      </c>
      <c r="J1387" s="20">
        <v>832.76176410231494</v>
      </c>
      <c r="K1387" s="20">
        <v>10.576074404099401</v>
      </c>
      <c r="L1387" s="20">
        <f t="shared" si="48"/>
        <v>832.7600880850739</v>
      </c>
      <c r="M1387" s="20">
        <f t="shared" si="49"/>
        <v>-10.576053118722744</v>
      </c>
    </row>
    <row r="1388" spans="1:13" x14ac:dyDescent="0.2">
      <c r="A1388" s="23">
        <v>340.25</v>
      </c>
      <c r="B1388" s="20">
        <v>829.47192882167303</v>
      </c>
      <c r="C1388" s="20">
        <v>79.233364257384807</v>
      </c>
      <c r="D1388" s="20">
        <v>332.40245275396001</v>
      </c>
      <c r="E1388" s="20">
        <v>-0.32037790852246401</v>
      </c>
      <c r="F1388" s="20">
        <v>-1.1163100798824099</v>
      </c>
      <c r="G1388" s="20">
        <v>1.16137427159219</v>
      </c>
      <c r="H1388" s="20">
        <v>9.3595326846863305E-3</v>
      </c>
      <c r="I1388" s="20">
        <v>138.54795372811299</v>
      </c>
      <c r="J1388" s="20">
        <v>833.24930328652317</v>
      </c>
      <c r="K1388" s="20">
        <v>10.582266151738844</v>
      </c>
      <c r="L1388" s="20">
        <f t="shared" si="48"/>
        <v>833.24762628806207</v>
      </c>
      <c r="M1388" s="20">
        <f t="shared" si="49"/>
        <v>-10.582244853900717</v>
      </c>
    </row>
    <row r="1389" spans="1:13" x14ac:dyDescent="0.2">
      <c r="A1389" s="23">
        <v>340.5</v>
      </c>
      <c r="B1389" s="20">
        <v>829.95173369662803</v>
      </c>
      <c r="C1389" s="20">
        <v>79.331631170804698</v>
      </c>
      <c r="D1389" s="20">
        <v>332.37474072737098</v>
      </c>
      <c r="E1389" s="20">
        <v>-0.320391008089151</v>
      </c>
      <c r="F1389" s="20">
        <v>-1.1149233674850001</v>
      </c>
      <c r="G1389" s="20">
        <v>1.16004504801687</v>
      </c>
      <c r="H1389" s="20">
        <v>9.3653607904221892E-3</v>
      </c>
      <c r="I1389" s="20">
        <v>138.59447470644</v>
      </c>
      <c r="J1389" s="20">
        <v>833.73628081704805</v>
      </c>
      <c r="K1389" s="20">
        <v>10.588450766376511</v>
      </c>
      <c r="L1389" s="20">
        <f t="shared" si="48"/>
        <v>833.73460283849272</v>
      </c>
      <c r="M1389" s="20">
        <f t="shared" si="49"/>
        <v>-10.588429456091211</v>
      </c>
    </row>
    <row r="1390" spans="1:13" x14ac:dyDescent="0.2">
      <c r="A1390" s="23">
        <v>340.75</v>
      </c>
      <c r="B1390" s="20">
        <v>830.43097484615896</v>
      </c>
      <c r="C1390" s="20">
        <v>79.4298540663018</v>
      </c>
      <c r="D1390" s="20">
        <v>332.34702358502398</v>
      </c>
      <c r="E1390" s="20">
        <v>-0.32040289574818198</v>
      </c>
      <c r="F1390" s="20">
        <v>-1.1135357802307</v>
      </c>
      <c r="G1390" s="20">
        <v>1.15871478348117</v>
      </c>
      <c r="H1390" s="20">
        <v>9.3711970206046703E-3</v>
      </c>
      <c r="I1390" s="20">
        <v>138.640941990974</v>
      </c>
      <c r="J1390" s="20">
        <v>834.22269625504839</v>
      </c>
      <c r="K1390" s="20">
        <v>10.594628242439114</v>
      </c>
      <c r="L1390" s="20">
        <f t="shared" si="48"/>
        <v>834.22101729753604</v>
      </c>
      <c r="M1390" s="20">
        <f t="shared" si="49"/>
        <v>-10.594606919721086</v>
      </c>
    </row>
    <row r="1391" spans="1:13" x14ac:dyDescent="0.2">
      <c r="A1391" s="23">
        <v>341</v>
      </c>
      <c r="B1391" s="20">
        <v>830.90965185214304</v>
      </c>
      <c r="C1391" s="20">
        <v>79.528032745907595</v>
      </c>
      <c r="D1391" s="20">
        <v>332.319301340989</v>
      </c>
      <c r="E1391" s="20">
        <v>-0.32041357192150799</v>
      </c>
      <c r="F1391" s="20">
        <v>-1.11214731803202</v>
      </c>
      <c r="G1391" s="20">
        <v>1.1573834775377201</v>
      </c>
      <c r="H1391" s="20">
        <v>9.3770408036566808E-3</v>
      </c>
      <c r="I1391" s="20">
        <v>138.68736016764399</v>
      </c>
      <c r="J1391" s="20">
        <v>834.70854916158885</v>
      </c>
      <c r="K1391" s="20">
        <v>10.600798574352179</v>
      </c>
      <c r="L1391" s="20">
        <f t="shared" si="48"/>
        <v>834.70686922624748</v>
      </c>
      <c r="M1391" s="20">
        <f t="shared" si="49"/>
        <v>-10.600777239215747</v>
      </c>
    </row>
    <row r="1392" spans="1:13" x14ac:dyDescent="0.2">
      <c r="A1392" s="23">
        <v>341.25</v>
      </c>
      <c r="B1392" s="20">
        <v>831.38776429655502</v>
      </c>
      <c r="C1392" s="20">
        <v>79.626167010485801</v>
      </c>
      <c r="D1392" s="20">
        <v>332.29157400926698</v>
      </c>
      <c r="E1392" s="20">
        <v>-0.32042303731602401</v>
      </c>
      <c r="F1392" s="20">
        <v>-1.11075798088629</v>
      </c>
      <c r="G1392" s="20">
        <v>1.1560511299010201</v>
      </c>
      <c r="H1392" s="20">
        <v>9.3828915496599399E-3</v>
      </c>
      <c r="I1392" s="20">
        <v>138.733733916592</v>
      </c>
      <c r="J1392" s="20">
        <v>835.19383909768715</v>
      </c>
      <c r="K1392" s="20">
        <v>10.606961756540628</v>
      </c>
      <c r="L1392" s="20">
        <f t="shared" si="48"/>
        <v>835.19215818565124</v>
      </c>
      <c r="M1392" s="20">
        <f t="shared" si="49"/>
        <v>-10.606940409000199</v>
      </c>
    </row>
    <row r="1393" spans="1:13" x14ac:dyDescent="0.2">
      <c r="A1393" s="23">
        <v>341.5</v>
      </c>
      <c r="B1393" s="20">
        <v>831.86531176155302</v>
      </c>
      <c r="C1393" s="20">
        <v>79.724256659643402</v>
      </c>
      <c r="D1393" s="20">
        <v>332.26384160376102</v>
      </c>
      <c r="E1393" s="20">
        <v>-0.32043129292827899</v>
      </c>
      <c r="F1393" s="20">
        <v>-1.1093677688774699</v>
      </c>
      <c r="G1393" s="20">
        <v>1.15471774045083</v>
      </c>
      <c r="H1393" s="20">
        <v>9.3887486500676895E-3</v>
      </c>
      <c r="I1393" s="20">
        <v>138.78006801355599</v>
      </c>
      <c r="J1393" s="20">
        <v>835.67856562441602</v>
      </c>
      <c r="K1393" s="20">
        <v>10.613117783430084</v>
      </c>
      <c r="L1393" s="20">
        <f t="shared" si="48"/>
        <v>835.67688373681756</v>
      </c>
      <c r="M1393" s="20">
        <f t="shared" si="49"/>
        <v>-10.613096423500036</v>
      </c>
    </row>
    <row r="1394" spans="1:13" x14ac:dyDescent="0.2">
      <c r="A1394" s="23">
        <v>341.75</v>
      </c>
      <c r="B1394" s="20">
        <v>832.34229382957096</v>
      </c>
      <c r="C1394" s="20">
        <v>79.822301491639294</v>
      </c>
      <c r="D1394" s="20">
        <v>332.23610413823502</v>
      </c>
      <c r="E1394" s="20">
        <v>-0.32043834004924499</v>
      </c>
      <c r="F1394" s="20">
        <v>-1.1079766821779</v>
      </c>
      <c r="G1394" s="20">
        <v>1.15338330923569</v>
      </c>
      <c r="H1394" s="20">
        <v>9.3946114774204406E-3</v>
      </c>
      <c r="I1394" s="20">
        <v>138.826367331245</v>
      </c>
      <c r="J1394" s="20">
        <v>836.16272830296543</v>
      </c>
      <c r="K1394" s="20">
        <v>10.619266649447662</v>
      </c>
      <c r="L1394" s="20">
        <f t="shared" si="48"/>
        <v>836.16104544094503</v>
      </c>
      <c r="M1394" s="20">
        <f t="shared" si="49"/>
        <v>-10.619245277142479</v>
      </c>
    </row>
    <row r="1395" spans="1:13" x14ac:dyDescent="0.2">
      <c r="A1395" s="23">
        <v>342</v>
      </c>
      <c r="B1395" s="20">
        <v>832.81871008340897</v>
      </c>
      <c r="C1395" s="20">
        <v>79.920301303293897</v>
      </c>
      <c r="D1395" s="20">
        <v>332.20836162628302</v>
      </c>
      <c r="E1395" s="20">
        <v>-0.32044418026914001</v>
      </c>
      <c r="F1395" s="20">
        <v>-1.10658472105018</v>
      </c>
      <c r="G1395" s="20">
        <v>1.1520478364764399</v>
      </c>
      <c r="H1395" s="20">
        <v>9.4004793850643795E-3</v>
      </c>
      <c r="I1395" s="20">
        <v>138.872636840718</v>
      </c>
      <c r="J1395" s="20">
        <v>836.64632669475986</v>
      </c>
      <c r="K1395" s="20">
        <v>10.62540834902345</v>
      </c>
      <c r="L1395" s="20">
        <f t="shared" si="48"/>
        <v>836.64464285944155</v>
      </c>
      <c r="M1395" s="20">
        <f t="shared" si="49"/>
        <v>-10.625386964357411</v>
      </c>
    </row>
    <row r="1396" spans="1:13" x14ac:dyDescent="0.2">
      <c r="A1396" s="23">
        <v>342.25</v>
      </c>
      <c r="B1396" s="20">
        <v>833.29456010633305</v>
      </c>
      <c r="C1396" s="20">
        <v>80.018255889895798</v>
      </c>
      <c r="D1396" s="20">
        <v>332.18061408129199</v>
      </c>
      <c r="E1396" s="20">
        <v>-0.32044881548230397</v>
      </c>
      <c r="F1396" s="20">
        <v>-1.10519188584898</v>
      </c>
      <c r="G1396" s="20">
        <v>1.15071132256984</v>
      </c>
      <c r="H1396" s="20">
        <v>9.4063517068737092E-3</v>
      </c>
      <c r="I1396" s="20">
        <v>138.918881612766</v>
      </c>
      <c r="J1396" s="20">
        <v>837.12936036148244</v>
      </c>
      <c r="K1396" s="20">
        <v>10.631542876590828</v>
      </c>
      <c r="L1396" s="20">
        <f t="shared" si="48"/>
        <v>837.1276755540149</v>
      </c>
      <c r="M1396" s="20">
        <f t="shared" si="49"/>
        <v>-10.631521479578515</v>
      </c>
    </row>
    <row r="1397" spans="1:13" x14ac:dyDescent="0.2">
      <c r="A1397" s="23">
        <v>342.5</v>
      </c>
      <c r="B1397" s="20">
        <v>833.76984348216695</v>
      </c>
      <c r="C1397" s="20">
        <v>80.116165045109099</v>
      </c>
      <c r="D1397" s="20">
        <v>332.15286151640697</v>
      </c>
      <c r="E1397" s="20">
        <v>-0.320452247892133</v>
      </c>
      <c r="F1397" s="20">
        <v>-1.1037981770229499</v>
      </c>
      <c r="G1397" s="20">
        <v>1.1493737680921301</v>
      </c>
      <c r="H1397" s="20">
        <v>9.4122277569763206E-3</v>
      </c>
      <c r="I1397" s="20">
        <v>138.96510681928399</v>
      </c>
      <c r="J1397" s="20">
        <v>837.61182886523818</v>
      </c>
      <c r="K1397" s="20">
        <v>10.637670226588526</v>
      </c>
      <c r="L1397" s="20">
        <f t="shared" si="48"/>
        <v>837.61014308675385</v>
      </c>
      <c r="M1397" s="20">
        <f t="shared" si="49"/>
        <v>-10.637648817244324</v>
      </c>
    </row>
    <row r="1398" spans="1:13" x14ac:dyDescent="0.2">
      <c r="A1398" s="23">
        <v>342.75</v>
      </c>
      <c r="B1398" s="20">
        <v>834.24455979539403</v>
      </c>
      <c r="C1398" s="20">
        <v>80.214028560878702</v>
      </c>
      <c r="D1398" s="20">
        <v>332.12510394448799</v>
      </c>
      <c r="E1398" s="20">
        <v>-0.32045448001607002</v>
      </c>
      <c r="F1398" s="20">
        <v>-1.10240359511663</v>
      </c>
      <c r="G1398" s="20">
        <v>1.1480351738028101</v>
      </c>
      <c r="H1398" s="20">
        <v>9.4181068294841696E-3</v>
      </c>
      <c r="I1398" s="20">
        <v>139.011317734648</v>
      </c>
      <c r="J1398" s="20">
        <v>838.09373176858708</v>
      </c>
      <c r="K1398" s="20">
        <v>10.643790393461057</v>
      </c>
      <c r="L1398" s="20">
        <f t="shared" si="48"/>
        <v>838.09204502022101</v>
      </c>
      <c r="M1398" s="20">
        <f t="shared" si="49"/>
        <v>-10.643768971799382</v>
      </c>
    </row>
    <row r="1399" spans="1:13" x14ac:dyDescent="0.2">
      <c r="A1399" s="23">
        <v>343</v>
      </c>
      <c r="B1399" s="20">
        <v>834.71870863125605</v>
      </c>
      <c r="C1399" s="20">
        <v>80.311846227335394</v>
      </c>
      <c r="D1399" s="20">
        <v>332.09734137807902</v>
      </c>
      <c r="E1399" s="20">
        <v>-0.32045551469064198</v>
      </c>
      <c r="F1399" s="20">
        <v>-1.10100814077238</v>
      </c>
      <c r="G1399" s="20">
        <v>1.1466955406482999</v>
      </c>
      <c r="H1399" s="20">
        <v>9.4239881982278399E-3</v>
      </c>
      <c r="I1399" s="20">
        <v>139.05751973708701</v>
      </c>
      <c r="J1399" s="20">
        <v>838.57506863464323</v>
      </c>
      <c r="K1399" s="20">
        <v>10.64990337165997</v>
      </c>
      <c r="L1399" s="20">
        <f t="shared" si="48"/>
        <v>838.57338091754082</v>
      </c>
      <c r="M1399" s="20">
        <f t="shared" si="49"/>
        <v>-10.649881937695369</v>
      </c>
    </row>
    <row r="1400" spans="1:13" x14ac:dyDescent="0.2">
      <c r="A1400" s="23">
        <v>343.25</v>
      </c>
      <c r="B1400" s="20">
        <v>835.19228957585403</v>
      </c>
      <c r="C1400" s="20">
        <v>80.409617832699595</v>
      </c>
      <c r="D1400" s="20">
        <v>332.06957382936599</v>
      </c>
      <c r="E1400" s="20">
        <v>-0.32045535507655898</v>
      </c>
      <c r="F1400" s="20">
        <v>-1.0996118147323299</v>
      </c>
      <c r="G1400" s="20">
        <v>1.1453548697657701</v>
      </c>
      <c r="H1400" s="20">
        <v>9.4298711164966208E-3</v>
      </c>
      <c r="I1400" s="20">
        <v>139.10371831005</v>
      </c>
      <c r="J1400" s="20">
        <v>839.05583902719457</v>
      </c>
      <c r="K1400" s="20">
        <v>10.656009155645371</v>
      </c>
      <c r="L1400" s="20">
        <f t="shared" si="48"/>
        <v>839.05415034249006</v>
      </c>
      <c r="M1400" s="20">
        <f t="shared" si="49"/>
        <v>-10.655987709392248</v>
      </c>
    </row>
    <row r="1401" spans="1:13" x14ac:dyDescent="0.2">
      <c r="A1401" s="23">
        <v>343.5</v>
      </c>
      <c r="B1401" s="20">
        <v>835.66530221625806</v>
      </c>
      <c r="C1401" s="20">
        <v>80.507343163183904</v>
      </c>
      <c r="D1401" s="20">
        <v>332.041801310138</v>
      </c>
      <c r="E1401" s="20">
        <v>-0.32045400466385698</v>
      </c>
      <c r="F1401" s="20">
        <v>-1.0982146178404</v>
      </c>
      <c r="G1401" s="20">
        <v>1.14401316248697</v>
      </c>
      <c r="H1401" s="20">
        <v>9.4357548167838499E-3</v>
      </c>
      <c r="I1401" s="20">
        <v>139.14991904356299</v>
      </c>
      <c r="J1401" s="20">
        <v>839.53604251075683</v>
      </c>
      <c r="K1401" s="20">
        <v>10.662107739886613</v>
      </c>
      <c r="L1401" s="20">
        <f t="shared" si="48"/>
        <v>839.53435285959836</v>
      </c>
      <c r="M1401" s="20">
        <f t="shared" si="49"/>
        <v>-10.662086281359548</v>
      </c>
    </row>
    <row r="1402" spans="1:13" x14ac:dyDescent="0.2">
      <c r="A1402" s="23">
        <v>343.75</v>
      </c>
      <c r="B1402" s="20">
        <v>836.13774614060503</v>
      </c>
      <c r="C1402" s="20">
        <v>80.605022002895396</v>
      </c>
      <c r="D1402" s="20">
        <v>332.01402383174701</v>
      </c>
      <c r="E1402" s="20">
        <v>-0.320451467277097</v>
      </c>
      <c r="F1402" s="20">
        <v>-1.09681655104431</v>
      </c>
      <c r="G1402" s="20">
        <v>1.1426704203421001</v>
      </c>
      <c r="H1402" s="20">
        <v>9.4416385105382892E-3</v>
      </c>
      <c r="I1402" s="20">
        <v>139.196127635587</v>
      </c>
      <c r="J1402" s="20">
        <v>840.01567865071377</v>
      </c>
      <c r="K1402" s="20">
        <v>10.668199118864065</v>
      </c>
      <c r="L1402" s="20">
        <f t="shared" si="48"/>
        <v>840.01398803423399</v>
      </c>
      <c r="M1402" s="20">
        <f t="shared" si="49"/>
        <v>-10.668177648077444</v>
      </c>
    </row>
    <row r="1403" spans="1:13" x14ac:dyDescent="0.2">
      <c r="A1403" s="23">
        <v>344</v>
      </c>
      <c r="B1403" s="20">
        <v>836.60962093821399</v>
      </c>
      <c r="C1403" s="20">
        <v>80.702654133736402</v>
      </c>
      <c r="D1403" s="20">
        <v>331.98624140506797</v>
      </c>
      <c r="E1403" s="20">
        <v>-0.32044774708062002</v>
      </c>
      <c r="F1403" s="20">
        <v>-1.0954176153976201</v>
      </c>
      <c r="G1403" s="20">
        <v>1.14132664506374</v>
      </c>
      <c r="H1403" s="20">
        <v>9.4475213879221791E-3</v>
      </c>
      <c r="I1403" s="20">
        <v>139.24234989336799</v>
      </c>
      <c r="J1403" s="20">
        <v>840.49474701335703</v>
      </c>
      <c r="K1403" s="20">
        <v>10.674283287069635</v>
      </c>
      <c r="L1403" s="20">
        <f t="shared" si="48"/>
        <v>840.49305543270953</v>
      </c>
      <c r="M1403" s="20">
        <f t="shared" si="49"/>
        <v>-10.674261804038109</v>
      </c>
    </row>
    <row r="1404" spans="1:13" x14ac:dyDescent="0.2">
      <c r="A1404" s="23">
        <v>344.25</v>
      </c>
      <c r="B1404" s="20">
        <v>837.08092619969398</v>
      </c>
      <c r="C1404" s="20">
        <v>80.800239335304099</v>
      </c>
      <c r="D1404" s="20">
        <v>331.95845404045502</v>
      </c>
      <c r="E1404" s="20">
        <v>-0.32044284858383798</v>
      </c>
      <c r="F1404" s="20">
        <v>-1.0940178120617901</v>
      </c>
      <c r="G1404" s="20">
        <v>1.13998183859086</v>
      </c>
      <c r="H1404" s="20">
        <v>9.45340261757599E-3</v>
      </c>
      <c r="I1404" s="20">
        <v>139.28859173476701</v>
      </c>
      <c r="J1404" s="20">
        <v>840.97324716605829</v>
      </c>
      <c r="K1404" s="20">
        <v>10.680360239008941</v>
      </c>
      <c r="L1404" s="20">
        <f t="shared" si="48"/>
        <v>840.97155462237845</v>
      </c>
      <c r="M1404" s="20">
        <f t="shared" si="49"/>
        <v>-10.680338743746928</v>
      </c>
    </row>
    <row r="1405" spans="1:13" x14ac:dyDescent="0.2">
      <c r="A1405" s="23">
        <v>344.5</v>
      </c>
      <c r="B1405" s="20">
        <v>837.55166151705396</v>
      </c>
      <c r="C1405" s="20">
        <v>80.897777384790004</v>
      </c>
      <c r="D1405" s="20">
        <v>331.93066174770598</v>
      </c>
      <c r="E1405" s="20">
        <v>-0.32043677664658898</v>
      </c>
      <c r="F1405" s="20">
        <v>-1.09261714230834</v>
      </c>
      <c r="G1405" s="20">
        <v>1.13863600307284</v>
      </c>
      <c r="H1405" s="20">
        <v>9.4592813463910096E-3</v>
      </c>
      <c r="I1405" s="20">
        <v>139.334859189593</v>
      </c>
      <c r="J1405" s="20">
        <v>841.45117867729994</v>
      </c>
      <c r="K1405" s="20">
        <v>10.68642996920171</v>
      </c>
      <c r="L1405" s="20">
        <f t="shared" si="48"/>
        <v>841.4494851717343</v>
      </c>
      <c r="M1405" s="20">
        <f t="shared" si="49"/>
        <v>-10.686408461723772</v>
      </c>
    </row>
    <row r="1406" spans="1:13" x14ac:dyDescent="0.2">
      <c r="A1406" s="23">
        <v>344.75</v>
      </c>
      <c r="B1406" s="20">
        <v>838.02182648381995</v>
      </c>
      <c r="C1406" s="20">
        <v>80.995268056877194</v>
      </c>
      <c r="D1406" s="20">
        <v>331.90286453600999</v>
      </c>
      <c r="E1406" s="20">
        <v>-0.32042953648452699</v>
      </c>
      <c r="F1406" s="20">
        <v>-1.0912156075208701</v>
      </c>
      <c r="G1406" s="20">
        <v>1.13728914087352</v>
      </c>
      <c r="H1406" s="20">
        <v>9.4651566992896407E-3</v>
      </c>
      <c r="I1406" s="20">
        <v>139.38115840092101</v>
      </c>
      <c r="J1406" s="20">
        <v>841.92854111682425</v>
      </c>
      <c r="K1406" s="20">
        <v>10.69249247218367</v>
      </c>
      <c r="L1406" s="20">
        <f t="shared" si="48"/>
        <v>841.92684665051684</v>
      </c>
      <c r="M1406" s="20">
        <f t="shared" si="49"/>
        <v>-10.692470952504333</v>
      </c>
    </row>
    <row r="1407" spans="1:13" x14ac:dyDescent="0.2">
      <c r="A1407" s="23">
        <v>345</v>
      </c>
      <c r="B1407" s="20">
        <v>838.49142069515096</v>
      </c>
      <c r="C1407" s="20">
        <v>81.092711123637898</v>
      </c>
      <c r="D1407" s="20">
        <v>331.87506241391202</v>
      </c>
      <c r="E1407" s="20">
        <v>-0.32042113367456998</v>
      </c>
      <c r="F1407" s="20">
        <v>-1.08981320919734</v>
      </c>
      <c r="G1407" s="20">
        <v>1.13594125457539</v>
      </c>
      <c r="H1407" s="20">
        <v>9.4710277790145507E-3</v>
      </c>
      <c r="I1407" s="20">
        <v>139.427495626389</v>
      </c>
      <c r="J1407" s="20">
        <v>842.40533405571944</v>
      </c>
      <c r="K1407" s="20">
        <v>10.698547742507637</v>
      </c>
      <c r="L1407" s="20">
        <f t="shared" si="48"/>
        <v>842.40363862981644</v>
      </c>
      <c r="M1407" s="20">
        <f t="shared" si="49"/>
        <v>-10.698526210641464</v>
      </c>
    </row>
    <row r="1408" spans="1:13" x14ac:dyDescent="0.2">
      <c r="A1408" s="23">
        <v>345.25</v>
      </c>
      <c r="B1408" s="20">
        <v>838.96044374795599</v>
      </c>
      <c r="C1408" s="20">
        <v>81.190106354429105</v>
      </c>
      <c r="D1408" s="20">
        <v>331.84725538926699</v>
      </c>
      <c r="E1408" s="20">
        <v>-0.32041157416038801</v>
      </c>
      <c r="F1408" s="20">
        <v>-1.0884099489521399</v>
      </c>
      <c r="G1408" s="20">
        <v>1.1345923469836801</v>
      </c>
      <c r="H1408" s="20">
        <v>9.4768936659268103E-3</v>
      </c>
      <c r="I1408" s="20">
        <v>139.47387723949001</v>
      </c>
      <c r="J1408" s="20">
        <v>842.88155706652935</v>
      </c>
      <c r="K1408" s="20">
        <v>10.704595774744924</v>
      </c>
      <c r="L1408" s="20">
        <f t="shared" si="48"/>
        <v>842.87986068217981</v>
      </c>
      <c r="M1408" s="20">
        <f t="shared" si="49"/>
        <v>-10.704574230706502</v>
      </c>
    </row>
    <row r="1409" spans="1:13" x14ac:dyDescent="0.2">
      <c r="A1409" s="23">
        <v>345.5</v>
      </c>
      <c r="B1409" s="20">
        <v>839.42889524101304</v>
      </c>
      <c r="C1409" s="20">
        <v>81.287453515787604</v>
      </c>
      <c r="D1409" s="20">
        <v>331.81944346918999</v>
      </c>
      <c r="E1409" s="20">
        <v>-0.32040086425793102</v>
      </c>
      <c r="F1409" s="20">
        <v>-1.0870058285183399</v>
      </c>
      <c r="G1409" s="20">
        <v>1.13324242113065</v>
      </c>
      <c r="H1409" s="20">
        <v>9.4827534178140403E-3</v>
      </c>
      <c r="I1409" s="20">
        <v>139.520309730847</v>
      </c>
      <c r="J1409" s="20">
        <v>843.35720972336242</v>
      </c>
      <c r="K1409" s="20">
        <v>10.710636563486704</v>
      </c>
      <c r="L1409" s="20">
        <f t="shared" si="48"/>
        <v>843.35551238171729</v>
      </c>
      <c r="M1409" s="20">
        <f t="shared" si="49"/>
        <v>-10.710615007290652</v>
      </c>
    </row>
    <row r="1410" spans="1:13" x14ac:dyDescent="0.2">
      <c r="A1410" s="23">
        <v>345.75</v>
      </c>
      <c r="B1410" s="20">
        <v>839.89677477509804</v>
      </c>
      <c r="C1410" s="20">
        <v>81.384752371323899</v>
      </c>
      <c r="D1410" s="20">
        <v>331.79162666001702</v>
      </c>
      <c r="E1410" s="20">
        <v>-0.320389010661009</v>
      </c>
      <c r="F1410" s="20">
        <v>-1.0856008497499301</v>
      </c>
      <c r="G1410" s="20">
        <v>1.1318914802798501</v>
      </c>
      <c r="H1410" s="20">
        <v>9.4886060697085203E-3</v>
      </c>
      <c r="I1410" s="20">
        <v>139.566799709463</v>
      </c>
      <c r="J1410" s="20">
        <v>843.83229160201722</v>
      </c>
      <c r="K1410" s="20">
        <v>10.716670103345621</v>
      </c>
      <c r="L1410" s="20">
        <f t="shared" si="48"/>
        <v>843.83059330422088</v>
      </c>
      <c r="M1410" s="20">
        <f t="shared" si="49"/>
        <v>-10.716648535006472</v>
      </c>
    </row>
    <row r="1411" spans="1:13" x14ac:dyDescent="0.2">
      <c r="A1411" s="23">
        <v>346</v>
      </c>
      <c r="B1411" s="20">
        <v>840.36408195310105</v>
      </c>
      <c r="C1411" s="20">
        <v>81.482002681615199</v>
      </c>
      <c r="D1411" s="20">
        <v>331.763804967255</v>
      </c>
      <c r="E1411" s="20">
        <v>-0.32037602044691099</v>
      </c>
      <c r="F1411" s="20">
        <v>-1.08419501462405</v>
      </c>
      <c r="G1411" s="20">
        <v>1.13053952793038</v>
      </c>
      <c r="H1411" s="20">
        <v>9.4944506337167993E-3</v>
      </c>
      <c r="I1411" s="20">
        <v>139.613353903963</v>
      </c>
      <c r="J1411" s="20">
        <v>844.30680228006099</v>
      </c>
      <c r="K1411" s="20">
        <v>10.722696388956775</v>
      </c>
      <c r="L1411" s="20">
        <f t="shared" si="48"/>
        <v>844.30510302726771</v>
      </c>
      <c r="M1411" s="20">
        <f t="shared" si="49"/>
        <v>-10.722674808489192</v>
      </c>
    </row>
    <row r="1412" spans="1:13" x14ac:dyDescent="0.2">
      <c r="A1412" s="23">
        <v>346.25</v>
      </c>
      <c r="B1412" s="20">
        <v>840.83081638016097</v>
      </c>
      <c r="C1412" s="20">
        <v>81.579204204097095</v>
      </c>
      <c r="D1412" s="20">
        <v>331.73597839553503</v>
      </c>
      <c r="E1412" s="20">
        <v>-0.32036190108205698</v>
      </c>
      <c r="F1412" s="20">
        <v>-1.0827883252432799</v>
      </c>
      <c r="G1412" s="20">
        <v>1.1291865678213</v>
      </c>
      <c r="H1412" s="20">
        <v>9.5002860988603107E-3</v>
      </c>
      <c r="I1412" s="20">
        <v>139.65997916380601</v>
      </c>
      <c r="J1412" s="20">
        <v>844.78074133699351</v>
      </c>
      <c r="K1412" s="20">
        <v>10.728715414979819</v>
      </c>
      <c r="L1412" s="20">
        <f t="shared" si="48"/>
        <v>844.77904113034299</v>
      </c>
      <c r="M1412" s="20">
        <f t="shared" si="49"/>
        <v>-10.72869382239827</v>
      </c>
    </row>
    <row r="1413" spans="1:13" x14ac:dyDescent="0.2">
      <c r="A1413" s="23">
        <v>346.5</v>
      </c>
      <c r="B1413" s="20">
        <v>841.29697766379002</v>
      </c>
      <c r="C1413" s="20">
        <v>81.676356692955096</v>
      </c>
      <c r="D1413" s="20">
        <v>331.70814694856603</v>
      </c>
      <c r="E1413" s="20">
        <v>-0.32034666042769999</v>
      </c>
      <c r="F1413" s="20">
        <v>-1.0813807838379099</v>
      </c>
      <c r="G1413" s="20">
        <v>1.12783260393601</v>
      </c>
      <c r="H1413" s="20">
        <v>9.5061114309290592E-3</v>
      </c>
      <c r="I1413" s="20">
        <v>139.70668246047799</v>
      </c>
      <c r="J1413" s="20">
        <v>845.25410835430171</v>
      </c>
      <c r="K1413" s="20">
        <v>10.734727176099632</v>
      </c>
      <c r="L1413" s="20">
        <f t="shared" si="48"/>
        <v>845.25240719495287</v>
      </c>
      <c r="M1413" s="20">
        <f t="shared" si="49"/>
        <v>-10.734705571418839</v>
      </c>
    </row>
    <row r="1414" spans="1:13" x14ac:dyDescent="0.2">
      <c r="A1414" s="23">
        <v>346.75</v>
      </c>
      <c r="B1414" s="20">
        <v>841.76256541400596</v>
      </c>
      <c r="C1414" s="20">
        <v>81.773459899013901</v>
      </c>
      <c r="D1414" s="20">
        <v>331.68031062908301</v>
      </c>
      <c r="E1414" s="20">
        <v>-0.32033030674565699</v>
      </c>
      <c r="F1414" s="20">
        <v>-1.07997239276833</v>
      </c>
      <c r="G1414" s="20">
        <v>1.1264776405066901</v>
      </c>
      <c r="H1414" s="20">
        <v>9.51192557234741E-3</v>
      </c>
      <c r="I1414" s="20">
        <v>139.753470888663</v>
      </c>
      <c r="J1414" s="20">
        <v>845.72690291563276</v>
      </c>
      <c r="K1414" s="20">
        <v>10.740731667028538</v>
      </c>
      <c r="L1414" s="20">
        <f t="shared" si="48"/>
        <v>845.72520080474385</v>
      </c>
      <c r="M1414" s="20">
        <f t="shared" si="49"/>
        <v>-10.740710050263209</v>
      </c>
    </row>
    <row r="1415" spans="1:13" x14ac:dyDescent="0.2">
      <c r="A1415" s="23">
        <v>347</v>
      </c>
      <c r="B1415" s="20">
        <v>842.22757924346604</v>
      </c>
      <c r="C1415" s="20">
        <v>81.870513569626695</v>
      </c>
      <c r="D1415" s="20">
        <v>331.65246943880101</v>
      </c>
      <c r="E1415" s="20">
        <v>-0.320312848704076</v>
      </c>
      <c r="F1415" s="20">
        <v>-1.07856315452731</v>
      </c>
      <c r="G1415" s="20">
        <v>1.1251216820187999</v>
      </c>
      <c r="H1415" s="20">
        <v>9.5177274420543308E-3</v>
      </c>
      <c r="I1415" s="20">
        <v>139.80035166738401</v>
      </c>
      <c r="J1415" s="20">
        <v>846.19912460691057</v>
      </c>
      <c r="K1415" s="20">
        <v>10.746728882507766</v>
      </c>
      <c r="L1415" s="20">
        <f t="shared" si="48"/>
        <v>846.19742154562448</v>
      </c>
      <c r="M1415" s="20">
        <f t="shared" si="49"/>
        <v>-10.746707253672417</v>
      </c>
    </row>
    <row r="1416" spans="1:13" x14ac:dyDescent="0.2">
      <c r="A1416" s="23">
        <v>347.25</v>
      </c>
      <c r="B1416" s="20">
        <v>842.69201876760201</v>
      </c>
      <c r="C1416" s="20">
        <v>81.9675174485632</v>
      </c>
      <c r="D1416" s="20">
        <v>331.62462337836303</v>
      </c>
      <c r="E1416" s="20">
        <v>-0.320294295383243</v>
      </c>
      <c r="F1416" s="20">
        <v>-1.0771530717423901</v>
      </c>
      <c r="G1416" s="20">
        <v>1.12376473321559</v>
      </c>
      <c r="H1416" s="20">
        <v>9.5235159353976306E-3</v>
      </c>
      <c r="I1416" s="20">
        <v>139.84733214111799</v>
      </c>
      <c r="J1416" s="20">
        <v>846.67077301641416</v>
      </c>
      <c r="K1416" s="20">
        <v>10.752718817308459</v>
      </c>
      <c r="L1416" s="20">
        <f t="shared" si="48"/>
        <v>846.66906900588788</v>
      </c>
      <c r="M1416" s="20">
        <f t="shared" si="49"/>
        <v>-10.752697176417787</v>
      </c>
    </row>
    <row r="1417" spans="1:13" x14ac:dyDescent="0.2">
      <c r="A1417" s="23">
        <v>347.5</v>
      </c>
      <c r="B1417" s="20">
        <v>843.15588360476102</v>
      </c>
      <c r="C1417" s="20">
        <v>82.064471275896196</v>
      </c>
      <c r="D1417" s="20">
        <v>331.596772447288</v>
      </c>
      <c r="E1417" s="20">
        <v>-0.320274656281408</v>
      </c>
      <c r="F1417" s="20">
        <v>-1.07574214717828</v>
      </c>
      <c r="G1417" s="20">
        <v>1.12240679910267</v>
      </c>
      <c r="H1417" s="20">
        <v>9.5292899240432393E-3</v>
      </c>
      <c r="I1417" s="20">
        <v>139.89441978088001</v>
      </c>
      <c r="J1417" s="20">
        <v>847.14184773494981</v>
      </c>
      <c r="K1417" s="20">
        <v>10.758701466233864</v>
      </c>
      <c r="L1417" s="20">
        <f t="shared" si="48"/>
        <v>847.14014277633999</v>
      </c>
      <c r="M1417" s="20">
        <f t="shared" si="49"/>
        <v>-10.758679813302553</v>
      </c>
    </row>
    <row r="1418" spans="1:13" x14ac:dyDescent="0.2">
      <c r="A1418" s="23">
        <v>347.75</v>
      </c>
      <c r="B1418" s="20">
        <v>843.61917337634202</v>
      </c>
      <c r="C1418" s="20">
        <v>82.161374787887794</v>
      </c>
      <c r="D1418" s="20">
        <v>331.56891664391998</v>
      </c>
      <c r="E1418" s="20">
        <v>-0.32025394132065599</v>
      </c>
      <c r="F1418" s="20">
        <v>-1.0743303837392699</v>
      </c>
      <c r="G1418" s="20">
        <v>1.12104788495264</v>
      </c>
      <c r="H1418" s="20">
        <v>9.5350482559007094E-3</v>
      </c>
      <c r="I1418" s="20">
        <v>139.94162218527501</v>
      </c>
      <c r="J1418" s="20">
        <v>847.61234835596144</v>
      </c>
      <c r="K1418" s="20">
        <v>10.764676824120711</v>
      </c>
      <c r="L1418" s="20">
        <f t="shared" si="48"/>
        <v>847.6106424504228</v>
      </c>
      <c r="M1418" s="20">
        <f t="shared" si="49"/>
        <v>-10.764655159163429</v>
      </c>
    </row>
    <row r="1419" spans="1:13" x14ac:dyDescent="0.2">
      <c r="A1419" s="23">
        <v>348</v>
      </c>
      <c r="B1419" s="20">
        <v>844.08188770694198</v>
      </c>
      <c r="C1419" s="20">
        <v>82.258227716874302</v>
      </c>
      <c r="D1419" s="20">
        <v>331.54105596537801</v>
      </c>
      <c r="E1419" s="20">
        <v>-0.32023216085279199</v>
      </c>
      <c r="F1419" s="20">
        <v>-1.07291778447165</v>
      </c>
      <c r="G1419" s="20">
        <v>1.11968799630969</v>
      </c>
      <c r="H1419" s="20">
        <v>9.5407900853452295E-3</v>
      </c>
      <c r="I1419" s="20">
        <v>139.98894484344399</v>
      </c>
      <c r="J1419" s="20">
        <v>848.08227447566185</v>
      </c>
      <c r="K1419" s="20">
        <v>10.770644885840905</v>
      </c>
      <c r="L1419" s="20">
        <f t="shared" si="48"/>
        <v>848.08056762434762</v>
      </c>
      <c r="M1419" s="20">
        <f t="shared" si="49"/>
        <v>-10.770623208872298</v>
      </c>
    </row>
    <row r="1420" spans="1:13" x14ac:dyDescent="0.2">
      <c r="A1420" s="23">
        <v>348.25</v>
      </c>
      <c r="B1420" s="20">
        <v>844.54402622446901</v>
      </c>
      <c r="C1420" s="20">
        <v>82.355029791176406</v>
      </c>
      <c r="D1420" s="20">
        <v>331.51319040750798</v>
      </c>
      <c r="E1420" s="20">
        <v>-0.32020932546851799</v>
      </c>
      <c r="F1420" s="20">
        <v>-1.0715043524958701</v>
      </c>
      <c r="G1420" s="20">
        <v>1.1183271388706499</v>
      </c>
      <c r="H1420" s="20">
        <v>9.5465160262419406E-3</v>
      </c>
      <c r="I1420" s="20">
        <v>140.03638325917899</v>
      </c>
      <c r="J1420" s="20">
        <v>848.55162569312859</v>
      </c>
      <c r="K1420" s="20">
        <v>10.776605646302734</v>
      </c>
      <c r="L1420" s="20">
        <f t="shared" si="48"/>
        <v>848.54991789719838</v>
      </c>
      <c r="M1420" s="20">
        <f t="shared" si="49"/>
        <v>-10.776583957337527</v>
      </c>
    </row>
    <row r="1421" spans="1:13" x14ac:dyDescent="0.2">
      <c r="A1421" s="23">
        <v>348.5</v>
      </c>
      <c r="B1421" s="20">
        <v>845.00558856010196</v>
      </c>
      <c r="C1421" s="20">
        <v>82.451780735150606</v>
      </c>
      <c r="D1421" s="20">
        <v>331.48531996489601</v>
      </c>
      <c r="E1421" s="20">
        <v>-0.32018544519062497</v>
      </c>
      <c r="F1421" s="20">
        <v>-1.0700900907179201</v>
      </c>
      <c r="G1421" s="20">
        <v>1.1169653179775101</v>
      </c>
      <c r="H1421" s="20">
        <v>9.5522270656880799E-3</v>
      </c>
      <c r="I1421" s="20">
        <v>140.083930038614</v>
      </c>
      <c r="J1421" s="20">
        <v>849.02040161028708</v>
      </c>
      <c r="K1421" s="20">
        <v>10.782559100450646</v>
      </c>
      <c r="L1421" s="20">
        <f t="shared" si="48"/>
        <v>849.01869287089414</v>
      </c>
      <c r="M1421" s="20">
        <f t="shared" si="49"/>
        <v>-10.782537399503486</v>
      </c>
    </row>
    <row r="1422" spans="1:13" x14ac:dyDescent="0.2">
      <c r="A1422" s="23">
        <v>348.75</v>
      </c>
      <c r="B1422" s="20">
        <v>845.46657434810402</v>
      </c>
      <c r="C1422" s="20">
        <v>82.548480269371794</v>
      </c>
      <c r="D1422" s="20">
        <v>331.45744463092802</v>
      </c>
      <c r="E1422" s="20">
        <v>-0.32016052955410901</v>
      </c>
      <c r="F1422" s="20">
        <v>-1.06867500185524</v>
      </c>
      <c r="G1422" s="20">
        <v>1.1156025386645001</v>
      </c>
      <c r="H1422" s="20">
        <v>9.5579241955179896E-3</v>
      </c>
      <c r="I1422" s="20">
        <v>140.131577692295</v>
      </c>
      <c r="J1422" s="20">
        <v>849.48860183171519</v>
      </c>
      <c r="K1422" s="20">
        <v>10.788505243262783</v>
      </c>
      <c r="L1422" s="20">
        <f t="shared" si="48"/>
        <v>849.48689215002071</v>
      </c>
      <c r="M1422" s="20">
        <f t="shared" si="49"/>
        <v>-10.788483530348417</v>
      </c>
    </row>
    <row r="1423" spans="1:13" x14ac:dyDescent="0.2">
      <c r="A1423" s="23">
        <v>349</v>
      </c>
      <c r="B1423" s="20">
        <v>845.92698322566298</v>
      </c>
      <c r="C1423" s="20">
        <v>82.645128110783403</v>
      </c>
      <c r="D1423" s="20">
        <v>331.42956439784803</v>
      </c>
      <c r="E1423" s="20">
        <v>-0.320134587678918</v>
      </c>
      <c r="F1423" s="20">
        <v>-1.0672590884637601</v>
      </c>
      <c r="G1423" s="20">
        <v>1.11423880570408</v>
      </c>
      <c r="H1423" s="20">
        <v>9.5636084277669706E-3</v>
      </c>
      <c r="I1423" s="20">
        <v>140.17931863462201</v>
      </c>
      <c r="J1423" s="20">
        <v>849.95622596451824</v>
      </c>
      <c r="K1423" s="20">
        <v>10.794444069749384</v>
      </c>
      <c r="L1423" s="20">
        <f t="shared" si="48"/>
        <v>849.95451534168512</v>
      </c>
      <c r="M1423" s="20">
        <f t="shared" si="49"/>
        <v>-10.794422344882578</v>
      </c>
    </row>
    <row r="1424" spans="1:13" x14ac:dyDescent="0.2">
      <c r="A1424" s="23">
        <v>349.25</v>
      </c>
      <c r="B1424" s="20">
        <v>846.38681483275502</v>
      </c>
      <c r="C1424" s="20">
        <v>82.741723972834393</v>
      </c>
      <c r="D1424" s="20">
        <v>331.40167925679901</v>
      </c>
      <c r="E1424" s="20">
        <v>-0.32010762826070299</v>
      </c>
      <c r="F1424" s="20">
        <v>-1.06584235293531</v>
      </c>
      <c r="G1424" s="20">
        <v>1.1128741236013</v>
      </c>
      <c r="H1424" s="20">
        <v>9.5692807941291005E-3</v>
      </c>
      <c r="I1424" s="20">
        <v>140.22714518304099</v>
      </c>
      <c r="J1424" s="20">
        <v>850.42327361820401</v>
      </c>
      <c r="K1424" s="20">
        <v>10.800375574951191</v>
      </c>
      <c r="L1424" s="20">
        <f t="shared" si="48"/>
        <v>850.42156205539209</v>
      </c>
      <c r="M1424" s="20">
        <f t="shared" si="49"/>
        <v>-10.80035383814668</v>
      </c>
    </row>
    <row r="1425" spans="1:13" x14ac:dyDescent="0.2">
      <c r="A1425" s="23">
        <v>349.5</v>
      </c>
      <c r="B1425" s="20">
        <v>846.84606881200204</v>
      </c>
      <c r="C1425" s="20">
        <v>82.8382675656175</v>
      </c>
      <c r="D1425" s="20">
        <v>331.37378919787801</v>
      </c>
      <c r="E1425" s="20">
        <v>-0.32007965956576101</v>
      </c>
      <c r="F1425" s="20">
        <v>-1.0644247974962699</v>
      </c>
      <c r="G1425" s="20">
        <v>1.1115084965904301</v>
      </c>
      <c r="H1425" s="20">
        <v>9.5749423457852003E-3</v>
      </c>
      <c r="I1425" s="20">
        <v>140.275049558229</v>
      </c>
      <c r="J1425" s="20">
        <v>850.88974440454911</v>
      </c>
      <c r="K1425" s="20">
        <v>10.806299753937774</v>
      </c>
      <c r="L1425" s="20">
        <f t="shared" si="48"/>
        <v>850.88803190291435</v>
      </c>
      <c r="M1425" s="20">
        <f t="shared" si="49"/>
        <v>-10.806278005210238</v>
      </c>
    </row>
    <row r="1426" spans="1:13" x14ac:dyDescent="0.2">
      <c r="A1426" s="23">
        <v>349.75</v>
      </c>
      <c r="B1426" s="20">
        <v>847.30474480852399</v>
      </c>
      <c r="C1426" s="20">
        <v>82.934758596008294</v>
      </c>
      <c r="D1426" s="20">
        <v>331.34589421018097</v>
      </c>
      <c r="E1426" s="20">
        <v>-0.32005068942582199</v>
      </c>
      <c r="F1426" s="20">
        <v>-1.06300642420622</v>
      </c>
      <c r="G1426" s="20">
        <v>1.11014192863149</v>
      </c>
      <c r="H1426" s="20">
        <v>9.5805941532412994E-3</v>
      </c>
      <c r="I1426" s="20">
        <v>140.323023884191</v>
      </c>
      <c r="J1426" s="20">
        <v>851.35563793745052</v>
      </c>
      <c r="K1426" s="20">
        <v>10.812216601805623</v>
      </c>
      <c r="L1426" s="20">
        <f t="shared" si="48"/>
        <v>851.35392449815856</v>
      </c>
      <c r="M1426" s="20">
        <f t="shared" si="49"/>
        <v>-10.812194841169863</v>
      </c>
    </row>
    <row r="1427" spans="1:13" x14ac:dyDescent="0.2">
      <c r="A1427" s="23">
        <v>350</v>
      </c>
      <c r="B1427" s="20">
        <v>847.76284246979503</v>
      </c>
      <c r="C1427" s="20">
        <v>83.031196767805596</v>
      </c>
      <c r="D1427" s="20">
        <v>331.31799428185298</v>
      </c>
      <c r="E1427" s="20">
        <v>-0.32002072523285402</v>
      </c>
      <c r="F1427" s="20">
        <v>-1.0615872349565301</v>
      </c>
      <c r="G1427" s="20">
        <v>1.1087744234068599</v>
      </c>
      <c r="H1427" s="20">
        <v>9.5862373061803997E-3</v>
      </c>
      <c r="I1427" s="20">
        <v>140.371060188304</v>
      </c>
      <c r="J1427" s="20">
        <v>851.82095383281694</v>
      </c>
      <c r="K1427" s="20">
        <v>10.818126113676776</v>
      </c>
      <c r="L1427" s="20">
        <f t="shared" si="48"/>
        <v>851.81923945703443</v>
      </c>
      <c r="M1427" s="20">
        <f t="shared" si="49"/>
        <v>-10.81810434114761</v>
      </c>
    </row>
    <row r="1428" spans="1:13" x14ac:dyDescent="0.2">
      <c r="A1428" s="23">
        <v>350.25</v>
      </c>
      <c r="B1428" s="20">
        <v>848.22036144549304</v>
      </c>
      <c r="C1428" s="20">
        <v>83.127581781872294</v>
      </c>
      <c r="D1428" s="20">
        <v>331.29008940014103</v>
      </c>
      <c r="E1428" s="20">
        <v>-0.31998977393387301</v>
      </c>
      <c r="F1428" s="20">
        <v>-1.06016723146906</v>
      </c>
      <c r="G1428" s="20">
        <v>1.1074059843178701</v>
      </c>
      <c r="H1428" s="20">
        <v>9.5918729133285599E-3</v>
      </c>
      <c r="I1428" s="20">
        <v>140.41915040132301</v>
      </c>
      <c r="J1428" s="20">
        <v>852.285691708434</v>
      </c>
      <c r="K1428" s="20">
        <v>10.824028284697112</v>
      </c>
      <c r="L1428" s="20">
        <f t="shared" si="48"/>
        <v>852.28397639731838</v>
      </c>
      <c r="M1428" s="20">
        <f t="shared" si="49"/>
        <v>-10.824006500289238</v>
      </c>
    </row>
    <row r="1429" spans="1:13" x14ac:dyDescent="0.2">
      <c r="A1429" s="23">
        <v>350.5</v>
      </c>
      <c r="B1429" s="20">
        <v>848.67730138735305</v>
      </c>
      <c r="C1429" s="20">
        <v>83.223913336276595</v>
      </c>
      <c r="D1429" s="20">
        <v>331.26217955143898</v>
      </c>
      <c r="E1429" s="20">
        <v>-0.319957842025758</v>
      </c>
      <c r="F1429" s="20">
        <v>-1.0587464152947801</v>
      </c>
      <c r="G1429" s="20">
        <v>1.1060366144813301</v>
      </c>
      <c r="H1429" s="20">
        <v>9.59750210233613E-3</v>
      </c>
      <c r="I1429" s="20">
        <v>140.46728635733299</v>
      </c>
      <c r="J1429" s="20">
        <v>852.74985118380175</v>
      </c>
      <c r="K1429" s="20">
        <v>10.829923110034283</v>
      </c>
      <c r="L1429" s="20">
        <f t="shared" si="48"/>
        <v>852.74813493851991</v>
      </c>
      <c r="M1429" s="20">
        <f t="shared" si="49"/>
        <v>-10.829901313762523</v>
      </c>
    </row>
    <row r="1430" spans="1:13" x14ac:dyDescent="0.2">
      <c r="A1430" s="23">
        <v>350.75</v>
      </c>
      <c r="B1430" s="20">
        <v>849.13366194901198</v>
      </c>
      <c r="C1430" s="20">
        <v>83.320191126435404</v>
      </c>
      <c r="D1430" s="20">
        <v>331.23426472134599</v>
      </c>
      <c r="E1430" s="20">
        <v>-0.31992493555006601</v>
      </c>
      <c r="F1430" s="20">
        <v>-1.0573247878124199</v>
      </c>
      <c r="G1430" s="20">
        <v>1.1046663167261399</v>
      </c>
      <c r="H1430" s="20">
        <v>9.60312601967412E-3</v>
      </c>
      <c r="I1430" s="20">
        <v>140.51545979365599</v>
      </c>
      <c r="J1430" s="20">
        <v>853.21343188003152</v>
      </c>
      <c r="K1430" s="20">
        <v>10.835810584876402</v>
      </c>
      <c r="L1430" s="20">
        <f t="shared" si="48"/>
        <v>853.21171470174079</v>
      </c>
      <c r="M1430" s="20">
        <f t="shared" si="49"/>
        <v>-10.835788776755452</v>
      </c>
    </row>
    <row r="1431" spans="1:13" x14ac:dyDescent="0.2">
      <c r="A1431" s="23">
        <v>351</v>
      </c>
      <c r="B1431" s="20">
        <v>849.58944278585795</v>
      </c>
      <c r="C1431" s="20">
        <v>83.416414845257094</v>
      </c>
      <c r="D1431" s="20">
        <v>331.20634489471303</v>
      </c>
      <c r="E1431" s="20">
        <v>-0.31989106008785501</v>
      </c>
      <c r="F1431" s="20">
        <v>-1.05590235022722</v>
      </c>
      <c r="G1431" s="20">
        <v>1.10329509358988</v>
      </c>
      <c r="H1431" s="20">
        <v>9.6087458305469196E-3</v>
      </c>
      <c r="I1431" s="20">
        <v>140.56366235070001</v>
      </c>
      <c r="J1431" s="20">
        <v>853.67643341966721</v>
      </c>
      <c r="K1431" s="20">
        <v>10.841690704429773</v>
      </c>
      <c r="L1431" s="20">
        <f t="shared" si="48"/>
        <v>853.67471530953799</v>
      </c>
      <c r="M1431" s="20">
        <f t="shared" si="49"/>
        <v>-10.841668884474499</v>
      </c>
    </row>
    <row r="1432" spans="1:13" x14ac:dyDescent="0.2">
      <c r="A1432" s="23">
        <v>351.25</v>
      </c>
      <c r="B1432" s="20">
        <v>850.04464355487301</v>
      </c>
      <c r="C1432" s="20">
        <v>83.512584183285895</v>
      </c>
      <c r="D1432" s="20">
        <v>331.17842005569702</v>
      </c>
      <c r="E1432" s="20">
        <v>-0.31985622075448999</v>
      </c>
      <c r="F1432" s="20">
        <v>-1.05447910356951</v>
      </c>
      <c r="G1432" s="20">
        <v>1.10192294731533</v>
      </c>
      <c r="H1432" s="20">
        <v>9.6143627188215296E-3</v>
      </c>
      <c r="I1432" s="20">
        <v>140.61188557176601</v>
      </c>
      <c r="J1432" s="20">
        <v>854.13885542657431</v>
      </c>
      <c r="K1432" s="20">
        <v>10.847563463917496</v>
      </c>
      <c r="L1432" s="20">
        <f t="shared" si="48"/>
        <v>854.13713638578054</v>
      </c>
      <c r="M1432" s="20">
        <f t="shared" si="49"/>
        <v>-10.847541632142804</v>
      </c>
    </row>
    <row r="1433" spans="1:13" x14ac:dyDescent="0.2">
      <c r="A1433" s="23">
        <v>351.5</v>
      </c>
      <c r="B1433" s="20">
        <v>850.49926391447798</v>
      </c>
      <c r="C1433" s="20">
        <v>83.608698828847096</v>
      </c>
      <c r="D1433" s="20">
        <v>331.15049018781298</v>
      </c>
      <c r="E1433" s="20">
        <v>-0.319820422194452</v>
      </c>
      <c r="F1433" s="20">
        <v>-1.05305504869346</v>
      </c>
      <c r="G1433" s="20">
        <v>1.1005498798470801</v>
      </c>
      <c r="H1433" s="20">
        <v>9.6199778869740394E-3</v>
      </c>
      <c r="I1433" s="20">
        <v>140.66012090279199</v>
      </c>
      <c r="J1433" s="20">
        <v>854.6006975258083</v>
      </c>
      <c r="K1433" s="20">
        <v>10.853428858577766</v>
      </c>
      <c r="L1433" s="20">
        <f t="shared" si="48"/>
        <v>854.59897755550924</v>
      </c>
      <c r="M1433" s="20">
        <f t="shared" si="49"/>
        <v>-10.853407014998382</v>
      </c>
    </row>
    <row r="1434" spans="1:13" x14ac:dyDescent="0.2">
      <c r="A1434" s="23">
        <v>351.75</v>
      </c>
      <c r="B1434" s="20">
        <v>850.95330352437099</v>
      </c>
      <c r="C1434" s="20">
        <v>83.704758468192594</v>
      </c>
      <c r="D1434" s="20">
        <v>331.12255527398901</v>
      </c>
      <c r="E1434" s="20">
        <v>-0.31978366857613999</v>
      </c>
      <c r="F1434" s="20">
        <v>-1.05163018627574</v>
      </c>
      <c r="G1434" s="20">
        <v>1.0991758928280599</v>
      </c>
      <c r="H1434" s="20">
        <v>9.6255925560539794E-3</v>
      </c>
      <c r="I1434" s="20">
        <v>140.708359692052</v>
      </c>
      <c r="J1434" s="20">
        <v>855.06195934342611</v>
      </c>
      <c r="K1434" s="20">
        <v>10.859286883661511</v>
      </c>
      <c r="L1434" s="20">
        <f t="shared" si="48"/>
        <v>855.06023844478864</v>
      </c>
      <c r="M1434" s="20">
        <f t="shared" si="49"/>
        <v>-10.859265028292253</v>
      </c>
    </row>
    <row r="1435" spans="1:13" x14ac:dyDescent="0.2">
      <c r="A1435" s="23">
        <v>352</v>
      </c>
      <c r="B1435" s="20">
        <v>851.40676204536896</v>
      </c>
      <c r="C1435" s="20">
        <v>83.800762785647805</v>
      </c>
      <c r="D1435" s="20">
        <v>331.09461529662002</v>
      </c>
      <c r="E1435" s="20">
        <v>-0.31974596358665203</v>
      </c>
      <c r="F1435" s="20">
        <v>-1.0502045168142</v>
      </c>
      <c r="G1435" s="20">
        <v>1.0978009875960699</v>
      </c>
      <c r="H1435" s="20">
        <v>9.6312079656668808E-3</v>
      </c>
      <c r="I1435" s="20">
        <v>140.75659318978899</v>
      </c>
      <c r="J1435" s="20">
        <v>855.52264050636882</v>
      </c>
      <c r="K1435" s="20">
        <v>10.865137534430884</v>
      </c>
      <c r="L1435" s="20">
        <f t="shared" si="48"/>
        <v>855.5209186805638</v>
      </c>
      <c r="M1435" s="20">
        <f t="shared" si="49"/>
        <v>-10.86511566728662</v>
      </c>
    </row>
    <row r="1436" spans="1:13" x14ac:dyDescent="0.2">
      <c r="A1436" s="23">
        <v>352.25</v>
      </c>
      <c r="B1436" s="20">
        <v>851.85963913924604</v>
      </c>
      <c r="C1436" s="20">
        <v>83.896711463759104</v>
      </c>
      <c r="D1436" s="20">
        <v>331.066670237621</v>
      </c>
      <c r="E1436" s="20">
        <v>-0.31970731042656297</v>
      </c>
      <c r="F1436" s="20">
        <v>-1.0487780406265801</v>
      </c>
      <c r="G1436" s="20">
        <v>1.0964251651803301</v>
      </c>
      <c r="H1436" s="20">
        <v>9.6368253739760601E-3</v>
      </c>
      <c r="I1436" s="20">
        <v>140.80481254780199</v>
      </c>
      <c r="J1436" s="20">
        <v>855.98274064231259</v>
      </c>
      <c r="K1436" s="20">
        <v>10.870980806157371</v>
      </c>
      <c r="L1436" s="20">
        <f t="shared" ref="L1436:L1499" si="50">SQRT(B1436^2+C1436^2)</f>
        <v>855.9810178905135</v>
      </c>
      <c r="M1436" s="20">
        <f t="shared" ref="M1436:M1499" si="51">-L1436/A$25*100</f>
        <v>-10.870958927253005</v>
      </c>
    </row>
    <row r="1437" spans="1:13" x14ac:dyDescent="0.2">
      <c r="A1437" s="23">
        <v>352.5</v>
      </c>
      <c r="B1437" s="20">
        <v>852.31193446856503</v>
      </c>
      <c r="C1437" s="20">
        <v>83.992604183441699</v>
      </c>
      <c r="D1437" s="20">
        <v>331.038720078484</v>
      </c>
      <c r="E1437" s="20">
        <v>-0.31966771180467002</v>
      </c>
      <c r="F1437" s="20">
        <v>-1.0473507578492001</v>
      </c>
      <c r="G1437" s="20">
        <v>1.095048426298</v>
      </c>
      <c r="H1437" s="20">
        <v>9.6424460577236495E-3</v>
      </c>
      <c r="I1437" s="20">
        <v>140.853008818972</v>
      </c>
      <c r="J1437" s="20">
        <v>856.44225937952899</v>
      </c>
      <c r="K1437" s="20">
        <v>10.876816694120018</v>
      </c>
      <c r="L1437" s="20">
        <f t="shared" si="50"/>
        <v>856.44053570289623</v>
      </c>
      <c r="M1437" s="20">
        <f t="shared" si="51"/>
        <v>-10.87679480347029</v>
      </c>
    </row>
    <row r="1438" spans="1:13" x14ac:dyDescent="0.2">
      <c r="A1438" s="23">
        <v>352.75</v>
      </c>
      <c r="B1438" s="20">
        <v>852.76364769651605</v>
      </c>
      <c r="C1438" s="20">
        <v>84.088440624129404</v>
      </c>
      <c r="D1438" s="20">
        <v>331.01076480033299</v>
      </c>
      <c r="E1438" s="20">
        <v>-0.31962716993273399</v>
      </c>
      <c r="F1438" s="20">
        <v>-1.0459226684356</v>
      </c>
      <c r="G1438" s="20">
        <v>1.09367077135062</v>
      </c>
      <c r="H1438" s="20">
        <v>9.6480713122718206E-3</v>
      </c>
      <c r="I1438" s="20">
        <v>140.90117295672201</v>
      </c>
      <c r="J1438" s="20">
        <v>856.90119634668827</v>
      </c>
      <c r="K1438" s="20">
        <v>10.882645193602942</v>
      </c>
      <c r="L1438" s="20">
        <f t="shared" si="50"/>
        <v>856.89947174640349</v>
      </c>
      <c r="M1438" s="20">
        <f t="shared" si="51"/>
        <v>-10.882623291222854</v>
      </c>
    </row>
    <row r="1439" spans="1:13" x14ac:dyDescent="0.2">
      <c r="A1439" s="23">
        <v>353</v>
      </c>
      <c r="B1439" s="20">
        <v>853.21477848674601</v>
      </c>
      <c r="C1439" s="20">
        <v>84.184220463924007</v>
      </c>
      <c r="D1439" s="20">
        <v>330.98280438397802</v>
      </c>
      <c r="E1439" s="20">
        <v>-0.31958568652018599</v>
      </c>
      <c r="F1439" s="20">
        <v>-1.0444937721553</v>
      </c>
      <c r="G1439" s="20">
        <v>1.0922922004206499</v>
      </c>
      <c r="H1439" s="20">
        <v>9.6537024516647196E-3</v>
      </c>
      <c r="I1439" s="20">
        <v>140.949295814431</v>
      </c>
      <c r="J1439" s="20">
        <v>857.35955117278138</v>
      </c>
      <c r="K1439" s="20">
        <v>10.888466299894324</v>
      </c>
      <c r="L1439" s="20">
        <f t="shared" si="50"/>
        <v>857.35782565000568</v>
      </c>
      <c r="M1439" s="20">
        <f t="shared" si="51"/>
        <v>-10.888444385798627</v>
      </c>
    </row>
    <row r="1440" spans="1:13" x14ac:dyDescent="0.2">
      <c r="A1440" s="23">
        <v>353.25</v>
      </c>
      <c r="B1440" s="20">
        <v>853.66532650319198</v>
      </c>
      <c r="C1440" s="20">
        <v>84.279943379746101</v>
      </c>
      <c r="D1440" s="20">
        <v>330.95483880997699</v>
      </c>
      <c r="E1440" s="20">
        <v>-0.31954326276880801</v>
      </c>
      <c r="F1440" s="20">
        <v>-1.0430640685924</v>
      </c>
      <c r="G1440" s="20">
        <v>1.09091271326787</v>
      </c>
      <c r="H1440" s="20">
        <v>9.6593408087115792E-3</v>
      </c>
      <c r="I1440" s="20">
        <v>140.99736814477799</v>
      </c>
      <c r="J1440" s="20">
        <v>857.81732348688558</v>
      </c>
      <c r="K1440" s="20">
        <v>10.894280008283449</v>
      </c>
      <c r="L1440" s="20">
        <f t="shared" si="50"/>
        <v>857.81559704279948</v>
      </c>
      <c r="M1440" s="20">
        <f t="shared" si="51"/>
        <v>-10.894258082487131</v>
      </c>
    </row>
    <row r="1441" spans="1:13" x14ac:dyDescent="0.2">
      <c r="A1441" s="23">
        <v>353.5</v>
      </c>
      <c r="B1441" s="20">
        <v>854.11529140990297</v>
      </c>
      <c r="C1441" s="20">
        <v>84.375609047486506</v>
      </c>
      <c r="D1441" s="20">
        <v>330.926868058688</v>
      </c>
      <c r="E1441" s="20">
        <v>-0.31949989936738699</v>
      </c>
      <c r="F1441" s="20">
        <v>-1.0416335571443101</v>
      </c>
      <c r="G1441" s="20">
        <v>1.08953230932583</v>
      </c>
      <c r="H1441" s="20">
        <v>9.6649877350916003E-3</v>
      </c>
      <c r="I1441" s="20">
        <v>141.045380599026</v>
      </c>
      <c r="J1441" s="20">
        <v>858.27451291807029</v>
      </c>
      <c r="K1441" s="20">
        <v>10.900086314059493</v>
      </c>
      <c r="L1441" s="20">
        <f t="shared" si="50"/>
        <v>858.27278555384578</v>
      </c>
      <c r="M1441" s="20">
        <f t="shared" si="51"/>
        <v>-10.900064376577442</v>
      </c>
    </row>
    <row r="1442" spans="1:13" x14ac:dyDescent="0.2">
      <c r="A1442" s="23">
        <v>353.75</v>
      </c>
      <c r="B1442" s="20">
        <v>854.56467287087401</v>
      </c>
      <c r="C1442" s="20">
        <v>84.471217142159105</v>
      </c>
      <c r="D1442" s="20">
        <v>330.89889211033301</v>
      </c>
      <c r="E1442" s="20">
        <v>-0.31945559648633598</v>
      </c>
      <c r="F1442" s="20">
        <v>-1.0402022370203901</v>
      </c>
      <c r="G1442" s="20">
        <v>1.08815098769824</v>
      </c>
      <c r="H1442" s="20">
        <v>9.6706446014811192E-3</v>
      </c>
      <c r="I1442" s="20">
        <v>141.093323726248</v>
      </c>
      <c r="J1442" s="20">
        <v>858.73111909520912</v>
      </c>
      <c r="K1442" s="20">
        <v>10.905885212509157</v>
      </c>
      <c r="L1442" s="20">
        <f t="shared" si="50"/>
        <v>858.72939081201923</v>
      </c>
      <c r="M1442" s="20">
        <f t="shared" si="51"/>
        <v>-10.905863263356268</v>
      </c>
    </row>
    <row r="1443" spans="1:13" x14ac:dyDescent="0.2">
      <c r="A1443" s="23">
        <v>354</v>
      </c>
      <c r="B1443" s="20">
        <v>855.01347054986695</v>
      </c>
      <c r="C1443" s="20">
        <v>84.566767338053197</v>
      </c>
      <c r="D1443" s="20">
        <v>330.87091094504899</v>
      </c>
      <c r="E1443" s="20">
        <v>-0.319410353772272</v>
      </c>
      <c r="F1443" s="20">
        <v>-1.0387701072406199</v>
      </c>
      <c r="G1443" s="20">
        <v>1.08676874715535</v>
      </c>
      <c r="H1443" s="20">
        <v>9.6763127977038104E-3</v>
      </c>
      <c r="I1443" s="20">
        <v>141.14118797248699</v>
      </c>
      <c r="J1443" s="20">
        <v>859.18714164683172</v>
      </c>
      <c r="K1443" s="20">
        <v>10.911676698914762</v>
      </c>
      <c r="L1443" s="20">
        <f t="shared" si="50"/>
        <v>859.18541244584492</v>
      </c>
      <c r="M1443" s="20">
        <f t="shared" si="51"/>
        <v>-10.911654738105877</v>
      </c>
    </row>
    <row r="1444" spans="1:13" x14ac:dyDescent="0.2">
      <c r="A1444" s="23">
        <v>354.25</v>
      </c>
      <c r="B1444" s="20">
        <v>855.46168411023496</v>
      </c>
      <c r="C1444" s="20">
        <v>84.662259308888395</v>
      </c>
      <c r="D1444" s="20">
        <v>330.84292454295399</v>
      </c>
      <c r="E1444" s="20">
        <v>-0.31936417034256598</v>
      </c>
      <c r="F1444" s="20">
        <v>-1.0373371666342299</v>
      </c>
      <c r="G1444" s="20">
        <v>1.0853855861302599</v>
      </c>
      <c r="H1444" s="20">
        <v>9.6819937329043499E-3</v>
      </c>
      <c r="I1444" s="20">
        <v>141.18896367984999</v>
      </c>
      <c r="J1444" s="20">
        <v>859.64258020093519</v>
      </c>
      <c r="K1444" s="20">
        <v>10.917460768551877</v>
      </c>
      <c r="L1444" s="20">
        <f t="shared" si="50"/>
        <v>859.64085008333848</v>
      </c>
      <c r="M1444" s="20">
        <f t="shared" si="51"/>
        <v>-10.917438796102068</v>
      </c>
    </row>
    <row r="1445" spans="1:13" x14ac:dyDescent="0.2">
      <c r="A1445" s="23">
        <v>354.5</v>
      </c>
      <c r="B1445" s="20">
        <v>855.90931321473897</v>
      </c>
      <c r="C1445" s="20">
        <v>84.757692727968603</v>
      </c>
      <c r="D1445" s="20">
        <v>330.81493288420398</v>
      </c>
      <c r="E1445" s="20">
        <v>-0.31931704477983403</v>
      </c>
      <c r="F1445" s="20">
        <v>-1.03590341383836</v>
      </c>
      <c r="G1445" s="20">
        <v>1.0840015027152401</v>
      </c>
      <c r="H1445" s="20">
        <v>9.687688835746E-3</v>
      </c>
      <c r="I1445" s="20">
        <v>141.236641085543</v>
      </c>
      <c r="J1445" s="20">
        <v>860.09743438487533</v>
      </c>
      <c r="K1445" s="20">
        <v>10.923237416687916</v>
      </c>
      <c r="L1445" s="20">
        <f t="shared" si="50"/>
        <v>860.09570335183912</v>
      </c>
      <c r="M1445" s="20">
        <f t="shared" si="51"/>
        <v>-10.92321543261205</v>
      </c>
    </row>
    <row r="1446" spans="1:13" x14ac:dyDescent="0.2">
      <c r="A1446" s="23">
        <v>354.75</v>
      </c>
      <c r="B1446" s="20">
        <v>856.35635752537496</v>
      </c>
      <c r="C1446" s="20">
        <v>84.853067268338506</v>
      </c>
      <c r="D1446" s="20">
        <v>330.78693594905201</v>
      </c>
      <c r="E1446" s="20">
        <v>-0.31926897512639901</v>
      </c>
      <c r="F1446" s="20">
        <v>-1.0344688472966601</v>
      </c>
      <c r="G1446" s="20">
        <v>1.0826164946579899</v>
      </c>
      <c r="H1446" s="20">
        <v>9.6933995546329595E-3</v>
      </c>
      <c r="I1446" s="20">
        <v>141.28421032083699</v>
      </c>
      <c r="J1446" s="20">
        <v>860.5517038251553</v>
      </c>
      <c r="K1446" s="20">
        <v>10.929006638579473</v>
      </c>
      <c r="L1446" s="20">
        <f t="shared" si="50"/>
        <v>860.54997187785261</v>
      </c>
      <c r="M1446" s="20">
        <f t="shared" si="51"/>
        <v>-10.928984642892445</v>
      </c>
    </row>
    <row r="1447" spans="1:13" x14ac:dyDescent="0.2">
      <c r="A1447" s="23">
        <v>355</v>
      </c>
      <c r="B1447" s="20">
        <v>856.80281670318402</v>
      </c>
      <c r="C1447" s="20">
        <v>84.948382602939205</v>
      </c>
      <c r="D1447" s="20">
        <v>330.75893371791</v>
      </c>
      <c r="E1447" s="20">
        <v>-0.31921995887868798</v>
      </c>
      <c r="F1447" s="20">
        <v>-1.0330334652579201</v>
      </c>
      <c r="G1447" s="20">
        <v>1.08123055935785</v>
      </c>
      <c r="H1447" s="20">
        <v>9.6991273579578909E-3</v>
      </c>
      <c r="I1447" s="20">
        <v>141.33166140997099</v>
      </c>
      <c r="J1447" s="20">
        <v>861.00538814726792</v>
      </c>
      <c r="K1447" s="20">
        <v>10.934768429470303</v>
      </c>
      <c r="L1447" s="20">
        <f t="shared" si="50"/>
        <v>861.00365528687814</v>
      </c>
      <c r="M1447" s="20">
        <f t="shared" si="51"/>
        <v>-10.934746422187091</v>
      </c>
    </row>
    <row r="1448" spans="1:13" x14ac:dyDescent="0.2">
      <c r="A1448" s="23">
        <v>355.25</v>
      </c>
      <c r="B1448" s="20">
        <v>857.248690408068</v>
      </c>
      <c r="C1448" s="20">
        <v>85.043638404766597</v>
      </c>
      <c r="D1448" s="20">
        <v>330.73092617141202</v>
      </c>
      <c r="E1448" s="20">
        <v>-0.31916999298158699</v>
      </c>
      <c r="F1448" s="20">
        <v>-1.0315972657746399</v>
      </c>
      <c r="G1448" s="20">
        <v>1.0798436938620199</v>
      </c>
      <c r="H1448" s="20">
        <v>9.7048737343750306E-3</v>
      </c>
      <c r="I1448" s="20">
        <v>141.37898426898201</v>
      </c>
      <c r="J1448" s="20">
        <v>861.45848697553356</v>
      </c>
      <c r="K1448" s="20">
        <v>10.940522784589277</v>
      </c>
      <c r="L1448" s="20">
        <f t="shared" si="50"/>
        <v>861.45675320324017</v>
      </c>
      <c r="M1448" s="20">
        <f t="shared" si="51"/>
        <v>-10.940500765724913</v>
      </c>
    </row>
    <row r="1449" spans="1:13" x14ac:dyDescent="0.2">
      <c r="A1449" s="23">
        <v>355.5</v>
      </c>
      <c r="B1449" s="20">
        <v>857.69397829860702</v>
      </c>
      <c r="C1449" s="20">
        <v>85.138834347028904</v>
      </c>
      <c r="D1449" s="20">
        <v>330.70291329047501</v>
      </c>
      <c r="E1449" s="20">
        <v>-0.31911907382273103</v>
      </c>
      <c r="F1449" s="20">
        <v>-1.03016024670163</v>
      </c>
      <c r="G1449" s="20">
        <v>1.0784558948616501</v>
      </c>
      <c r="H1449" s="20">
        <v>9.7106401930999106E-3</v>
      </c>
      <c r="I1449" s="20">
        <v>141.42616870447901</v>
      </c>
      <c r="J1449" s="20">
        <v>861.91099993294938</v>
      </c>
      <c r="K1449" s="20">
        <v>10.946269699148457</v>
      </c>
      <c r="L1449" s="20">
        <f t="shared" si="50"/>
        <v>861.90926524992301</v>
      </c>
      <c r="M1449" s="20">
        <f t="shared" si="51"/>
        <v>-10.946247668717808</v>
      </c>
    </row>
    <row r="1450" spans="1:13" x14ac:dyDescent="0.2">
      <c r="A1450" s="23">
        <v>355.75</v>
      </c>
      <c r="B1450" s="20">
        <v>858.13868003186701</v>
      </c>
      <c r="C1450" s="20">
        <v>85.233970103306106</v>
      </c>
      <c r="D1450" s="20">
        <v>330.67489505636001</v>
      </c>
      <c r="E1450" s="20">
        <v>-0.31906719722674098</v>
      </c>
      <c r="F1450" s="20">
        <v>-1.0287224056945601</v>
      </c>
      <c r="G1450" s="20">
        <v>1.0770671586879501</v>
      </c>
      <c r="H1450" s="20">
        <v>9.7164282642356794E-3</v>
      </c>
      <c r="I1450" s="20">
        <v>141.47320441233799</v>
      </c>
      <c r="J1450" s="20">
        <v>862.36292664096322</v>
      </c>
      <c r="K1450" s="20">
        <v>10.952009168340233</v>
      </c>
      <c r="L1450" s="20">
        <f t="shared" si="50"/>
        <v>862.36119104839486</v>
      </c>
      <c r="M1450" s="20">
        <f t="shared" si="51"/>
        <v>-10.951987126358423</v>
      </c>
    </row>
    <row r="1451" spans="1:13" x14ac:dyDescent="0.2">
      <c r="A1451" s="23">
        <v>356</v>
      </c>
      <c r="B1451" s="20">
        <v>858.58279526320905</v>
      </c>
      <c r="C1451" s="20">
        <v>85.329045347709993</v>
      </c>
      <c r="D1451" s="20">
        <v>330.64687145073799</v>
      </c>
      <c r="E1451" s="20">
        <v>-0.31901435844939102</v>
      </c>
      <c r="F1451" s="20">
        <v>-1.02728374020848</v>
      </c>
      <c r="G1451" s="20">
        <v>1.0756774813082199</v>
      </c>
      <c r="H1451" s="20">
        <v>9.7222394991273598E-3</v>
      </c>
      <c r="I1451" s="20">
        <v>141.52008097633501</v>
      </c>
      <c r="J1451" s="20">
        <v>862.81426671937254</v>
      </c>
      <c r="K1451" s="20">
        <v>10.957741187336032</v>
      </c>
      <c r="L1451" s="20">
        <f t="shared" si="50"/>
        <v>862.81253021843452</v>
      </c>
      <c r="M1451" s="20">
        <f t="shared" si="51"/>
        <v>-10.95771913381795</v>
      </c>
    </row>
    <row r="1452" spans="1:13" x14ac:dyDescent="0.2">
      <c r="A1452" s="23">
        <v>356.25</v>
      </c>
      <c r="B1452" s="20">
        <v>859.02632364609701</v>
      </c>
      <c r="C1452" s="20">
        <v>85.424059755045207</v>
      </c>
      <c r="D1452" s="20">
        <v>330.61884245575101</v>
      </c>
      <c r="E1452" s="20">
        <v>-0.31896055217171299</v>
      </c>
      <c r="F1452" s="20">
        <v>-1.0258442474963601</v>
      </c>
      <c r="G1452" s="20">
        <v>1.0742868583218601</v>
      </c>
      <c r="H1452" s="20">
        <v>9.7280754707436395E-3</v>
      </c>
      <c r="I1452" s="20">
        <v>141.566787866711</v>
      </c>
      <c r="J1452" s="20">
        <v>863.26501978608053</v>
      </c>
      <c r="K1452" s="20">
        <v>10.963465751283223</v>
      </c>
      <c r="L1452" s="20">
        <f t="shared" si="50"/>
        <v>863.26328237795599</v>
      </c>
      <c r="M1452" s="20">
        <f t="shared" si="51"/>
        <v>-10.963443686243895</v>
      </c>
    </row>
    <row r="1453" spans="1:13" x14ac:dyDescent="0.2">
      <c r="A1453" s="23">
        <v>356.5</v>
      </c>
      <c r="B1453" s="20">
        <v>859.46926483190396</v>
      </c>
      <c r="C1453" s="20">
        <v>85.519013000970702</v>
      </c>
      <c r="D1453" s="20">
        <v>330.59080805408001</v>
      </c>
      <c r="E1453" s="20">
        <v>-0.31890577249402902</v>
      </c>
      <c r="F1453" s="20">
        <v>-1.02440392460756</v>
      </c>
      <c r="G1453" s="20">
        <v>1.0728952849562601</v>
      </c>
      <c r="H1453" s="20">
        <v>9.7339377740879498E-3</v>
      </c>
      <c r="I1453" s="20">
        <v>141.61331443866499</v>
      </c>
      <c r="J1453" s="20">
        <v>863.71518545696415</v>
      </c>
      <c r="K1453" s="20">
        <v>10.969182855303446</v>
      </c>
      <c r="L1453" s="20">
        <f t="shared" si="50"/>
        <v>863.71344714283191</v>
      </c>
      <c r="M1453" s="20">
        <f t="shared" si="51"/>
        <v>-10.969160778757841</v>
      </c>
    </row>
    <row r="1454" spans="1:13" x14ac:dyDescent="0.2">
      <c r="A1454" s="23">
        <v>356.75</v>
      </c>
      <c r="B1454" s="20">
        <v>859.91161846971102</v>
      </c>
      <c r="C1454" s="20">
        <v>85.613904762163202</v>
      </c>
      <c r="D1454" s="20">
        <v>330.56276822900799</v>
      </c>
      <c r="E1454" s="20">
        <v>-0.318850012929906</v>
      </c>
      <c r="F1454" s="20">
        <v>-1.0229627683863101</v>
      </c>
      <c r="G1454" s="20">
        <v>1.0715027560627099</v>
      </c>
      <c r="H1454" s="20">
        <v>9.7398280266383207E-3</v>
      </c>
      <c r="I1454" s="20">
        <v>141.65964993077799</v>
      </c>
      <c r="J1454" s="20">
        <v>864.16476334566255</v>
      </c>
      <c r="K1454" s="20">
        <v>10.974892494489916</v>
      </c>
      <c r="L1454" s="20">
        <f t="shared" si="50"/>
        <v>864.16302412671109</v>
      </c>
      <c r="M1454" s="20">
        <f t="shared" si="51"/>
        <v>-10.974870406453132</v>
      </c>
    </row>
    <row r="1455" spans="1:13" x14ac:dyDescent="0.2">
      <c r="A1455" s="23">
        <v>357</v>
      </c>
      <c r="B1455" s="20">
        <v>860.35338420611401</v>
      </c>
      <c r="C1455" s="20">
        <v>85.708734716480606</v>
      </c>
      <c r="D1455" s="20">
        <v>330.53472296448501</v>
      </c>
      <c r="E1455" s="20">
        <v>-0.31879326640004302</v>
      </c>
      <c r="F1455" s="20">
        <v>-1.0215207754701701</v>
      </c>
      <c r="G1455" s="20">
        <v>1.0701092661122</v>
      </c>
      <c r="H1455" s="20">
        <v>9.7457478688174996E-3</v>
      </c>
      <c r="I1455" s="20">
        <v>141.70578346336899</v>
      </c>
      <c r="J1455" s="20">
        <v>864.61375306342768</v>
      </c>
      <c r="K1455" s="20">
        <v>10.980594663905533</v>
      </c>
      <c r="L1455" s="20">
        <f t="shared" si="50"/>
        <v>864.61201294084117</v>
      </c>
      <c r="M1455" s="20">
        <f t="shared" si="51"/>
        <v>-10.980572564392606</v>
      </c>
    </row>
    <row r="1456" spans="1:13" x14ac:dyDescent="0.2">
      <c r="A1456" s="23">
        <v>357.25</v>
      </c>
      <c r="B1456" s="20">
        <v>860.79456168501395</v>
      </c>
      <c r="C1456" s="20">
        <v>85.803502543126697</v>
      </c>
      <c r="D1456" s="20">
        <v>330.50667224519498</v>
      </c>
      <c r="E1456" s="20">
        <v>-0.31873552522606202</v>
      </c>
      <c r="F1456" s="20">
        <v>-1.0200779422883901</v>
      </c>
      <c r="G1456" s="20">
        <v>1.06871480919114</v>
      </c>
      <c r="H1456" s="20">
        <v>9.7516989644933806E-3</v>
      </c>
      <c r="I1456" s="20">
        <v>141.75170403677799</v>
      </c>
      <c r="J1456" s="20">
        <v>865.06215421891511</v>
      </c>
      <c r="K1456" s="20">
        <v>10.986289358580223</v>
      </c>
      <c r="L1456" s="20">
        <f t="shared" si="50"/>
        <v>865.0604131938785</v>
      </c>
      <c r="M1456" s="20">
        <f t="shared" si="51"/>
        <v>-10.986267247606202</v>
      </c>
    </row>
    <row r="1457" spans="1:13" x14ac:dyDescent="0.2">
      <c r="A1457" s="23">
        <v>357.5</v>
      </c>
      <c r="B1457" s="20">
        <v>861.23515054742199</v>
      </c>
      <c r="C1457" s="20">
        <v>85.898207922816894</v>
      </c>
      <c r="D1457" s="20">
        <v>330.47861605662501</v>
      </c>
      <c r="E1457" s="20">
        <v>-0.31867678112422698</v>
      </c>
      <c r="F1457" s="20">
        <v>-1.0186342650603499</v>
      </c>
      <c r="G1457" s="20">
        <v>1.0673193789970901</v>
      </c>
      <c r="H1457" s="20">
        <v>9.7576830015107408E-3</v>
      </c>
      <c r="I1457" s="20">
        <v>141.79740052958101</v>
      </c>
      <c r="J1457" s="20">
        <v>865.50996641801669</v>
      </c>
      <c r="K1457" s="20">
        <v>10.991976573508813</v>
      </c>
      <c r="L1457" s="20">
        <f t="shared" si="50"/>
        <v>865.50822449170983</v>
      </c>
      <c r="M1457" s="20">
        <f t="shared" si="51"/>
        <v>-10.991954451088683</v>
      </c>
    </row>
    <row r="1458" spans="1:13" x14ac:dyDescent="0.2">
      <c r="A1458" s="23">
        <v>357.75</v>
      </c>
      <c r="B1458" s="20">
        <v>861.67515043124797</v>
      </c>
      <c r="C1458" s="20">
        <v>85.992850537945102</v>
      </c>
      <c r="D1458" s="20">
        <v>330.450554385131</v>
      </c>
      <c r="E1458" s="20">
        <v>-0.31861702519907098</v>
      </c>
      <c r="F1458" s="20">
        <v>-1.0171897397938801</v>
      </c>
      <c r="G1458" s="20">
        <v>1.0659229688343499</v>
      </c>
      <c r="H1458" s="20">
        <v>9.7637016922545398E-3</v>
      </c>
      <c r="I1458" s="20">
        <v>141.84286169673601</v>
      </c>
      <c r="J1458" s="20">
        <v>865.95718926365168</v>
      </c>
      <c r="K1458" s="20">
        <v>10.997656303648377</v>
      </c>
      <c r="L1458" s="20">
        <f t="shared" si="50"/>
        <v>865.95544643726055</v>
      </c>
      <c r="M1458" s="20">
        <f t="shared" si="51"/>
        <v>-10.997634169797198</v>
      </c>
    </row>
    <row r="1459" spans="1:13" x14ac:dyDescent="0.2">
      <c r="A1459" s="23">
        <v>358</v>
      </c>
      <c r="B1459" s="20">
        <v>862.11456097109306</v>
      </c>
      <c r="C1459" s="20">
        <v>86.087430072751602</v>
      </c>
      <c r="D1459" s="20">
        <v>330.42248721800502</v>
      </c>
      <c r="E1459" s="20">
        <v>-0.318556247936922</v>
      </c>
      <c r="F1459" s="20">
        <v>-1.01574436228358</v>
      </c>
      <c r="G1459" s="20">
        <v>1.0645255716094899</v>
      </c>
      <c r="H1459" s="20">
        <v>9.7697567742458507E-3</v>
      </c>
      <c r="I1459" s="20">
        <v>141.88807616765101</v>
      </c>
      <c r="J1459" s="20">
        <v>866.40382235558582</v>
      </c>
      <c r="K1459" s="20">
        <v>11.003328543915941</v>
      </c>
      <c r="L1459" s="20">
        <f t="shared" si="50"/>
        <v>866.402078630304</v>
      </c>
      <c r="M1459" s="20">
        <f t="shared" si="51"/>
        <v>-11.003306398648874</v>
      </c>
    </row>
    <row r="1460" spans="1:13" x14ac:dyDescent="0.2">
      <c r="A1460" s="23">
        <v>358.25</v>
      </c>
      <c r="B1460" s="20">
        <v>862.55338179804005</v>
      </c>
      <c r="C1460" s="20">
        <v>86.181946213491301</v>
      </c>
      <c r="D1460" s="20">
        <v>330.39441454354699</v>
      </c>
      <c r="E1460" s="20">
        <v>-0.318494439199349</v>
      </c>
      <c r="F1460" s="20">
        <v>-1.0142981281091199</v>
      </c>
      <c r="G1460" s="20">
        <v>1.06312717982684</v>
      </c>
      <c r="H1460" s="20">
        <v>9.7758500107707098E-3</v>
      </c>
      <c r="I1460" s="20">
        <v>141.93303244418701</v>
      </c>
      <c r="J1460" s="20">
        <v>866.8498652902598</v>
      </c>
      <c r="K1460" s="20">
        <v>11.0089932891863</v>
      </c>
      <c r="L1460" s="20">
        <f t="shared" si="50"/>
        <v>866.84812066727147</v>
      </c>
      <c r="M1460" s="20">
        <f t="shared" si="51"/>
        <v>-11.008971132518385</v>
      </c>
    </row>
    <row r="1461" spans="1:13" x14ac:dyDescent="0.2">
      <c r="A1461" s="23">
        <v>358.5</v>
      </c>
      <c r="B1461" s="20">
        <v>862.99161253944101</v>
      </c>
      <c r="C1461" s="20">
        <v>86.276398648604399</v>
      </c>
      <c r="D1461" s="20">
        <v>330.36633635113202</v>
      </c>
      <c r="E1461" s="20">
        <v>-0.31843158821649498</v>
      </c>
      <c r="F1461" s="20">
        <v>-1.0128510326334901</v>
      </c>
      <c r="G1461" s="20">
        <v>1.0617277855838601</v>
      </c>
      <c r="H1461" s="20">
        <v>9.7819831915381492E-3</v>
      </c>
      <c r="I1461" s="20">
        <v>141.977718898608</v>
      </c>
      <c r="J1461" s="20">
        <v>867.2953176605688</v>
      </c>
      <c r="K1461" s="20">
        <v>11.014650534289224</v>
      </c>
      <c r="L1461" s="20">
        <f t="shared" si="50"/>
        <v>867.29357214105858</v>
      </c>
      <c r="M1461" s="20">
        <f t="shared" si="51"/>
        <v>-11.014628366235502</v>
      </c>
    </row>
    <row r="1462" spans="1:13" x14ac:dyDescent="0.2">
      <c r="A1462" s="23">
        <v>358.75</v>
      </c>
      <c r="B1462" s="20">
        <v>863.42925281870203</v>
      </c>
      <c r="C1462" s="20">
        <v>86.3707870688866</v>
      </c>
      <c r="D1462" s="20">
        <v>330.33825263128301</v>
      </c>
      <c r="E1462" s="20">
        <v>-0.31836768358031298</v>
      </c>
      <c r="F1462" s="20">
        <v>-1.0114030710012101</v>
      </c>
      <c r="G1462" s="20">
        <v>1.0603273805664799</v>
      </c>
      <c r="H1462" s="20">
        <v>9.7881581195614405E-3</v>
      </c>
      <c r="I1462" s="20">
        <v>142.022123829615</v>
      </c>
      <c r="J1462" s="20">
        <v>867.74017905566086</v>
      </c>
      <c r="K1462" s="20">
        <v>11.020300274006892</v>
      </c>
      <c r="L1462" s="20">
        <f t="shared" si="50"/>
        <v>867.73843264082814</v>
      </c>
      <c r="M1462" s="20">
        <f t="shared" si="51"/>
        <v>-11.020278094582599</v>
      </c>
    </row>
    <row r="1463" spans="1:13" x14ac:dyDescent="0.2">
      <c r="A1463" s="23">
        <v>359</v>
      </c>
      <c r="B1463" s="20">
        <v>863.86630225506303</v>
      </c>
      <c r="C1463" s="20">
        <v>86.465111167661505</v>
      </c>
      <c r="D1463" s="20">
        <v>330.31016337573999</v>
      </c>
      <c r="E1463" s="20">
        <v>-0.31830271324006398</v>
      </c>
      <c r="F1463" s="20">
        <v>-1.0099542381394599</v>
      </c>
      <c r="G1463" s="20">
        <v>1.0589259560478499</v>
      </c>
      <c r="H1463" s="20">
        <v>9.7943765820140694E-3</v>
      </c>
      <c r="I1463" s="20">
        <v>142.06623558815701</v>
      </c>
      <c r="J1463" s="20">
        <v>868.18444906078673</v>
      </c>
      <c r="K1463" s="20">
        <v>11.025942503071992</v>
      </c>
      <c r="L1463" s="20">
        <f t="shared" si="50"/>
        <v>868.18270175180987</v>
      </c>
      <c r="M1463" s="20">
        <f t="shared" si="51"/>
        <v>-11.02592031229209</v>
      </c>
    </row>
    <row r="1464" spans="1:13" x14ac:dyDescent="0.2">
      <c r="A1464" s="23">
        <v>359.25</v>
      </c>
      <c r="B1464" s="20">
        <v>864.30276046338804</v>
      </c>
      <c r="C1464" s="20">
        <v>86.559370640953205</v>
      </c>
      <c r="D1464" s="20">
        <v>330.28206857753099</v>
      </c>
      <c r="E1464" s="20">
        <v>-0.31823666450200599</v>
      </c>
      <c r="F1464" s="20">
        <v>-1.0085045287646199</v>
      </c>
      <c r="G1464" s="20">
        <v>1.05752350289349</v>
      </c>
      <c r="H1464" s="20">
        <v>9.8006403875268294E-3</v>
      </c>
      <c r="I1464" s="20">
        <v>142.11004242633101</v>
      </c>
      <c r="J1464" s="20">
        <v>868.62812725702679</v>
      </c>
      <c r="K1464" s="20">
        <v>11.031577216164241</v>
      </c>
      <c r="L1464" s="20">
        <f t="shared" si="50"/>
        <v>868.6263790551094</v>
      </c>
      <c r="M1464" s="20">
        <f t="shared" si="51"/>
        <v>-11.031555014044017</v>
      </c>
    </row>
    <row r="1465" spans="1:13" x14ac:dyDescent="0.2">
      <c r="A1465" s="23">
        <v>359.5</v>
      </c>
      <c r="B1465" s="20">
        <v>864.73862705393901</v>
      </c>
      <c r="C1465" s="20">
        <v>86.653565187659694</v>
      </c>
      <c r="D1465" s="20">
        <v>330.25396823104302</v>
      </c>
      <c r="E1465" s="20">
        <v>-0.31816952402093701</v>
      </c>
      <c r="F1465" s="20">
        <v>-1.0070539373787399</v>
      </c>
      <c r="G1465" s="20">
        <v>1.05612001155443</v>
      </c>
      <c r="H1465" s="20">
        <v>9.8069513743513706E-3</v>
      </c>
      <c r="I1465" s="20">
        <v>142.15353245775</v>
      </c>
      <c r="J1465" s="20">
        <v>869.07121322118121</v>
      </c>
      <c r="K1465" s="20">
        <v>11.037204407909002</v>
      </c>
      <c r="L1465" s="20">
        <f t="shared" si="50"/>
        <v>869.06946412750199</v>
      </c>
      <c r="M1465" s="20">
        <f t="shared" si="51"/>
        <v>-11.037182194463425</v>
      </c>
    </row>
    <row r="1466" spans="1:13" x14ac:dyDescent="0.2">
      <c r="A1466" s="23">
        <v>359.75</v>
      </c>
      <c r="B1466" s="20">
        <v>865.17390163216498</v>
      </c>
      <c r="C1466" s="20">
        <v>86.747694509727594</v>
      </c>
      <c r="D1466" s="20">
        <v>330.22586233209501</v>
      </c>
      <c r="E1466" s="20">
        <v>-0.31810127779255198</v>
      </c>
      <c r="F1466" s="20">
        <v>-1.00560245826701</v>
      </c>
      <c r="G1466" s="20">
        <v>1.0547154720615</v>
      </c>
      <c r="H1466" s="20">
        <v>9.8133114108700792E-3</v>
      </c>
      <c r="I1466" s="20">
        <v>142.196693655171</v>
      </c>
      <c r="J1466" s="20">
        <v>869.51370652548076</v>
      </c>
      <c r="K1466" s="20">
        <v>11.042824072873607</v>
      </c>
      <c r="L1466" s="20">
        <f t="shared" si="50"/>
        <v>869.51195654124047</v>
      </c>
      <c r="M1466" s="20">
        <f t="shared" si="51"/>
        <v>-11.042801848117925</v>
      </c>
    </row>
    <row r="1467" spans="1:13" x14ac:dyDescent="0.2">
      <c r="A1467" s="23">
        <v>360</v>
      </c>
      <c r="B1467" s="20">
        <v>865.608583798474</v>
      </c>
      <c r="C1467" s="20">
        <v>86.841758312328594</v>
      </c>
      <c r="D1467" s="20">
        <v>330.197750878009</v>
      </c>
      <c r="E1467" s="20">
        <v>-0.318031911146131</v>
      </c>
      <c r="F1467" s="20">
        <v>-1.0041500854958201</v>
      </c>
      <c r="G1467" s="20">
        <v>1.05330987402023</v>
      </c>
      <c r="H1467" s="20">
        <v>9.8197223964177904E-3</v>
      </c>
      <c r="I1467" s="20">
        <v>142.23951384844</v>
      </c>
      <c r="J1467" s="20">
        <v>869.95560673745331</v>
      </c>
      <c r="K1467" s="20">
        <v>11.048436205565658</v>
      </c>
      <c r="L1467" s="20">
        <f t="shared" si="50"/>
        <v>869.95385586384793</v>
      </c>
      <c r="M1467" s="20">
        <f t="shared" si="51"/>
        <v>-11.048413969515062</v>
      </c>
    </row>
    <row r="1468" spans="1:13" x14ac:dyDescent="0.2">
      <c r="A1468" s="23">
        <v>360.25</v>
      </c>
      <c r="B1468" s="20">
        <v>866.04267314800802</v>
      </c>
      <c r="C1468" s="20">
        <v>86.935756304036204</v>
      </c>
      <c r="D1468" s="20">
        <v>330.16963386768401</v>
      </c>
      <c r="E1468" s="20">
        <v>-0.31796140873712297</v>
      </c>
      <c r="F1468" s="20">
        <v>-1.0026968129106599</v>
      </c>
      <c r="G1468" s="20">
        <v>1.0519032066056699</v>
      </c>
      <c r="H1468" s="20">
        <v>9.8261857157262694E-3</v>
      </c>
      <c r="I1468" s="20">
        <v>142.28198464967701</v>
      </c>
      <c r="J1468" s="20">
        <v>870.39691341969751</v>
      </c>
      <c r="K1468" s="20">
        <v>11.05404080043016</v>
      </c>
      <c r="L1468" s="20">
        <f t="shared" si="50"/>
        <v>870.39516165791167</v>
      </c>
      <c r="M1468" s="20">
        <f t="shared" si="51"/>
        <v>-11.054018553099693</v>
      </c>
    </row>
    <row r="1469" spans="1:13" x14ac:dyDescent="0.2">
      <c r="A1469" s="23">
        <v>360.5</v>
      </c>
      <c r="B1469" s="20">
        <v>866.47616927046795</v>
      </c>
      <c r="C1469" s="20">
        <v>87.029688196952705</v>
      </c>
      <c r="D1469" s="20">
        <v>330.14151130165197</v>
      </c>
      <c r="E1469" s="20">
        <v>-0.31788975492025301</v>
      </c>
      <c r="F1469" s="20">
        <v>-1.00124263423705</v>
      </c>
      <c r="G1469" s="20">
        <v>1.0504954587703901</v>
      </c>
      <c r="H1469" s="20">
        <v>9.8327009072357707E-3</v>
      </c>
      <c r="I1469" s="20">
        <v>142.324111141228</v>
      </c>
      <c r="J1469" s="20">
        <v>870.83762612968621</v>
      </c>
      <c r="K1469" s="20">
        <v>11.059637851847015</v>
      </c>
      <c r="L1469" s="20">
        <f t="shared" si="50"/>
        <v>870.83587348092374</v>
      </c>
      <c r="M1469" s="20">
        <f t="shared" si="51"/>
        <v>-11.059615593251969</v>
      </c>
    </row>
    <row r="1470" spans="1:13" x14ac:dyDescent="0.2">
      <c r="A1470" s="23">
        <v>360.75</v>
      </c>
      <c r="B1470" s="20">
        <v>866.909071750164</v>
      </c>
      <c r="C1470" s="20">
        <v>87.123553706605705</v>
      </c>
      <c r="D1470" s="20">
        <v>330.11338318206202</v>
      </c>
      <c r="E1470" s="20">
        <v>-0.31781693491378898</v>
      </c>
      <c r="F1470" s="20">
        <v>-0.99978754339642895</v>
      </c>
      <c r="G1470" s="20">
        <v>1.0490866198978299</v>
      </c>
      <c r="H1470" s="20">
        <v>9.8392671728054892E-3</v>
      </c>
      <c r="I1470" s="20">
        <v>142.365901352051</v>
      </c>
      <c r="J1470" s="20">
        <v>871.27774441986912</v>
      </c>
      <c r="K1470" s="20">
        <v>11.065227354132338</v>
      </c>
      <c r="L1470" s="20">
        <f t="shared" si="50"/>
        <v>871.27599088532145</v>
      </c>
      <c r="M1470" s="20">
        <f t="shared" si="51"/>
        <v>-11.065205084287843</v>
      </c>
    </row>
    <row r="1471" spans="1:13" x14ac:dyDescent="0.2">
      <c r="A1471" s="23">
        <v>361</v>
      </c>
      <c r="B1471" s="20">
        <v>867.341380166254</v>
      </c>
      <c r="C1471" s="20">
        <v>87.217352551665499</v>
      </c>
      <c r="D1471" s="20">
        <v>330.08524951259102</v>
      </c>
      <c r="E1471" s="20">
        <v>-0.317742934588082</v>
      </c>
      <c r="F1471" s="20">
        <v>-0.99833153445217604</v>
      </c>
      <c r="G1471" s="20">
        <v>1.0476766796881001</v>
      </c>
      <c r="H1471" s="20">
        <v>9.8458837186126396E-3</v>
      </c>
      <c r="I1471" s="20">
        <v>142.40736333880301</v>
      </c>
      <c r="J1471" s="20">
        <v>871.71726783782924</v>
      </c>
      <c r="K1471" s="20">
        <v>11.070809301540432</v>
      </c>
      <c r="L1471" s="20">
        <f t="shared" si="50"/>
        <v>871.71551341869781</v>
      </c>
      <c r="M1471" s="20">
        <f t="shared" si="51"/>
        <v>-11.070787020461745</v>
      </c>
    </row>
    <row r="1472" spans="1:13" x14ac:dyDescent="0.2">
      <c r="A1472" s="23">
        <v>361.25</v>
      </c>
      <c r="B1472" s="20">
        <v>867.77309409291604</v>
      </c>
      <c r="C1472" s="20">
        <v>87.311084453722401</v>
      </c>
      <c r="D1472" s="20">
        <v>330.05711029838199</v>
      </c>
      <c r="E1472" s="20">
        <v>-0.31766774038269502</v>
      </c>
      <c r="F1472" s="20">
        <v>-0.996874601586202</v>
      </c>
      <c r="G1472" s="20">
        <v>1.0462656281114699</v>
      </c>
      <c r="H1472" s="20">
        <v>9.8525497394703794E-3</v>
      </c>
      <c r="I1472" s="20">
        <v>142.44850518880699</v>
      </c>
      <c r="J1472" s="20">
        <v>872.1561959264701</v>
      </c>
      <c r="K1472" s="20">
        <v>11.076383688266171</v>
      </c>
      <c r="L1472" s="20">
        <f t="shared" si="50"/>
        <v>872.15444062395159</v>
      </c>
      <c r="M1472" s="20">
        <f t="shared" si="51"/>
        <v>-11.07636139596849</v>
      </c>
    </row>
    <row r="1473" spans="1:13" x14ac:dyDescent="0.2">
      <c r="A1473" s="23">
        <v>361.5</v>
      </c>
      <c r="B1473" s="20">
        <v>868.20421309950802</v>
      </c>
      <c r="C1473" s="20">
        <v>87.404749137082504</v>
      </c>
      <c r="D1473" s="20">
        <v>330.02896554598101</v>
      </c>
      <c r="E1473" s="20">
        <v>-0.31759133931182898</v>
      </c>
      <c r="F1473" s="20">
        <v>-0.99541673910000406</v>
      </c>
      <c r="G1473" s="20">
        <v>1.0448534554119899</v>
      </c>
      <c r="H1473" s="20">
        <v>9.8592644188717996E-3</v>
      </c>
      <c r="I1473" s="20">
        <v>142.4893350214</v>
      </c>
      <c r="J1473" s="20">
        <v>872.59452822413334</v>
      </c>
      <c r="K1473" s="20">
        <v>11.081950508446495</v>
      </c>
      <c r="L1473" s="20">
        <f t="shared" si="50"/>
        <v>872.59277203942747</v>
      </c>
      <c r="M1473" s="20">
        <f t="shared" si="51"/>
        <v>-11.081928204945058</v>
      </c>
    </row>
    <row r="1474" spans="1:13" x14ac:dyDescent="0.2">
      <c r="A1474" s="23">
        <v>361.75</v>
      </c>
      <c r="B1474" s="20">
        <v>868.63473675072896</v>
      </c>
      <c r="C1474" s="20">
        <v>87.498346328561993</v>
      </c>
      <c r="D1474" s="20">
        <v>330.00081526327699</v>
      </c>
      <c r="E1474" s="20">
        <v>-0.31751371896519298</v>
      </c>
      <c r="F1474" s="20">
        <v>-0.99395794141472804</v>
      </c>
      <c r="G1474" s="20">
        <v>1.0434401521086401</v>
      </c>
      <c r="H1474" s="20">
        <v>9.8660269286557703E-3</v>
      </c>
      <c r="I1474" s="20">
        <v>142.529860988134</v>
      </c>
      <c r="J1474" s="20">
        <v>873.03226426474782</v>
      </c>
      <c r="K1474" s="20">
        <v>11.087509756162298</v>
      </c>
      <c r="L1474" s="20">
        <f t="shared" si="50"/>
        <v>873.03050719905616</v>
      </c>
      <c r="M1474" s="20">
        <f t="shared" si="51"/>
        <v>-11.087487441472362</v>
      </c>
    </row>
    <row r="1475" spans="1:13" x14ac:dyDescent="0.2">
      <c r="A1475" s="23">
        <v>362</v>
      </c>
      <c r="B1475" s="20">
        <v>869.06466460678098</v>
      </c>
      <c r="C1475" s="20">
        <v>87.591875757282594</v>
      </c>
      <c r="D1475" s="20">
        <v>329.97265945944099</v>
      </c>
      <c r="E1475" s="20">
        <v>-0.31743486750909899</v>
      </c>
      <c r="F1475" s="20">
        <v>-0.99249820307125702</v>
      </c>
      <c r="G1475" s="20">
        <v>1.0420257089967599</v>
      </c>
      <c r="H1475" s="20">
        <v>9.8728364286996707E-3</v>
      </c>
      <c r="I1475" s="20">
        <v>142.570091273016</v>
      </c>
      <c r="J1475" s="20">
        <v>873.46940357797746</v>
      </c>
      <c r="K1475" s="20">
        <v>11.093061425440315</v>
      </c>
      <c r="L1475" s="20">
        <f t="shared" si="50"/>
        <v>873.46764563249621</v>
      </c>
      <c r="M1475" s="20">
        <f t="shared" si="51"/>
        <v>-11.093039099577075</v>
      </c>
    </row>
    <row r="1476" spans="1:13" x14ac:dyDescent="0.2">
      <c r="A1476" s="23">
        <v>362.25</v>
      </c>
      <c r="B1476" s="20">
        <v>869.49399622353201</v>
      </c>
      <c r="C1476" s="20">
        <v>87.685337154467405</v>
      </c>
      <c r="D1476" s="20">
        <v>329.94449814486597</v>
      </c>
      <c r="E1476" s="20">
        <v>-0.31735477368757498</v>
      </c>
      <c r="F1476" s="20">
        <v>-0.991037518730287</v>
      </c>
      <c r="G1476" s="20">
        <v>1.0406101171492499</v>
      </c>
      <c r="H1476" s="20">
        <v>9.8796920644688702E-3</v>
      </c>
      <c r="I1476" s="20">
        <v>142.6100341053</v>
      </c>
      <c r="J1476" s="20">
        <v>873.90594568933943</v>
      </c>
      <c r="K1476" s="20">
        <v>11.098605510254611</v>
      </c>
      <c r="L1476" s="20">
        <f t="shared" si="50"/>
        <v>873.90418686527653</v>
      </c>
      <c r="M1476" s="20">
        <f t="shared" si="51"/>
        <v>-11.098583173233406</v>
      </c>
    </row>
    <row r="1477" spans="1:13" x14ac:dyDescent="0.2">
      <c r="A1477" s="23">
        <v>362.5</v>
      </c>
      <c r="B1477" s="20">
        <v>869.92273115267903</v>
      </c>
      <c r="C1477" s="20">
        <v>87.778730253237001</v>
      </c>
      <c r="D1477" s="20">
        <v>329.91633133110003</v>
      </c>
      <c r="E1477" s="20">
        <v>-0.31727342682449899</v>
      </c>
      <c r="F1477" s="20">
        <v>-0.98957588317282996</v>
      </c>
      <c r="G1477" s="20">
        <v>1.03919336791872</v>
      </c>
      <c r="H1477" s="20">
        <v>9.8865929595290895E-3</v>
      </c>
      <c r="I1477" s="20">
        <v>142.64969780208301</v>
      </c>
      <c r="J1477" s="20">
        <v>874.3418901203836</v>
      </c>
      <c r="K1477" s="20">
        <v>11.104142004528871</v>
      </c>
      <c r="L1477" s="20">
        <f t="shared" si="50"/>
        <v>874.34013041893877</v>
      </c>
      <c r="M1477" s="20">
        <f t="shared" si="51"/>
        <v>-11.104119656364938</v>
      </c>
    </row>
    <row r="1478" spans="1:13" x14ac:dyDescent="0.2">
      <c r="A1478" s="23">
        <v>362.75</v>
      </c>
      <c r="B1478" s="20">
        <v>870.35086894190999</v>
      </c>
      <c r="C1478" s="20">
        <v>87.872054788405705</v>
      </c>
      <c r="D1478" s="20">
        <v>329.888159030792</v>
      </c>
      <c r="E1478" s="20">
        <v>-0.31719081682873301</v>
      </c>
      <c r="F1478" s="20">
        <v>-0.98811329130199299</v>
      </c>
      <c r="G1478" s="20">
        <v>1.0377754529415999</v>
      </c>
      <c r="H1478" s="20">
        <v>9.8935382224162507E-3</v>
      </c>
      <c r="I1478" s="20">
        <v>142.68909072858199</v>
      </c>
      <c r="J1478" s="20">
        <v>874.77723638880241</v>
      </c>
      <c r="K1478" s="20">
        <v>11.109670902137792</v>
      </c>
      <c r="L1478" s="20">
        <f t="shared" si="50"/>
        <v>874.77547581117881</v>
      </c>
      <c r="M1478" s="20">
        <f t="shared" si="51"/>
        <v>-11.10964854284641</v>
      </c>
    </row>
    <row r="1479" spans="1:13" x14ac:dyDescent="0.2">
      <c r="A1479" s="23">
        <v>363</v>
      </c>
      <c r="B1479" s="20">
        <v>870.77840913507202</v>
      </c>
      <c r="C1479" s="20">
        <v>87.965310496277496</v>
      </c>
      <c r="D1479" s="20">
        <v>329.85998125762302</v>
      </c>
      <c r="E1479" s="20">
        <v>-0.31710693419484098</v>
      </c>
      <c r="F1479" s="20">
        <v>-0.98664973814286006</v>
      </c>
      <c r="G1479" s="20">
        <v>1.0363563641392</v>
      </c>
      <c r="H1479" s="20">
        <v>9.9005269486903899E-3</v>
      </c>
      <c r="I1479" s="20">
        <v>142.72822128323401</v>
      </c>
      <c r="J1479" s="20">
        <v>875.21198400859498</v>
      </c>
      <c r="K1479" s="20">
        <v>11.115192196909158</v>
      </c>
      <c r="L1479" s="20">
        <f t="shared" si="50"/>
        <v>875.21022255599451</v>
      </c>
      <c r="M1479" s="20">
        <f t="shared" si="51"/>
        <v>-11.115169826505591</v>
      </c>
    </row>
    <row r="1480" spans="1:13" x14ac:dyDescent="0.2">
      <c r="A1480" s="23">
        <v>363.25</v>
      </c>
      <c r="B1480" s="20">
        <v>871.205351272337</v>
      </c>
      <c r="C1480" s="20">
        <v>88.058497114442801</v>
      </c>
      <c r="D1480" s="20">
        <v>329.83179802624801</v>
      </c>
      <c r="E1480" s="20">
        <v>-0.31702177000391801</v>
      </c>
      <c r="F1480" s="20">
        <v>-0.98518521884239596</v>
      </c>
      <c r="G1480" s="20">
        <v>1.0349360937188099</v>
      </c>
      <c r="H1480" s="20">
        <v>9.9075582206314197E-3</v>
      </c>
      <c r="I1480" s="20">
        <v>142.76709789780099</v>
      </c>
      <c r="J1480" s="20">
        <v>875.64613249019999</v>
      </c>
      <c r="K1480" s="20">
        <v>11.120705882625542</v>
      </c>
      <c r="L1480" s="20">
        <f t="shared" si="50"/>
        <v>875.64437016382999</v>
      </c>
      <c r="M1480" s="20">
        <f t="shared" si="51"/>
        <v>-11.120683501125123</v>
      </c>
    </row>
    <row r="1481" spans="1:13" x14ac:dyDescent="0.2">
      <c r="A1481" s="23">
        <v>363.5</v>
      </c>
      <c r="B1481" s="20">
        <v>871.63169489036795</v>
      </c>
      <c r="C1481" s="20">
        <v>88.151614381575797</v>
      </c>
      <c r="D1481" s="20">
        <v>329.80360935223302</v>
      </c>
      <c r="E1481" s="20">
        <v>-0.31693531592483398</v>
      </c>
      <c r="F1481" s="20">
        <v>-0.98371972866950597</v>
      </c>
      <c r="G1481" s="20">
        <v>1.0335146341750501</v>
      </c>
      <c r="H1481" s="20">
        <v>9.9146311070575106E-3</v>
      </c>
      <c r="I1481" s="20">
        <v>142.80572903743601</v>
      </c>
      <c r="J1481" s="20">
        <v>876.07968134065243</v>
      </c>
      <c r="K1481" s="20">
        <v>11.126211953026287</v>
      </c>
      <c r="L1481" s="20">
        <f t="shared" si="50"/>
        <v>876.07791814172185</v>
      </c>
      <c r="M1481" s="20">
        <f t="shared" si="51"/>
        <v>-11.126189560444374</v>
      </c>
    </row>
    <row r="1482" spans="1:13" x14ac:dyDescent="0.2">
      <c r="A1482" s="23">
        <v>363.75</v>
      </c>
      <c r="B1482" s="20">
        <v>872.05743952248804</v>
      </c>
      <c r="C1482" s="20">
        <v>88.244662037231905</v>
      </c>
      <c r="D1482" s="20">
        <v>329.77541525198802</v>
      </c>
      <c r="E1482" s="20">
        <v>-0.31684756421547</v>
      </c>
      <c r="F1482" s="20">
        <v>-0.98225326301508897</v>
      </c>
      <c r="G1482" s="20">
        <v>1.0320919782912099</v>
      </c>
      <c r="H1482" s="20">
        <v>9.9217446631615306E-3</v>
      </c>
      <c r="I1482" s="20">
        <v>142.844123200734</v>
      </c>
      <c r="J1482" s="20">
        <v>876.51263006372483</v>
      </c>
      <c r="K1482" s="20">
        <v>11.131710401809306</v>
      </c>
      <c r="L1482" s="20">
        <f t="shared" si="50"/>
        <v>876.5108659934474</v>
      </c>
      <c r="M1482" s="20">
        <f t="shared" si="51"/>
        <v>-11.131687998161309</v>
      </c>
    </row>
    <row r="1483" spans="1:13" x14ac:dyDescent="0.2">
      <c r="A1483" s="23">
        <v>364</v>
      </c>
      <c r="B1483" s="20">
        <v>872.48258469884797</v>
      </c>
      <c r="C1483" s="20">
        <v>88.337639821646306</v>
      </c>
      <c r="D1483" s="20">
        <v>329.74721574271001</v>
      </c>
      <c r="E1483" s="20">
        <v>-0.31675850772397302</v>
      </c>
      <c r="F1483" s="20">
        <v>-0.98078581739207904</v>
      </c>
      <c r="G1483" s="20">
        <v>1.0306681191406699</v>
      </c>
      <c r="H1483" s="20">
        <v>9.9288979303685104E-3</v>
      </c>
      <c r="I1483" s="20">
        <v>142.88228891974299</v>
      </c>
      <c r="J1483" s="20">
        <v>876.94497816009857</v>
      </c>
      <c r="K1483" s="20">
        <v>11.137201222633253</v>
      </c>
      <c r="L1483" s="20">
        <f t="shared" si="50"/>
        <v>876.94321321967107</v>
      </c>
      <c r="M1483" s="20">
        <f t="shared" si="51"/>
        <v>-11.137178807934371</v>
      </c>
    </row>
    <row r="1484" spans="1:13" x14ac:dyDescent="0.2">
      <c r="A1484" s="23">
        <v>364.25</v>
      </c>
      <c r="B1484" s="20">
        <v>872.90712994659395</v>
      </c>
      <c r="C1484" s="20">
        <v>88.430547475532506</v>
      </c>
      <c r="D1484" s="20">
        <v>329.71901084231501</v>
      </c>
      <c r="E1484" s="20">
        <v>-0.31666813989001502</v>
      </c>
      <c r="F1484" s="20">
        <v>-0.97931738743548402</v>
      </c>
      <c r="G1484" s="20">
        <v>1.0292430500881999</v>
      </c>
      <c r="H1484" s="20">
        <v>9.9360899362135897E-3</v>
      </c>
      <c r="I1484" s="20">
        <v>142.92023475995799</v>
      </c>
      <c r="J1484" s="20">
        <v>877.37672512745007</v>
      </c>
      <c r="K1484" s="20">
        <v>11.142684409118617</v>
      </c>
      <c r="L1484" s="20">
        <f t="shared" si="50"/>
        <v>877.37495931809133</v>
      </c>
      <c r="M1484" s="20">
        <f t="shared" si="51"/>
        <v>-11.142661983384331</v>
      </c>
    </row>
    <row r="1485" spans="1:13" x14ac:dyDescent="0.2">
      <c r="A1485" s="23">
        <v>364.5</v>
      </c>
      <c r="B1485" s="20">
        <v>873.33107479003797</v>
      </c>
      <c r="C1485" s="20">
        <v>88.523384739881294</v>
      </c>
      <c r="D1485" s="20">
        <v>329.69080056937503</v>
      </c>
      <c r="E1485" s="20">
        <v>-0.31657645474607099</v>
      </c>
      <c r="F1485" s="20">
        <v>-0.97784796890241099</v>
      </c>
      <c r="G1485" s="20">
        <v>1.0278167647913501</v>
      </c>
      <c r="H1485" s="20">
        <v>9.9433196942409607E-3</v>
      </c>
      <c r="I1485" s="20">
        <v>142.95796932029</v>
      </c>
      <c r="J1485" s="20">
        <v>877.80787046067042</v>
      </c>
      <c r="K1485" s="20">
        <v>11.148159954850515</v>
      </c>
      <c r="L1485" s="20">
        <f t="shared" si="50"/>
        <v>877.80610378359063</v>
      </c>
      <c r="M1485" s="20">
        <f t="shared" si="51"/>
        <v>-11.148137518096194</v>
      </c>
    </row>
    <row r="1486" spans="1:13" x14ac:dyDescent="0.2">
      <c r="A1486" s="23">
        <v>364.75</v>
      </c>
      <c r="B1486" s="20">
        <v>873.75441875082902</v>
      </c>
      <c r="C1486" s="20">
        <v>88.616151355761005</v>
      </c>
      <c r="D1486" s="20">
        <v>329.66258494305799</v>
      </c>
      <c r="E1486" s="20">
        <v>-0.31648344691869901</v>
      </c>
      <c r="F1486" s="20">
        <v>-0.97637755767209</v>
      </c>
      <c r="G1486" s="20">
        <v>1.0263892572018001</v>
      </c>
      <c r="H1486" s="20">
        <v>9.9505862039229696E-3</v>
      </c>
      <c r="I1486" s="20">
        <v>142.99550123300801</v>
      </c>
      <c r="J1486" s="20">
        <v>878.2384136519828</v>
      </c>
      <c r="K1486" s="20">
        <v>11.153627853380183</v>
      </c>
      <c r="L1486" s="20">
        <f t="shared" si="50"/>
        <v>878.23664610838591</v>
      </c>
      <c r="M1486" s="20">
        <f t="shared" si="51"/>
        <v>-11.153605405621116</v>
      </c>
    </row>
    <row r="1487" spans="1:13" x14ac:dyDescent="0.2">
      <c r="A1487" s="23">
        <v>365</v>
      </c>
      <c r="B1487" s="20">
        <v>874.17716134812201</v>
      </c>
      <c r="C1487" s="20">
        <v>88.708847064116597</v>
      </c>
      <c r="D1487" s="20">
        <v>329.63436398305601</v>
      </c>
      <c r="E1487" s="20">
        <v>-0.31638911162982802</v>
      </c>
      <c r="F1487" s="20">
        <v>-0.97490614974588097</v>
      </c>
      <c r="G1487" s="20">
        <v>1.0249605215666799</v>
      </c>
      <c r="H1487" s="20">
        <v>9.9578884506003607E-3</v>
      </c>
      <c r="I1487" s="20">
        <v>143.03283916365999</v>
      </c>
      <c r="J1487" s="20">
        <v>878.66835419106701</v>
      </c>
      <c r="K1487" s="20">
        <v>11.159088098226553</v>
      </c>
      <c r="L1487" s="20">
        <f t="shared" si="50"/>
        <v>878.66658578217562</v>
      </c>
      <c r="M1487" s="20">
        <f t="shared" si="51"/>
        <v>-11.159065639478268</v>
      </c>
    </row>
    <row r="1488" spans="1:13" x14ac:dyDescent="0.2">
      <c r="A1488" s="23">
        <v>365.25</v>
      </c>
      <c r="B1488" s="20">
        <v>874.59930209874801</v>
      </c>
      <c r="C1488" s="20">
        <v>88.801471605571294</v>
      </c>
      <c r="D1488" s="20">
        <v>329.60613770952898</v>
      </c>
      <c r="E1488" s="20">
        <v>-0.31629344469804899</v>
      </c>
      <c r="F1488" s="20">
        <v>-0.973433741247276</v>
      </c>
      <c r="G1488" s="20">
        <v>1.02353055242998</v>
      </c>
      <c r="H1488" s="20">
        <v>9.9652254054426407E-3</v>
      </c>
      <c r="I1488" s="20">
        <v>143.06999181096799</v>
      </c>
      <c r="J1488" s="20">
        <v>879.09769156527125</v>
      </c>
      <c r="K1488" s="20">
        <v>11.164540682878945</v>
      </c>
      <c r="L1488" s="20">
        <f t="shared" si="50"/>
        <v>879.09592229229008</v>
      </c>
      <c r="M1488" s="20">
        <f t="shared" si="51"/>
        <v>-11.164518213156741</v>
      </c>
    </row>
    <row r="1489" spans="1:13" x14ac:dyDescent="0.2">
      <c r="A1489" s="23">
        <v>365.5</v>
      </c>
      <c r="B1489" s="20">
        <v>875.02084051739098</v>
      </c>
      <c r="C1489" s="20">
        <v>88.894024720226696</v>
      </c>
      <c r="D1489" s="20">
        <v>329.577906143034</v>
      </c>
      <c r="E1489" s="20">
        <v>-0.31619644253990897</v>
      </c>
      <c r="F1489" s="20">
        <v>-0.97196032842189495</v>
      </c>
      <c r="G1489" s="20">
        <v>1.02209934463382</v>
      </c>
      <c r="H1489" s="20">
        <v>9.9725960254290098E-3</v>
      </c>
      <c r="I1489" s="20">
        <v>143.10696790670499</v>
      </c>
      <c r="J1489" s="20">
        <v>879.52642525969759</v>
      </c>
      <c r="K1489" s="20">
        <v>11.16998560079816</v>
      </c>
      <c r="L1489" s="20">
        <f t="shared" si="50"/>
        <v>879.52465512384686</v>
      </c>
      <c r="M1489" s="20">
        <f t="shared" si="51"/>
        <v>-11.169963120117535</v>
      </c>
    </row>
    <row r="1490" spans="1:13" x14ac:dyDescent="0.2">
      <c r="A1490" s="23">
        <v>365.75</v>
      </c>
      <c r="B1490" s="20">
        <v>875.44177611675605</v>
      </c>
      <c r="C1490" s="20">
        <v>88.986506147464695</v>
      </c>
      <c r="D1490" s="20">
        <v>329.54966930446199</v>
      </c>
      <c r="E1490" s="20">
        <v>-0.31609810217120199</v>
      </c>
      <c r="F1490" s="20">
        <v>-0.97048590763745801</v>
      </c>
      <c r="G1490" s="20">
        <v>1.02066689331982</v>
      </c>
      <c r="H1490" s="20">
        <v>9.9799992533498999E-3</v>
      </c>
      <c r="I1490" s="20">
        <v>143.143776215543</v>
      </c>
      <c r="J1490" s="20">
        <v>879.95455475739868</v>
      </c>
      <c r="K1490" s="20">
        <v>11.175422845418964</v>
      </c>
      <c r="L1490" s="20">
        <f t="shared" si="50"/>
        <v>879.95278375989756</v>
      </c>
      <c r="M1490" s="20">
        <f t="shared" si="51"/>
        <v>-11.1754003537954</v>
      </c>
    </row>
    <row r="1491" spans="1:13" x14ac:dyDescent="0.2">
      <c r="A1491" s="23">
        <v>366</v>
      </c>
      <c r="B1491" s="20">
        <v>875.86210840774504</v>
      </c>
      <c r="C1491" s="20">
        <v>89.078915625749104</v>
      </c>
      <c r="D1491" s="20">
        <v>329.52142721497501</v>
      </c>
      <c r="E1491" s="20">
        <v>-0.31599842120826899</v>
      </c>
      <c r="F1491" s="20">
        <v>-0.96901047538376495</v>
      </c>
      <c r="G1491" s="20">
        <v>1.01923319393041</v>
      </c>
      <c r="H1491" s="20">
        <v>9.9874340178286707E-3</v>
      </c>
      <c r="I1491" s="20">
        <v>143.180425534882</v>
      </c>
      <c r="J1491" s="20">
        <v>880.38207953952531</v>
      </c>
      <c r="K1491" s="20">
        <v>11.180852410151971</v>
      </c>
      <c r="L1491" s="20">
        <f t="shared" si="50"/>
        <v>880.38030768158364</v>
      </c>
      <c r="M1491" s="20">
        <f t="shared" si="51"/>
        <v>-11.180829907600835</v>
      </c>
    </row>
    <row r="1492" spans="1:13" x14ac:dyDescent="0.2">
      <c r="A1492" s="23">
        <v>366.25</v>
      </c>
      <c r="B1492" s="20">
        <v>876.28183689962998</v>
      </c>
      <c r="C1492" s="20">
        <v>89.171252892428399</v>
      </c>
      <c r="D1492" s="20">
        <v>329.49317989593499</v>
      </c>
      <c r="E1492" s="20">
        <v>-0.31589739786927601</v>
      </c>
      <c r="F1492" s="20">
        <v>-0.967534028272651</v>
      </c>
      <c r="G1492" s="20">
        <v>1.0177982422101599</v>
      </c>
      <c r="H1492" s="20">
        <v>9.9948992333638194E-3</v>
      </c>
      <c r="I1492" s="20">
        <v>143.21692469465901</v>
      </c>
      <c r="J1492" s="20">
        <v>880.80899908544427</v>
      </c>
      <c r="K1492" s="20">
        <v>11.186274288385142</v>
      </c>
      <c r="L1492" s="20">
        <f t="shared" si="50"/>
        <v>880.80722636828727</v>
      </c>
      <c r="M1492" s="20">
        <f t="shared" si="51"/>
        <v>-11.186251774921994</v>
      </c>
    </row>
    <row r="1493" spans="1:13" x14ac:dyDescent="0.2">
      <c r="A1493" s="23">
        <v>366.5</v>
      </c>
      <c r="B1493" s="20">
        <v>876.70096110022496</v>
      </c>
      <c r="C1493" s="20">
        <v>89.263517683537998</v>
      </c>
      <c r="D1493" s="20">
        <v>329.46492736884397</v>
      </c>
      <c r="E1493" s="20">
        <v>-0.31579503097550499</v>
      </c>
      <c r="F1493" s="20">
        <v>-0.96605656303792997</v>
      </c>
      <c r="G1493" s="20">
        <v>1.0163620342070401</v>
      </c>
      <c r="H1493" s="20">
        <v>1.0002393800391101E-2</v>
      </c>
      <c r="I1493" s="20">
        <v>143.25328255713299</v>
      </c>
      <c r="J1493" s="20">
        <v>881.23531287294202</v>
      </c>
      <c r="K1493" s="20">
        <v>11.191688473486364</v>
      </c>
      <c r="L1493" s="20">
        <f t="shared" si="50"/>
        <v>881.23353929778307</v>
      </c>
      <c r="M1493" s="20">
        <f t="shared" si="51"/>
        <v>-11.191665949126611</v>
      </c>
    </row>
    <row r="1494" spans="1:13" x14ac:dyDescent="0.2">
      <c r="A1494" s="23">
        <v>366.75</v>
      </c>
      <c r="B1494" s="20">
        <v>877.11948051606703</v>
      </c>
      <c r="C1494" s="20">
        <v>89.355709733603604</v>
      </c>
      <c r="D1494" s="20">
        <v>329.43666965527399</v>
      </c>
      <c r="E1494" s="20">
        <v>-0.315691319952626</v>
      </c>
      <c r="F1494" s="20">
        <v>-0.964578076535338</v>
      </c>
      <c r="G1494" s="20">
        <v>1.01492456627379</v>
      </c>
      <c r="H1494" s="20">
        <v>1.00099166053664E-2</v>
      </c>
      <c r="I1494" s="20">
        <v>143.289508016648</v>
      </c>
      <c r="J1494" s="20">
        <v>881.66102037833377</v>
      </c>
      <c r="K1494" s="20">
        <v>11.19709495880484</v>
      </c>
      <c r="L1494" s="20">
        <f t="shared" si="50"/>
        <v>881.65924594639807</v>
      </c>
      <c r="M1494" s="20">
        <f t="shared" si="51"/>
        <v>-11.197072423564045</v>
      </c>
    </row>
    <row r="1495" spans="1:13" x14ac:dyDescent="0.2">
      <c r="A1495" s="23">
        <v>367</v>
      </c>
      <c r="B1495" s="20">
        <v>877.537394652589</v>
      </c>
      <c r="C1495" s="20">
        <v>89.447828775445203</v>
      </c>
      <c r="D1495" s="20">
        <v>329.40840677680097</v>
      </c>
      <c r="E1495" s="20">
        <v>-0.315586264831962</v>
      </c>
      <c r="F1495" s="20">
        <v>-0.96309856574245101</v>
      </c>
      <c r="G1495" s="20">
        <v>1.01348583506912</v>
      </c>
      <c r="H1495" s="20">
        <v>1.0017466520868001E-2</v>
      </c>
      <c r="I1495" s="20">
        <v>143.32560999937601</v>
      </c>
      <c r="J1495" s="20">
        <v>882.08612107665931</v>
      </c>
      <c r="K1495" s="20">
        <v>11.202493737673574</v>
      </c>
      <c r="L1495" s="20">
        <f t="shared" si="50"/>
        <v>882.08434578916274</v>
      </c>
      <c r="M1495" s="20">
        <f t="shared" si="51"/>
        <v>-11.202471191567177</v>
      </c>
    </row>
    <row r="1496" spans="1:13" x14ac:dyDescent="0.2">
      <c r="A1496" s="23">
        <v>367.25</v>
      </c>
      <c r="B1496" s="20">
        <v>877.95470301429202</v>
      </c>
      <c r="C1496" s="20">
        <v>89.539874539980701</v>
      </c>
      <c r="D1496" s="20">
        <v>329.38013875493903</v>
      </c>
      <c r="E1496" s="20">
        <v>-0.31547986625174601</v>
      </c>
      <c r="F1496" s="20">
        <v>-0.96161802775859795</v>
      </c>
      <c r="G1496" s="20">
        <v>1.01204583755903</v>
      </c>
      <c r="H1496" s="20">
        <v>1.00250424057199E-2</v>
      </c>
      <c r="I1496" s="20">
        <v>143.36159746304301</v>
      </c>
      <c r="J1496" s="20">
        <v>882.51061444179277</v>
      </c>
      <c r="K1496" s="20">
        <v>11.207884803410769</v>
      </c>
      <c r="L1496" s="20">
        <f t="shared" si="50"/>
        <v>882.50883829996235</v>
      </c>
      <c r="M1496" s="20">
        <f t="shared" si="51"/>
        <v>-11.207862246454352</v>
      </c>
    </row>
    <row r="1497" spans="1:13" x14ac:dyDescent="0.2">
      <c r="A1497" s="23">
        <v>367.5</v>
      </c>
      <c r="B1497" s="20">
        <v>878.371405104931</v>
      </c>
      <c r="C1497" s="20">
        <v>89.631846756030995</v>
      </c>
      <c r="D1497" s="20">
        <v>329.35186561107298</v>
      </c>
      <c r="E1497" s="20">
        <v>-0.31537212545836202</v>
      </c>
      <c r="F1497" s="20">
        <v>-0.96013645980475804</v>
      </c>
      <c r="G1497" s="20">
        <v>1.01060457101803</v>
      </c>
      <c r="H1497" s="20">
        <v>1.0032643105133699E-2</v>
      </c>
      <c r="I1497" s="20">
        <v>143.39747939662701</v>
      </c>
      <c r="J1497" s="20">
        <v>882.93449994664513</v>
      </c>
      <c r="K1497" s="20">
        <v>11.213268149322394</v>
      </c>
      <c r="L1497" s="20">
        <f t="shared" si="50"/>
        <v>882.9327229517022</v>
      </c>
      <c r="M1497" s="20">
        <f t="shared" si="51"/>
        <v>-11.213245581531471</v>
      </c>
    </row>
    <row r="1498" spans="1:13" x14ac:dyDescent="0.2">
      <c r="A1498" s="23">
        <v>367.75</v>
      </c>
      <c r="B1498" s="20">
        <v>878.78750042768399</v>
      </c>
      <c r="C1498" s="20">
        <v>89.723745150124202</v>
      </c>
      <c r="D1498" s="20">
        <v>329.32358736639202</v>
      </c>
      <c r="E1498" s="20">
        <v>-0.31526304430756902</v>
      </c>
      <c r="F1498" s="20">
        <v>-0.95865385922344504</v>
      </c>
      <c r="G1498" s="20">
        <v>1.0091620330304101</v>
      </c>
      <c r="H1498" s="20">
        <v>1.00402674508723E-2</v>
      </c>
      <c r="I1498" s="20">
        <v>143.433264820045</v>
      </c>
      <c r="J1498" s="20">
        <v>883.35777706328338</v>
      </c>
      <c r="K1498" s="20">
        <v>11.2186437687037</v>
      </c>
      <c r="L1498" s="20">
        <f t="shared" si="50"/>
        <v>883.35599921645473</v>
      </c>
      <c r="M1498" s="20">
        <f t="shared" si="51"/>
        <v>-11.218621190093851</v>
      </c>
    </row>
    <row r="1499" spans="1:13" x14ac:dyDescent="0.2">
      <c r="A1499" s="23">
        <v>368</v>
      </c>
      <c r="B1499" s="20">
        <v>879.20298848533696</v>
      </c>
      <c r="C1499" s="20">
        <v>89.815569446302106</v>
      </c>
      <c r="D1499" s="20">
        <v>329.29530404182202</v>
      </c>
      <c r="E1499" s="20">
        <v>-0.31515262526571503</v>
      </c>
      <c r="F1499" s="20">
        <v>-0.95717022347857805</v>
      </c>
      <c r="G1499" s="20">
        <v>1.00771822149146</v>
      </c>
      <c r="H1499" s="20">
        <v>1.00479142614315E-2</v>
      </c>
      <c r="I1499" s="20">
        <v>143.46896278380899</v>
      </c>
      <c r="J1499" s="20">
        <v>883.78044526311623</v>
      </c>
      <c r="K1499" s="20">
        <v>11.224011654841577</v>
      </c>
      <c r="L1499" s="20">
        <f t="shared" si="50"/>
        <v>883.77866656562321</v>
      </c>
      <c r="M1499" s="20">
        <f t="shared" si="51"/>
        <v>-11.223989065428311</v>
      </c>
    </row>
    <row r="1500" spans="1:13" x14ac:dyDescent="0.2">
      <c r="A1500" s="23">
        <v>368.25</v>
      </c>
      <c r="B1500" s="20">
        <v>879.617868780457</v>
      </c>
      <c r="C1500" s="20">
        <v>89.907319365925005</v>
      </c>
      <c r="D1500" s="20">
        <v>329.26701565795298</v>
      </c>
      <c r="E1500" s="20">
        <v>-0.31504087141092302</v>
      </c>
      <c r="F1500" s="20">
        <v>-0.95568555015534196</v>
      </c>
      <c r="G1500" s="20">
        <v>1.00627313460863</v>
      </c>
      <c r="H1500" s="20">
        <v>1.0055582342242599E-2</v>
      </c>
      <c r="I1500" s="20">
        <v>143.50458236867701</v>
      </c>
      <c r="J1500" s="20">
        <v>884.20250401702128</v>
      </c>
      <c r="K1500" s="20">
        <v>11.229371801016171</v>
      </c>
      <c r="L1500" s="20">
        <f t="shared" ref="L1500:L1563" si="52">SQRT(B1500^2+C1500^2)</f>
        <v>884.20072447009443</v>
      </c>
      <c r="M1500" s="20">
        <f t="shared" ref="M1500:M1563" si="53">-L1500/A$25*100</f>
        <v>-11.229349200815117</v>
      </c>
    </row>
    <row r="1501" spans="1:13" x14ac:dyDescent="0.2">
      <c r="A1501" s="23">
        <v>368.5</v>
      </c>
      <c r="B1501" s="20">
        <v>880.03214081557701</v>
      </c>
      <c r="C1501" s="20">
        <v>89.998994627479107</v>
      </c>
      <c r="D1501" s="20">
        <v>329.23872223497898</v>
      </c>
      <c r="E1501" s="20">
        <v>-0.314927786434261</v>
      </c>
      <c r="F1501" s="20">
        <v>-0.95419983696002597</v>
      </c>
      <c r="G1501" s="20">
        <v>1.00482677090279</v>
      </c>
      <c r="H1501" s="20">
        <v>1.00632704858947E-2</v>
      </c>
      <c r="I1501" s="20">
        <v>143.54013268527001</v>
      </c>
      <c r="J1501" s="20">
        <v>884.62395279553868</v>
      </c>
      <c r="K1501" s="20">
        <v>11.234724200503342</v>
      </c>
      <c r="L1501" s="20">
        <f t="shared" si="52"/>
        <v>884.62217240040081</v>
      </c>
      <c r="M1501" s="20">
        <f t="shared" si="53"/>
        <v>-11.23470158953003</v>
      </c>
    </row>
    <row r="1502" spans="1:13" x14ac:dyDescent="0.2">
      <c r="A1502" s="23">
        <v>368.75</v>
      </c>
      <c r="B1502" s="20">
        <v>880.44580409337198</v>
      </c>
      <c r="C1502" s="20">
        <v>90.090594946382296</v>
      </c>
      <c r="D1502" s="20">
        <v>329.21042379262502</v>
      </c>
      <c r="E1502" s="20">
        <v>-0.31481337464089199</v>
      </c>
      <c r="F1502" s="20">
        <v>-0.95271308171985603</v>
      </c>
      <c r="G1502" s="20">
        <v>1.0033791292093599</v>
      </c>
      <c r="H1502" s="20">
        <v>1.0070977472375399E-2</v>
      </c>
      <c r="I1502" s="20">
        <v>143.57562287367901</v>
      </c>
      <c r="J1502" s="20">
        <v>885.04479106899782</v>
      </c>
      <c r="K1502" s="20">
        <v>11.240068846576273</v>
      </c>
      <c r="L1502" s="20">
        <f t="shared" si="52"/>
        <v>885.04300982687698</v>
      </c>
      <c r="M1502" s="20">
        <f t="shared" si="53"/>
        <v>-11.240046224846298</v>
      </c>
    </row>
    <row r="1503" spans="1:13" x14ac:dyDescent="0.2">
      <c r="A1503" s="23">
        <v>369</v>
      </c>
      <c r="B1503" s="20">
        <v>880.85885811684</v>
      </c>
      <c r="C1503" s="20">
        <v>90.182120034792405</v>
      </c>
      <c r="D1503" s="20">
        <v>329.182120350079</v>
      </c>
      <c r="E1503" s="20">
        <v>-0.31469764095119301</v>
      </c>
      <c r="F1503" s="20">
        <v>-0.95122528238280901</v>
      </c>
      <c r="G1503" s="20">
        <v>1.0019302086794799</v>
      </c>
      <c r="H1503" s="20">
        <v>1.0078702069332601E-2</v>
      </c>
      <c r="I1503" s="20">
        <v>143.61106210305201</v>
      </c>
      <c r="J1503" s="20">
        <v>885.46501830768136</v>
      </c>
      <c r="K1503" s="20">
        <v>11.245405732507555</v>
      </c>
      <c r="L1503" s="20">
        <f t="shared" si="52"/>
        <v>885.46323621981787</v>
      </c>
      <c r="M1503" s="20">
        <f t="shared" si="53"/>
        <v>-11.245383100036669</v>
      </c>
    </row>
    <row r="1504" spans="1:13" x14ac:dyDescent="0.2">
      <c r="A1504" s="23">
        <v>369.25</v>
      </c>
      <c r="B1504" s="20">
        <v>881.27130238948598</v>
      </c>
      <c r="C1504" s="20">
        <v>90.273569601414195</v>
      </c>
      <c r="D1504" s="20">
        <v>329.15381192592099</v>
      </c>
      <c r="E1504" s="20">
        <v>-0.31458059090184898</v>
      </c>
      <c r="F1504" s="20">
        <v>-0.94973643701741095</v>
      </c>
      <c r="G1504" s="20">
        <v>1.0004800087811301</v>
      </c>
      <c r="H1504" s="20">
        <v>1.0086443032354901E-2</v>
      </c>
      <c r="I1504" s="20">
        <v>143.646459571159</v>
      </c>
      <c r="J1504" s="20">
        <v>885.88463398202805</v>
      </c>
      <c r="K1504" s="20">
        <v>11.250734851571757</v>
      </c>
      <c r="L1504" s="20">
        <f t="shared" si="52"/>
        <v>885.882851049642</v>
      </c>
      <c r="M1504" s="20">
        <f t="shared" si="53"/>
        <v>-11.250712208375456</v>
      </c>
    </row>
    <row r="1505" spans="1:13" x14ac:dyDescent="0.2">
      <c r="A1505" s="23">
        <v>369.5</v>
      </c>
      <c r="B1505" s="20">
        <v>881.68313641550003</v>
      </c>
      <c r="C1505" s="20">
        <v>90.364943351308099</v>
      </c>
      <c r="D1505" s="20">
        <v>329.12549853805899</v>
      </c>
      <c r="E1505" s="20">
        <v>-0.31446223064692302</v>
      </c>
      <c r="F1505" s="20">
        <v>-0.94824654381252305</v>
      </c>
      <c r="G1505" s="20">
        <v>0.99902852930025698</v>
      </c>
      <c r="H1505" s="20">
        <v>1.0094199105270801E-2</v>
      </c>
      <c r="I1505" s="20">
        <v>143.68182450394301</v>
      </c>
      <c r="J1505" s="20">
        <v>886.30363756271913</v>
      </c>
      <c r="K1505" s="20">
        <v>11.256056197046533</v>
      </c>
      <c r="L1505" s="20">
        <f t="shared" si="52"/>
        <v>886.30185378704823</v>
      </c>
      <c r="M1505" s="20">
        <f t="shared" si="53"/>
        <v>-11.256033543140537</v>
      </c>
    </row>
    <row r="1506" spans="1:13" x14ac:dyDescent="0.2">
      <c r="A1506" s="23">
        <v>369.75</v>
      </c>
      <c r="B1506" s="20">
        <v>882.09435969994104</v>
      </c>
      <c r="C1506" s="20">
        <v>90.4562409856984</v>
      </c>
      <c r="D1506" s="20">
        <v>329.09718020365602</v>
      </c>
      <c r="E1506" s="20">
        <v>-0.31434256695889101</v>
      </c>
      <c r="F1506" s="20">
        <v>-0.94675560107711398</v>
      </c>
      <c r="G1506" s="20">
        <v>0.99757577034187805</v>
      </c>
      <c r="H1506" s="20">
        <v>1.01019690204683E-2</v>
      </c>
      <c r="I1506" s="20">
        <v>143.71716615505201</v>
      </c>
      <c r="J1506" s="20">
        <v>886.72202852090584</v>
      </c>
      <c r="K1506" s="20">
        <v>11.261369762215505</v>
      </c>
      <c r="L1506" s="20">
        <f t="shared" si="52"/>
        <v>886.72024390317813</v>
      </c>
      <c r="M1506" s="20">
        <f t="shared" si="53"/>
        <v>-11.261347097615408</v>
      </c>
    </row>
    <row r="1507" spans="1:13" x14ac:dyDescent="0.2">
      <c r="A1507" s="23">
        <v>370</v>
      </c>
      <c r="B1507" s="20">
        <v>882.50497174892098</v>
      </c>
      <c r="C1507" s="20">
        <v>90.547462201783006</v>
      </c>
      <c r="D1507" s="20">
        <v>329.06885693906099</v>
      </c>
      <c r="E1507" s="20">
        <v>-0.31422160722963999</v>
      </c>
      <c r="F1507" s="20">
        <v>-0.94526360724001002</v>
      </c>
      <c r="G1507" s="20">
        <v>0.99612173233113199</v>
      </c>
      <c r="H1507" s="20">
        <v>1.0109751499232799E-2</v>
      </c>
      <c r="I1507" s="20">
        <v>143.752493805348</v>
      </c>
      <c r="J1507" s="20">
        <v>887.1398063283259</v>
      </c>
      <c r="K1507" s="20">
        <v>11.266675540369739</v>
      </c>
      <c r="L1507" s="20">
        <f t="shared" si="52"/>
        <v>887.1380208697783</v>
      </c>
      <c r="M1507" s="20">
        <f t="shared" si="53"/>
        <v>-11.266652865091251</v>
      </c>
    </row>
    <row r="1508" spans="1:13" x14ac:dyDescent="0.2">
      <c r="A1508" s="23">
        <v>370.25</v>
      </c>
      <c r="B1508" s="20">
        <v>882.91497206978295</v>
      </c>
      <c r="C1508" s="20">
        <v>90.638606692542794</v>
      </c>
      <c r="D1508" s="20">
        <v>329.04052875973798</v>
      </c>
      <c r="E1508" s="20">
        <v>-0.31409935947144801</v>
      </c>
      <c r="F1508" s="20">
        <v>-0.94377056084964095</v>
      </c>
      <c r="G1508" s="20">
        <v>0.99466641601434402</v>
      </c>
      <c r="H1508" s="20">
        <v>1.0117545252103999E-2</v>
      </c>
      <c r="I1508" s="20">
        <v>143.787816762407</v>
      </c>
      <c r="J1508" s="20">
        <v>887.55697045749173</v>
      </c>
      <c r="K1508" s="20">
        <v>11.271973524810146</v>
      </c>
      <c r="L1508" s="20">
        <f t="shared" si="52"/>
        <v>887.55518415935751</v>
      </c>
      <c r="M1508" s="20">
        <f t="shared" si="53"/>
        <v>-11.271950838868928</v>
      </c>
    </row>
    <row r="1509" spans="1:13" x14ac:dyDescent="0.2">
      <c r="A1509" s="23">
        <v>370.5</v>
      </c>
      <c r="B1509" s="20">
        <v>883.32436017129203</v>
      </c>
      <c r="C1509" s="20">
        <v>90.729674146551702</v>
      </c>
      <c r="D1509" s="20">
        <v>329.01219568019798</v>
      </c>
      <c r="E1509" s="20">
        <v>-0.31397583231790299</v>
      </c>
      <c r="F1509" s="20">
        <v>-0.94227646057375902</v>
      </c>
      <c r="G1509" s="20">
        <v>0.99320982246005396</v>
      </c>
      <c r="H1509" s="20">
        <v>1.0125348979252101E-2</v>
      </c>
      <c r="I1509" s="20">
        <v>143.82314435999501</v>
      </c>
      <c r="J1509" s="20">
        <v>887.97352038183874</v>
      </c>
      <c r="K1509" s="20">
        <v>11.277263708849352</v>
      </c>
      <c r="L1509" s="20">
        <f t="shared" si="52"/>
        <v>887.97173324535618</v>
      </c>
      <c r="M1509" s="20">
        <f t="shared" si="53"/>
        <v>-11.277241012261133</v>
      </c>
    </row>
    <row r="1510" spans="1:13" x14ac:dyDescent="0.2">
      <c r="A1510" s="23">
        <v>370.75</v>
      </c>
      <c r="B1510" s="20">
        <v>883.73313556381299</v>
      </c>
      <c r="C1510" s="20">
        <v>90.820664247787704</v>
      </c>
      <c r="D1510" s="20">
        <v>328.98385771392998</v>
      </c>
      <c r="E1510" s="20">
        <v>-0.31385103502480699</v>
      </c>
      <c r="F1510" s="20">
        <v>-0.94078130519915104</v>
      </c>
      <c r="G1510" s="20">
        <v>0.99175195306001795</v>
      </c>
      <c r="H1510" s="20">
        <v>1.01331613708724E-2</v>
      </c>
      <c r="I1510" s="20">
        <v>143.85848595753299</v>
      </c>
      <c r="J1510" s="20">
        <v>888.38945557589886</v>
      </c>
      <c r="K1510" s="20">
        <v>11.282546085813916</v>
      </c>
      <c r="L1510" s="20">
        <f t="shared" si="52"/>
        <v>888.38766760230192</v>
      </c>
      <c r="M1510" s="20">
        <f t="shared" si="53"/>
        <v>-11.282523378594364</v>
      </c>
    </row>
    <row r="1511" spans="1:13" x14ac:dyDescent="0.2">
      <c r="A1511" s="23">
        <v>371</v>
      </c>
      <c r="B1511" s="20">
        <v>884.14129775950096</v>
      </c>
      <c r="C1511" s="20">
        <v>90.911576675443996</v>
      </c>
      <c r="D1511" s="20">
        <v>328.95551487332602</v>
      </c>
      <c r="E1511" s="20">
        <v>-0.31372497747102701</v>
      </c>
      <c r="F1511" s="20">
        <v>-0.93928509363132895</v>
      </c>
      <c r="G1511" s="20">
        <v>0.99029280953019705</v>
      </c>
      <c r="H1511" s="20">
        <v>1.01409811076082E-2</v>
      </c>
      <c r="I1511" s="20">
        <v>143.893850939391</v>
      </c>
      <c r="J1511" s="20">
        <v>888.80477551544686</v>
      </c>
      <c r="K1511" s="20">
        <v>11.287820649046177</v>
      </c>
      <c r="L1511" s="20">
        <f t="shared" si="52"/>
        <v>888.80298670597949</v>
      </c>
      <c r="M1511" s="20">
        <f t="shared" si="53"/>
        <v>-11.287797931211092</v>
      </c>
    </row>
    <row r="1512" spans="1:13" x14ac:dyDescent="0.2">
      <c r="A1512" s="23">
        <v>371.25</v>
      </c>
      <c r="B1512" s="20">
        <v>884.54884627247998</v>
      </c>
      <c r="C1512" s="20">
        <v>91.002411103740499</v>
      </c>
      <c r="D1512" s="20">
        <v>328.92716716961201</v>
      </c>
      <c r="E1512" s="20">
        <v>-0.31359767015928303</v>
      </c>
      <c r="F1512" s="20">
        <v>-0.93778782489421197</v>
      </c>
      <c r="G1512" s="20">
        <v>0.98883239391170197</v>
      </c>
      <c r="H1512" s="20">
        <v>1.0148806960967399E-2</v>
      </c>
      <c r="I1512" s="20">
        <v>143.92924719574799</v>
      </c>
      <c r="J1512" s="20">
        <v>889.21947967769006</v>
      </c>
      <c r="K1512" s="20">
        <v>11.293087391906663</v>
      </c>
      <c r="L1512" s="20">
        <f t="shared" si="52"/>
        <v>889.21769003358759</v>
      </c>
      <c r="M1512" s="20">
        <f t="shared" si="53"/>
        <v>-11.293064663471734</v>
      </c>
    </row>
    <row r="1513" spans="1:13" x14ac:dyDescent="0.2">
      <c r="A1513" s="23">
        <v>371.5</v>
      </c>
      <c r="B1513" s="20">
        <v>884.95578061901199</v>
      </c>
      <c r="C1513" s="20">
        <v>91.093167201771706</v>
      </c>
      <c r="D1513" s="20">
        <v>328.89881461279202</v>
      </c>
      <c r="E1513" s="20">
        <v>-0.31346912399488802</v>
      </c>
      <c r="F1513" s="20">
        <v>-0.93628949812644902</v>
      </c>
      <c r="G1513" s="20">
        <v>0.98737070849807995</v>
      </c>
      <c r="H1513" s="20">
        <v>1.01566380410976E-2</v>
      </c>
      <c r="I1513" s="20">
        <v>143.96467736496601</v>
      </c>
      <c r="J1513" s="20">
        <v>889.63356754138545</v>
      </c>
      <c r="K1513" s="20">
        <v>11.298346307775596</v>
      </c>
      <c r="L1513" s="20">
        <f t="shared" si="52"/>
        <v>889.6317770638899</v>
      </c>
      <c r="M1513" s="20">
        <f t="shared" si="53"/>
        <v>-11.298323568756595</v>
      </c>
    </row>
    <row r="1514" spans="1:13" x14ac:dyDescent="0.2">
      <c r="A1514" s="23">
        <v>371.75</v>
      </c>
      <c r="B1514" s="20">
        <v>885.362100317559</v>
      </c>
      <c r="C1514" s="20">
        <v>91.183844633510901</v>
      </c>
      <c r="D1514" s="20">
        <v>328.87045721163798</v>
      </c>
      <c r="E1514" s="20">
        <v>-0.31333934960201998</v>
      </c>
      <c r="F1514" s="20">
        <v>-0.93479011257075495</v>
      </c>
      <c r="G1514" s="20">
        <v>0.98590775560853705</v>
      </c>
      <c r="H1514" s="20">
        <v>1.0164473521860401E-2</v>
      </c>
      <c r="I1514" s="20">
        <v>144.00014294185399</v>
      </c>
      <c r="J1514" s="20">
        <v>890.04703858692437</v>
      </c>
      <c r="K1514" s="20">
        <v>11.303597390053941</v>
      </c>
      <c r="L1514" s="20">
        <f t="shared" si="52"/>
        <v>890.04524727727619</v>
      </c>
      <c r="M1514" s="20">
        <f t="shared" si="53"/>
        <v>-11.303574640466623</v>
      </c>
    </row>
    <row r="1515" spans="1:13" x14ac:dyDescent="0.2">
      <c r="A1515" s="23">
        <v>372</v>
      </c>
      <c r="B1515" s="20">
        <v>885.76780488877705</v>
      </c>
      <c r="C1515" s="20">
        <v>91.274443057936907</v>
      </c>
      <c r="D1515" s="20">
        <v>328.84209497373098</v>
      </c>
      <c r="E1515" s="20">
        <v>-0.31320835744956499</v>
      </c>
      <c r="F1515" s="20">
        <v>-0.93328966757532295</v>
      </c>
      <c r="G1515" s="20">
        <v>0.98444353762880199</v>
      </c>
      <c r="H1515" s="20">
        <v>1.0172312580231199E-2</v>
      </c>
      <c r="I1515" s="20">
        <v>144.03564542096601</v>
      </c>
      <c r="J1515" s="20">
        <v>890.45989229632653</v>
      </c>
      <c r="K1515" s="20">
        <v>11.308840632163347</v>
      </c>
      <c r="L1515" s="20">
        <f t="shared" si="52"/>
        <v>890.45810015576774</v>
      </c>
      <c r="M1515" s="20">
        <f t="shared" si="53"/>
        <v>-11.308817872023486</v>
      </c>
    </row>
    <row r="1516" spans="1:13" x14ac:dyDescent="0.2">
      <c r="A1516" s="23">
        <v>372.25</v>
      </c>
      <c r="B1516" s="20">
        <v>886.17289385552795</v>
      </c>
      <c r="C1516" s="20">
        <v>91.364962129119604</v>
      </c>
      <c r="D1516" s="20">
        <v>328.81372790548801</v>
      </c>
      <c r="E1516" s="20">
        <v>-0.31307615790166798</v>
      </c>
      <c r="F1516" s="20">
        <v>-0.93178816259425501</v>
      </c>
      <c r="G1516" s="20">
        <v>0.98297805702734198</v>
      </c>
      <c r="H1516" s="20">
        <v>1.0180154399472501E-2</v>
      </c>
      <c r="I1516" s="20">
        <v>144.07118629527801</v>
      </c>
      <c r="J1516" s="20">
        <v>890.87212815326257</v>
      </c>
      <c r="K1516" s="20">
        <v>11.314076027546434</v>
      </c>
      <c r="L1516" s="20">
        <f t="shared" si="52"/>
        <v>890.87033518303679</v>
      </c>
      <c r="M1516" s="20">
        <f t="shared" si="53"/>
        <v>-11.314053256869824</v>
      </c>
    </row>
    <row r="1517" spans="1:13" x14ac:dyDescent="0.2">
      <c r="A1517" s="23">
        <v>372.5</v>
      </c>
      <c r="B1517" s="20">
        <v>886.57736674290197</v>
      </c>
      <c r="C1517" s="20">
        <v>91.455401496293504</v>
      </c>
      <c r="D1517" s="20">
        <v>328.78535601218601</v>
      </c>
      <c r="E1517" s="20">
        <v>-0.31294276121606801</v>
      </c>
      <c r="F1517" s="20">
        <v>-0.93028559718717596</v>
      </c>
      <c r="G1517" s="20">
        <v>0.98151131635424205</v>
      </c>
      <c r="H1517" s="20">
        <v>1.01879981690011E-2</v>
      </c>
      <c r="I1517" s="20">
        <v>144.10676705549901</v>
      </c>
      <c r="J1517" s="20">
        <v>891.2837456430774</v>
      </c>
      <c r="K1517" s="20">
        <v>11.319303569667083</v>
      </c>
      <c r="L1517" s="20">
        <f t="shared" si="52"/>
        <v>891.2819518444353</v>
      </c>
      <c r="M1517" s="20">
        <f t="shared" si="53"/>
        <v>-11.319280788469605</v>
      </c>
    </row>
    <row r="1518" spans="1:13" x14ac:dyDescent="0.2">
      <c r="A1518" s="23">
        <v>372.75</v>
      </c>
      <c r="B1518" s="20">
        <v>886.98122307824099</v>
      </c>
      <c r="C1518" s="20">
        <v>91.545760803930904</v>
      </c>
      <c r="D1518" s="20">
        <v>328.75697929797701</v>
      </c>
      <c r="E1518" s="20">
        <v>-0.31280817754513002</v>
      </c>
      <c r="F1518" s="20">
        <v>-0.92878197101884896</v>
      </c>
      <c r="G1518" s="20">
        <v>0.98004331824096602</v>
      </c>
      <c r="H1518" s="20">
        <v>1.0195843084371201E-2</v>
      </c>
      <c r="I1518" s="20">
        <v>144.142389189829</v>
      </c>
      <c r="J1518" s="20">
        <v>891.69474425284511</v>
      </c>
      <c r="K1518" s="20">
        <v>11.324523252011133</v>
      </c>
      <c r="L1518" s="20">
        <f t="shared" si="52"/>
        <v>891.69294962702418</v>
      </c>
      <c r="M1518" s="20">
        <f t="shared" si="53"/>
        <v>-11.324500460308505</v>
      </c>
    </row>
    <row r="1519" spans="1:13" x14ac:dyDescent="0.2">
      <c r="A1519" s="23">
        <v>373</v>
      </c>
      <c r="B1519" s="20">
        <v>887.38446239115694</v>
      </c>
      <c r="C1519" s="20">
        <v>91.636039691814702</v>
      </c>
      <c r="D1519" s="20">
        <v>328.72859776591901</v>
      </c>
      <c r="E1519" s="20">
        <v>-0.312672416936771</v>
      </c>
      <c r="F1519" s="20">
        <v>-0.92727728385880204</v>
      </c>
      <c r="G1519" s="20">
        <v>0.97857406540007996</v>
      </c>
      <c r="H1519" s="20">
        <v>1.0203688347254301E-2</v>
      </c>
      <c r="I1519" s="20">
        <v>144.178054183694</v>
      </c>
      <c r="J1519" s="20">
        <v>892.10512347134591</v>
      </c>
      <c r="K1519" s="20">
        <v>11.329735068086094</v>
      </c>
      <c r="L1519" s="20">
        <f t="shared" si="52"/>
        <v>892.10332801959805</v>
      </c>
      <c r="M1519" s="20">
        <f t="shared" si="53"/>
        <v>-11.329712265894214</v>
      </c>
    </row>
    <row r="1520" spans="1:13" x14ac:dyDescent="0.2">
      <c r="A1520" s="23">
        <v>373.25</v>
      </c>
      <c r="B1520" s="20">
        <v>887.78708421355702</v>
      </c>
      <c r="C1520" s="20">
        <v>91.726237795110904</v>
      </c>
      <c r="D1520" s="20">
        <v>328.70021141799202</v>
      </c>
      <c r="E1520" s="20">
        <v>-0.31253548933539799</v>
      </c>
      <c r="F1520" s="20">
        <v>-0.92577153558093195</v>
      </c>
      <c r="G1520" s="20">
        <v>0.97710356062496995</v>
      </c>
      <c r="H1520" s="20">
        <v>1.02115331654191E-2</v>
      </c>
      <c r="I1520" s="20">
        <v>144.213763519482</v>
      </c>
      <c r="J1520" s="20">
        <v>892.51488278915133</v>
      </c>
      <c r="K1520" s="20">
        <v>11.334939011422222</v>
      </c>
      <c r="L1520" s="20">
        <f t="shared" si="52"/>
        <v>892.51308651271586</v>
      </c>
      <c r="M1520" s="20">
        <f t="shared" si="53"/>
        <v>-11.334916198756831</v>
      </c>
    </row>
    <row r="1521" spans="1:13" x14ac:dyDescent="0.2">
      <c r="A1521" s="23">
        <v>373.5</v>
      </c>
      <c r="B1521" s="20">
        <v>888.18908807966295</v>
      </c>
      <c r="C1521" s="20">
        <v>91.816354744440105</v>
      </c>
      <c r="D1521" s="20">
        <v>328.67182025512102</v>
      </c>
      <c r="E1521" s="20">
        <v>-0.31239740458284099</v>
      </c>
      <c r="F1521" s="20">
        <v>-0.92426472616309996</v>
      </c>
      <c r="G1521" s="20">
        <v>0.97563180678955197</v>
      </c>
      <c r="H1521" s="20">
        <v>1.0219376752711199E-2</v>
      </c>
      <c r="I1521" s="20">
        <v>144.24951867628999</v>
      </c>
      <c r="J1521" s="20">
        <v>892.92402169859429</v>
      </c>
      <c r="K1521" s="20">
        <v>11.340135075572148</v>
      </c>
      <c r="L1521" s="20">
        <f t="shared" si="52"/>
        <v>892.92222459872733</v>
      </c>
      <c r="M1521" s="20">
        <f t="shared" si="53"/>
        <v>-11.340112252449197</v>
      </c>
    </row>
    <row r="1522" spans="1:13" x14ac:dyDescent="0.2">
      <c r="A1522" s="23">
        <v>373.75</v>
      </c>
      <c r="B1522" s="20">
        <v>888.59047352603397</v>
      </c>
      <c r="C1522" s="20">
        <v>91.906390165948395</v>
      </c>
      <c r="D1522" s="20">
        <v>328.64342427719703</v>
      </c>
      <c r="E1522" s="20">
        <v>-0.312258172419281</v>
      </c>
      <c r="F1522" s="20">
        <v>-0.92275685568672206</v>
      </c>
      <c r="G1522" s="20">
        <v>0.97415880684797695</v>
      </c>
      <c r="H1522" s="20">
        <v>1.02272183290332E-2</v>
      </c>
      <c r="I1522" s="20">
        <v>144.28532112966101</v>
      </c>
      <c r="J1522" s="20">
        <v>893.33253969385351</v>
      </c>
      <c r="K1522" s="20">
        <v>11.345323254111941</v>
      </c>
      <c r="L1522" s="20">
        <f t="shared" si="52"/>
        <v>893.33074177180129</v>
      </c>
      <c r="M1522" s="20">
        <f t="shared" si="53"/>
        <v>-11.345300420547257</v>
      </c>
    </row>
    <row r="1523" spans="1:13" x14ac:dyDescent="0.2">
      <c r="A1523" s="23">
        <v>374</v>
      </c>
      <c r="B1523" s="20">
        <v>888.99124009158402</v>
      </c>
      <c r="C1523" s="20">
        <v>91.996343681378207</v>
      </c>
      <c r="D1523" s="20">
        <v>328.61502348309898</v>
      </c>
      <c r="E1523" s="20">
        <v>-0.31211780248418802</v>
      </c>
      <c r="F1523" s="20">
        <v>-0.92124792433634495</v>
      </c>
      <c r="G1523" s="20">
        <v>0.972684563834331</v>
      </c>
      <c r="H1523" s="20">
        <v>1.02350571203247E-2</v>
      </c>
      <c r="I1523" s="20">
        <v>144.32117235132699</v>
      </c>
      <c r="J1523" s="20">
        <v>893.74043627093124</v>
      </c>
      <c r="K1523" s="20">
        <v>11.350503540640828</v>
      </c>
      <c r="L1523" s="20">
        <f t="shared" si="52"/>
        <v>893.73863752794898</v>
      </c>
      <c r="M1523" s="20">
        <f t="shared" si="53"/>
        <v>-11.350480696650354</v>
      </c>
    </row>
    <row r="1524" spans="1:13" x14ac:dyDescent="0.2">
      <c r="A1524" s="23">
        <v>374.25</v>
      </c>
      <c r="B1524" s="20">
        <v>889.39138731761102</v>
      </c>
      <c r="C1524" s="20">
        <v>92.086214908137805</v>
      </c>
      <c r="D1524" s="20">
        <v>328.586617870716</v>
      </c>
      <c r="E1524" s="20">
        <v>-0.31197630431724699</v>
      </c>
      <c r="F1524" s="20">
        <v>-0.91973793239922097</v>
      </c>
      <c r="G1524" s="20">
        <v>0.97120908086232505</v>
      </c>
      <c r="H1524" s="20">
        <v>1.0242892358542401E-2</v>
      </c>
      <c r="I1524" s="20">
        <v>144.357073808959</v>
      </c>
      <c r="J1524" s="20">
        <v>894.14771092772367</v>
      </c>
      <c r="K1524" s="20">
        <v>11.355675928782091</v>
      </c>
      <c r="L1524" s="20">
        <f t="shared" si="52"/>
        <v>894.14591136505931</v>
      </c>
      <c r="M1524" s="20">
        <f t="shared" si="53"/>
        <v>-11.355653074381676</v>
      </c>
    </row>
    <row r="1525" spans="1:13" x14ac:dyDescent="0.2">
      <c r="A1525" s="23">
        <v>374.5</v>
      </c>
      <c r="B1525" s="20">
        <v>889.79091474781103</v>
      </c>
      <c r="C1525" s="20">
        <v>92.176003459370904</v>
      </c>
      <c r="D1525" s="20">
        <v>328.55820743696501</v>
      </c>
      <c r="E1525" s="20">
        <v>-0.31183368735928801</v>
      </c>
      <c r="F1525" s="20">
        <v>-0.91822688026486399</v>
      </c>
      <c r="G1525" s="20">
        <v>0.96973236112498296</v>
      </c>
      <c r="H1525" s="20">
        <v>1.02507232816399E-2</v>
      </c>
      <c r="I1525" s="20">
        <v>144.39302696591301</v>
      </c>
      <c r="J1525" s="20">
        <v>894.55436316401187</v>
      </c>
      <c r="K1525" s="20">
        <v>11.360840412182952</v>
      </c>
      <c r="L1525" s="20">
        <f t="shared" si="52"/>
        <v>894.55256278291904</v>
      </c>
      <c r="M1525" s="20">
        <f t="shared" si="53"/>
        <v>-11.360817547388516</v>
      </c>
    </row>
    <row r="1526" spans="1:13" x14ac:dyDescent="0.2">
      <c r="A1526" s="23">
        <v>374.75</v>
      </c>
      <c r="B1526" s="20">
        <v>890.18982192830003</v>
      </c>
      <c r="C1526" s="20">
        <v>92.265708944025207</v>
      </c>
      <c r="D1526" s="20">
        <v>328.52979217781501</v>
      </c>
      <c r="E1526" s="20">
        <v>-0.31168996095321</v>
      </c>
      <c r="F1526" s="20">
        <v>-0.91671476842460298</v>
      </c>
      <c r="G1526" s="20">
        <v>0.96825440789432404</v>
      </c>
      <c r="H1526" s="20">
        <v>1.0258549133548201E-2</v>
      </c>
      <c r="I1526" s="20">
        <v>144.429033280982</v>
      </c>
      <c r="J1526" s="20">
        <v>894.96039248151033</v>
      </c>
      <c r="K1526" s="20">
        <v>11.365996984515183</v>
      </c>
      <c r="L1526" s="20">
        <f t="shared" si="52"/>
        <v>894.95859128324037</v>
      </c>
      <c r="M1526" s="20">
        <f t="shared" si="53"/>
        <v>-11.365974109342616</v>
      </c>
    </row>
    <row r="1527" spans="1:13" x14ac:dyDescent="0.2">
      <c r="A1527" s="23">
        <v>375</v>
      </c>
      <c r="B1527" s="20">
        <v>890.58810840763999</v>
      </c>
      <c r="C1527" s="20">
        <v>92.355330966920704</v>
      </c>
      <c r="D1527" s="20">
        <v>328.50137208830398</v>
      </c>
      <c r="E1527" s="20">
        <v>-0.31154513434490799</v>
      </c>
      <c r="F1527" s="20">
        <v>-0.91520159747112795</v>
      </c>
      <c r="G1527" s="20">
        <v>0.96677522452103204</v>
      </c>
      <c r="H1527" s="20">
        <v>1.02663691641553E-2</v>
      </c>
      <c r="I1527" s="20">
        <v>144.465094208143</v>
      </c>
      <c r="J1527" s="20">
        <v>895.36579838388195</v>
      </c>
      <c r="K1527" s="20">
        <v>11.371145639475301</v>
      </c>
      <c r="L1527" s="20">
        <f t="shared" si="52"/>
        <v>895.36399636969304</v>
      </c>
      <c r="M1527" s="20">
        <f t="shared" si="53"/>
        <v>-11.371122753940586</v>
      </c>
    </row>
    <row r="1528" spans="1:13" x14ac:dyDescent="0.2">
      <c r="A1528" s="23">
        <v>375.25</v>
      </c>
      <c r="B1528" s="20">
        <v>890.98577373685498</v>
      </c>
      <c r="C1528" s="20">
        <v>92.444869128817004</v>
      </c>
      <c r="D1528" s="20">
        <v>328.47294716256499</v>
      </c>
      <c r="E1528" s="20">
        <v>-0.31139921668418902</v>
      </c>
      <c r="F1528" s="20">
        <v>-0.91368736809802498</v>
      </c>
      <c r="G1528" s="20">
        <v>0.96529481443413001</v>
      </c>
      <c r="H1528" s="20">
        <v>1.02741826292871E-2</v>
      </c>
      <c r="I1528" s="20">
        <v>144.50121119632101</v>
      </c>
      <c r="J1528" s="20">
        <v>895.77058037677637</v>
      </c>
      <c r="K1528" s="20">
        <v>11.37628637078506</v>
      </c>
      <c r="L1528" s="20">
        <f t="shared" si="52"/>
        <v>895.76877754792633</v>
      </c>
      <c r="M1528" s="20">
        <f t="shared" si="53"/>
        <v>-11.376263474904169</v>
      </c>
    </row>
    <row r="1529" spans="1:13" x14ac:dyDescent="0.2">
      <c r="A1529" s="23">
        <v>375.5</v>
      </c>
      <c r="B1529" s="20">
        <v>891.38281746945597</v>
      </c>
      <c r="C1529" s="20">
        <v>92.534323026480607</v>
      </c>
      <c r="D1529" s="20">
        <v>328.44451739383999</v>
      </c>
      <c r="E1529" s="20">
        <v>-0.311252217025688</v>
      </c>
      <c r="F1529" s="20">
        <v>-0.91217208109930303</v>
      </c>
      <c r="G1529" s="20">
        <v>0.96381318114063996</v>
      </c>
      <c r="H1529" s="20">
        <v>1.02819887906868E-2</v>
      </c>
      <c r="I1529" s="20">
        <v>144.53738568914</v>
      </c>
      <c r="J1529" s="20">
        <v>896.17473796786271</v>
      </c>
      <c r="K1529" s="20">
        <v>11.381419172191858</v>
      </c>
      <c r="L1529" s="20">
        <f t="shared" si="52"/>
        <v>896.17293432559904</v>
      </c>
      <c r="M1529" s="20">
        <f t="shared" si="53"/>
        <v>-11.381396265980634</v>
      </c>
    </row>
    <row r="1530" spans="1:13" x14ac:dyDescent="0.2">
      <c r="A1530" s="23">
        <v>375.75</v>
      </c>
      <c r="B1530" s="20">
        <v>891.77923916145801</v>
      </c>
      <c r="C1530" s="20">
        <v>92.623692252751098</v>
      </c>
      <c r="D1530" s="20">
        <v>328.41608277450501</v>
      </c>
      <c r="E1530" s="20">
        <v>-0.311104144329786</v>
      </c>
      <c r="F1530" s="20">
        <v>-0.91065573736891803</v>
      </c>
      <c r="G1530" s="20">
        <v>0.96233032822523801</v>
      </c>
      <c r="H1530" s="20">
        <v>1.02897869159955E-2</v>
      </c>
      <c r="I1530" s="20">
        <v>144.57361912468701</v>
      </c>
      <c r="J1530" s="20">
        <v>896.57827066681307</v>
      </c>
      <c r="K1530" s="20">
        <v>11.386544037468527</v>
      </c>
      <c r="L1530" s="20">
        <f t="shared" si="52"/>
        <v>896.5764662124036</v>
      </c>
      <c r="M1530" s="20">
        <f t="shared" si="53"/>
        <v>-11.386521120943073</v>
      </c>
    </row>
    <row r="1531" spans="1:13" x14ac:dyDescent="0.2">
      <c r="A1531" s="23">
        <v>376</v>
      </c>
      <c r="B1531" s="20">
        <v>892.17503837140396</v>
      </c>
      <c r="C1531" s="20">
        <v>92.712976396607104</v>
      </c>
      <c r="D1531" s="20">
        <v>328.38764329608802</v>
      </c>
      <c r="E1531" s="20">
        <v>-0.31095500746350901</v>
      </c>
      <c r="F1531" s="20">
        <v>-0.90913833790028298</v>
      </c>
      <c r="G1531" s="20">
        <v>0.96084625934991297</v>
      </c>
      <c r="H1531" s="20">
        <v>1.02975762787326E-2</v>
      </c>
      <c r="I1531" s="20">
        <v>144.609912935274</v>
      </c>
      <c r="J1531" s="20">
        <v>896.98117798539624</v>
      </c>
      <c r="K1531" s="20">
        <v>11.391660960414534</v>
      </c>
      <c r="L1531" s="20">
        <f t="shared" si="52"/>
        <v>896.97937272009437</v>
      </c>
      <c r="M1531" s="20">
        <f t="shared" si="53"/>
        <v>-11.391638033590766</v>
      </c>
    </row>
    <row r="1532" spans="1:13" x14ac:dyDescent="0.2">
      <c r="A1532" s="23">
        <v>376.25</v>
      </c>
      <c r="B1532" s="20">
        <v>892.57021466038498</v>
      </c>
      <c r="C1532" s="20">
        <v>92.802175043231401</v>
      </c>
      <c r="D1532" s="20">
        <v>328.35919894928702</v>
      </c>
      <c r="E1532" s="20">
        <v>-0.31080481520143799</v>
      </c>
      <c r="F1532" s="20">
        <v>-0.90761988378577596</v>
      </c>
      <c r="G1532" s="20">
        <v>0.959360978253601</v>
      </c>
      <c r="H1532" s="20">
        <v>1.03053561582754E-2</v>
      </c>
      <c r="I1532" s="20">
        <v>144.64626854720601</v>
      </c>
      <c r="J1532" s="20">
        <v>897.38345943744719</v>
      </c>
      <c r="K1532" s="20">
        <v>11.39676993485558</v>
      </c>
      <c r="L1532" s="20">
        <f t="shared" si="52"/>
        <v>897.38165336251461</v>
      </c>
      <c r="M1532" s="20">
        <f t="shared" si="53"/>
        <v>-11.396746997749522</v>
      </c>
    </row>
    <row r="1533" spans="1:13" x14ac:dyDescent="0.2">
      <c r="A1533" s="23">
        <v>376.5</v>
      </c>
      <c r="B1533" s="20">
        <v>892.96476759205802</v>
      </c>
      <c r="C1533" s="20">
        <v>92.891287774075806</v>
      </c>
      <c r="D1533" s="20">
        <v>328.33074972399601</v>
      </c>
      <c r="E1533" s="20">
        <v>-0.310653576226605</v>
      </c>
      <c r="F1533" s="20">
        <v>-0.90610037621623996</v>
      </c>
      <c r="G1533" s="20">
        <v>0.95787448875183601</v>
      </c>
      <c r="H1533" s="20">
        <v>1.03131258398399E-2</v>
      </c>
      <c r="I1533" s="20">
        <v>144.68268738054601</v>
      </c>
      <c r="J1533" s="20">
        <v>897.78511453892895</v>
      </c>
      <c r="K1533" s="20">
        <v>11.401870954644398</v>
      </c>
      <c r="L1533" s="20">
        <f t="shared" si="52"/>
        <v>897.7833076556193</v>
      </c>
      <c r="M1533" s="20">
        <f t="shared" si="53"/>
        <v>-11.401848007271973</v>
      </c>
    </row>
    <row r="1534" spans="1:13" x14ac:dyDescent="0.2">
      <c r="A1534" s="23">
        <v>376.75</v>
      </c>
      <c r="B1534" s="20">
        <v>893.35869673267098</v>
      </c>
      <c r="C1534" s="20">
        <v>92.980314166925297</v>
      </c>
      <c r="D1534" s="20">
        <v>328.30229560931599</v>
      </c>
      <c r="E1534" s="20">
        <v>-0.31050129913138502</v>
      </c>
      <c r="F1534" s="20">
        <v>-0.90457981648047303</v>
      </c>
      <c r="G1534" s="20">
        <v>0.956386794736378</v>
      </c>
      <c r="H1534" s="20">
        <v>1.0320884614460801E-2</v>
      </c>
      <c r="I1534" s="20">
        <v>144.719170848896</v>
      </c>
      <c r="J1534" s="20">
        <v>898.18614280792508</v>
      </c>
      <c r="K1534" s="20">
        <v>11.40696401366065</v>
      </c>
      <c r="L1534" s="20">
        <f t="shared" si="52"/>
        <v>898.18433511750618</v>
      </c>
      <c r="M1534" s="20">
        <f t="shared" si="53"/>
        <v>-11.406941056037958</v>
      </c>
    </row>
    <row r="1535" spans="1:13" x14ac:dyDescent="0.2">
      <c r="A1535" s="23">
        <v>377</v>
      </c>
      <c r="B1535" s="20">
        <v>893.75200165108299</v>
      </c>
      <c r="C1535" s="20">
        <v>93.069253795961302</v>
      </c>
      <c r="D1535" s="20">
        <v>328.27383659358202</v>
      </c>
      <c r="E1535" s="20">
        <v>-0.31034799241838401</v>
      </c>
      <c r="F1535" s="20">
        <v>-0.90305820596471598</v>
      </c>
      <c r="G1535" s="20">
        <v>0.95489790017484799</v>
      </c>
      <c r="H1535" s="20">
        <v>1.0328631778971699E-2</v>
      </c>
      <c r="I1535" s="20">
        <v>144.75572035916201</v>
      </c>
      <c r="J1535" s="20">
        <v>898.58654376470224</v>
      </c>
      <c r="K1535" s="20">
        <v>11.41204910581172</v>
      </c>
      <c r="L1535" s="20">
        <f t="shared" si="52"/>
        <v>898.58473526844125</v>
      </c>
      <c r="M1535" s="20">
        <f t="shared" si="53"/>
        <v>-11.412026137954852</v>
      </c>
    </row>
    <row r="1536" spans="1:13" x14ac:dyDescent="0.2">
      <c r="A1536" s="23">
        <v>377.25</v>
      </c>
      <c r="B1536" s="20">
        <v>894.14468191877904</v>
      </c>
      <c r="C1536" s="20">
        <v>93.158106231825101</v>
      </c>
      <c r="D1536" s="20">
        <v>328.24537266437898</v>
      </c>
      <c r="E1536" s="20">
        <v>-0.31019366450132202</v>
      </c>
      <c r="F1536" s="20">
        <v>-0.90153554615213405</v>
      </c>
      <c r="G1536" s="20">
        <v>0.95340780911034295</v>
      </c>
      <c r="H1536" s="20">
        <v>1.0336366635985399E-2</v>
      </c>
      <c r="I1536" s="20">
        <v>144.792337311343</v>
      </c>
      <c r="J1536" s="20">
        <v>898.98631693172592</v>
      </c>
      <c r="K1536" s="20">
        <v>11.41712622503292</v>
      </c>
      <c r="L1536" s="20">
        <f t="shared" si="52"/>
        <v>898.98450763087931</v>
      </c>
      <c r="M1536" s="20">
        <f t="shared" si="53"/>
        <v>-11.417103246957835</v>
      </c>
    </row>
    <row r="1537" spans="1:13" x14ac:dyDescent="0.2">
      <c r="A1537" s="23">
        <v>377.5</v>
      </c>
      <c r="B1537" s="20">
        <v>894.53673710989699</v>
      </c>
      <c r="C1537" s="20">
        <v>93.246871041679995</v>
      </c>
      <c r="D1537" s="20">
        <v>328.21690380855898</v>
      </c>
      <c r="E1537" s="20">
        <v>-0.31003832370590501</v>
      </c>
      <c r="F1537" s="20">
        <v>-0.90001183862228695</v>
      </c>
      <c r="G1537" s="20">
        <v>0.95191652566106699</v>
      </c>
      <c r="H1537" s="20">
        <v>1.0344088493873801E-2</v>
      </c>
      <c r="I1537" s="20">
        <v>144.829023098308</v>
      </c>
      <c r="J1537" s="20">
        <v>899.38546183366009</v>
      </c>
      <c r="K1537" s="20">
        <v>11.422195365287484</v>
      </c>
      <c r="L1537" s="20">
        <f t="shared" si="52"/>
        <v>899.38365172949671</v>
      </c>
      <c r="M1537" s="20">
        <f t="shared" si="53"/>
        <v>-11.422172377010297</v>
      </c>
    </row>
    <row r="1538" spans="1:13" x14ac:dyDescent="0.2">
      <c r="A1538" s="23">
        <v>377.75</v>
      </c>
      <c r="B1538" s="20">
        <v>894.92816680124599</v>
      </c>
      <c r="C1538" s="20">
        <v>93.335547789273093</v>
      </c>
      <c r="D1538" s="20">
        <v>328.188430012266</v>
      </c>
      <c r="E1538" s="20">
        <v>-0.30988197827069802</v>
      </c>
      <c r="F1538" s="20">
        <v>-0.89848708505059904</v>
      </c>
      <c r="G1538" s="20">
        <v>0.95042405401993202</v>
      </c>
      <c r="H1538" s="20">
        <v>1.0351796666748601E-2</v>
      </c>
      <c r="I1538" s="20">
        <v>144.86577910558199</v>
      </c>
      <c r="J1538" s="20">
        <v>899.78397799743846</v>
      </c>
      <c r="K1538" s="20">
        <v>11.42725652056747</v>
      </c>
      <c r="L1538" s="20">
        <f t="shared" si="52"/>
        <v>899.78216709121455</v>
      </c>
      <c r="M1538" s="20">
        <f t="shared" si="53"/>
        <v>-11.427233522104133</v>
      </c>
    </row>
    <row r="1539" spans="1:13" x14ac:dyDescent="0.2">
      <c r="A1539" s="23">
        <v>378</v>
      </c>
      <c r="B1539" s="20">
        <v>895.31897057232402</v>
      </c>
      <c r="C1539" s="20">
        <v>93.424136034997005</v>
      </c>
      <c r="D1539" s="20">
        <v>328.15995126094998</v>
      </c>
      <c r="E1539" s="20">
        <v>-0.30972463634798503</v>
      </c>
      <c r="F1539" s="20">
        <v>-0.89696128720782298</v>
      </c>
      <c r="G1539" s="20">
        <v>0.94893039845417804</v>
      </c>
      <c r="H1539" s="20">
        <v>1.03594904744408E-2</v>
      </c>
      <c r="I1539" s="20">
        <v>144.90260671113899</v>
      </c>
      <c r="J1539" s="20">
        <v>900.18186495223188</v>
      </c>
      <c r="K1539" s="20">
        <v>11.432309684893346</v>
      </c>
      <c r="L1539" s="20">
        <f t="shared" si="52"/>
        <v>900.18005324522255</v>
      </c>
      <c r="M1539" s="20">
        <f t="shared" si="53"/>
        <v>-11.432286676260055</v>
      </c>
    </row>
    <row r="1540" spans="1:13" x14ac:dyDescent="0.2">
      <c r="A1540" s="23">
        <v>378.25</v>
      </c>
      <c r="B1540" s="20">
        <v>895.70914800534104</v>
      </c>
      <c r="C1540" s="20">
        <v>93.512635335950407</v>
      </c>
      <c r="D1540" s="20">
        <v>328.13146753938503</v>
      </c>
      <c r="E1540" s="20">
        <v>-0.30956630600462698</v>
      </c>
      <c r="F1540" s="20">
        <v>-0.89543444695949304</v>
      </c>
      <c r="G1540" s="20">
        <v>0.94743556330496903</v>
      </c>
      <c r="H1540" s="20">
        <v>1.0367169242481499E-2</v>
      </c>
      <c r="I1540" s="20">
        <v>144.939507285193</v>
      </c>
      <c r="J1540" s="20">
        <v>900.57912222953553</v>
      </c>
      <c r="K1540" s="20">
        <v>11.437354852315101</v>
      </c>
      <c r="L1540" s="20">
        <f t="shared" si="52"/>
        <v>900.57730972300669</v>
      </c>
      <c r="M1540" s="20">
        <f t="shared" si="53"/>
        <v>-11.437331833527935</v>
      </c>
    </row>
    <row r="1541" spans="1:13" x14ac:dyDescent="0.2">
      <c r="A1541" s="23">
        <v>378.5</v>
      </c>
      <c r="B1541" s="20">
        <v>896.09869868523697</v>
      </c>
      <c r="C1541" s="20">
        <v>93.601045245998193</v>
      </c>
      <c r="D1541" s="20">
        <v>328.10297883169198</v>
      </c>
      <c r="E1541" s="20">
        <v>-0.30940699522290999</v>
      </c>
      <c r="F1541" s="20">
        <v>-0.89390656626538201</v>
      </c>
      <c r="G1541" s="20">
        <v>0.94593955298699495</v>
      </c>
      <c r="H1541" s="20">
        <v>1.03748323020813E-2</v>
      </c>
      <c r="I1541" s="20">
        <v>144.976482189992</v>
      </c>
      <c r="J1541" s="20">
        <v>900.97574936315311</v>
      </c>
      <c r="K1541" s="20">
        <v>11.442392016912045</v>
      </c>
      <c r="L1541" s="20">
        <f t="shared" si="52"/>
        <v>900.97393605837374</v>
      </c>
      <c r="M1541" s="20">
        <f t="shared" si="53"/>
        <v>-11.442368987987116</v>
      </c>
    </row>
    <row r="1542" spans="1:13" x14ac:dyDescent="0.2">
      <c r="A1542" s="23">
        <v>378.75</v>
      </c>
      <c r="B1542" s="20">
        <v>896.48762219970297</v>
      </c>
      <c r="C1542" s="20">
        <v>93.689365315831296</v>
      </c>
      <c r="D1542" s="20">
        <v>328.07448512135602</v>
      </c>
      <c r="E1542" s="20">
        <v>-0.30924671190138697</v>
      </c>
      <c r="F1542" s="20">
        <v>-0.89237764717894197</v>
      </c>
      <c r="G1542" s="20">
        <v>0.94444237198806502</v>
      </c>
      <c r="H1542" s="20">
        <v>1.03824789563384E-2</v>
      </c>
      <c r="I1542" s="20">
        <v>145.01353277962599</v>
      </c>
      <c r="J1542" s="20">
        <v>901.37174588924313</v>
      </c>
      <c r="K1542" s="20">
        <v>11.447421172793389</v>
      </c>
      <c r="L1542" s="20">
        <f t="shared" si="52"/>
        <v>901.36993178747684</v>
      </c>
      <c r="M1542" s="20">
        <f t="shared" si="53"/>
        <v>-11.447398133746747</v>
      </c>
    </row>
    <row r="1543" spans="1:13" x14ac:dyDescent="0.2">
      <c r="A1543" s="23">
        <v>379</v>
      </c>
      <c r="B1543" s="20">
        <v>896.87591813920199</v>
      </c>
      <c r="C1543" s="20">
        <v>93.777595093026704</v>
      </c>
      <c r="D1543" s="20">
        <v>328.04598639124202</v>
      </c>
      <c r="E1543" s="20">
        <v>-0.30908546385571301</v>
      </c>
      <c r="F1543" s="20">
        <v>-0.89084769185429602</v>
      </c>
      <c r="G1543" s="20">
        <v>0.94294402487582896</v>
      </c>
      <c r="H1543" s="20">
        <v>1.0390108083390401E-2</v>
      </c>
      <c r="I1543" s="20">
        <v>145.05066039982501</v>
      </c>
      <c r="J1543" s="20">
        <v>901.76711134631944</v>
      </c>
      <c r="K1543" s="20">
        <v>11.452442314098258</v>
      </c>
      <c r="L1543" s="20">
        <f t="shared" si="52"/>
        <v>901.76529644884215</v>
      </c>
      <c r="M1543" s="20">
        <f t="shared" si="53"/>
        <v>-11.452419264946105</v>
      </c>
    </row>
    <row r="1544" spans="1:13" x14ac:dyDescent="0.2">
      <c r="A1544" s="23">
        <v>379.25</v>
      </c>
      <c r="B1544" s="20">
        <v>897.26358609700503</v>
      </c>
      <c r="C1544" s="20">
        <v>93.865734122116706</v>
      </c>
      <c r="D1544" s="20">
        <v>328.01748262361599</v>
      </c>
      <c r="E1544" s="20">
        <v>-0.30892325881947402</v>
      </c>
      <c r="F1544" s="20">
        <v>-0.88931670263936302</v>
      </c>
      <c r="G1544" s="20">
        <v>0.94144451638585303</v>
      </c>
      <c r="H1544" s="20">
        <v>1.03977182871985E-2</v>
      </c>
      <c r="I1544" s="20">
        <v>145.08786638767501</v>
      </c>
      <c r="J1544" s="20">
        <v>902.1618452753296</v>
      </c>
      <c r="K1544" s="20">
        <v>11.457455434996687</v>
      </c>
      <c r="L1544" s="20">
        <f t="shared" si="52"/>
        <v>902.16002958341119</v>
      </c>
      <c r="M1544" s="20">
        <f t="shared" si="53"/>
        <v>-11.457432375755152</v>
      </c>
    </row>
    <row r="1545" spans="1:13" x14ac:dyDescent="0.2">
      <c r="A1545" s="23">
        <v>379.5</v>
      </c>
      <c r="B1545" s="20">
        <v>897.65062566925496</v>
      </c>
      <c r="C1545" s="20">
        <v>93.953781944673906</v>
      </c>
      <c r="D1545" s="20">
        <v>327.98897380016098</v>
      </c>
      <c r="E1545" s="20">
        <v>-0.30876010444500701</v>
      </c>
      <c r="F1545" s="20">
        <v>-0.887784682105765</v>
      </c>
      <c r="G1545" s="20">
        <v>0.93994385144992898</v>
      </c>
      <c r="H1545" s="20">
        <v>1.0405308185281899E-2</v>
      </c>
      <c r="I1545" s="20">
        <v>145.125152070208</v>
      </c>
      <c r="J1545" s="20">
        <v>902.55594721970124</v>
      </c>
      <c r="K1545" s="20">
        <v>11.462460529690206</v>
      </c>
      <c r="L1545" s="20">
        <f t="shared" si="52"/>
        <v>902.55413073461261</v>
      </c>
      <c r="M1545" s="20">
        <f t="shared" si="53"/>
        <v>-11.46243746037543</v>
      </c>
    </row>
    <row r="1546" spans="1:13" x14ac:dyDescent="0.2">
      <c r="A1546" s="23">
        <v>379.75</v>
      </c>
      <c r="B1546" s="20">
        <v>898.03703645502901</v>
      </c>
      <c r="C1546" s="20">
        <v>94.041738099396596</v>
      </c>
      <c r="D1546" s="20">
        <v>327.96045990199599</v>
      </c>
      <c r="E1546" s="20">
        <v>-0.30859600830421202</v>
      </c>
      <c r="F1546" s="20">
        <v>-0.88625163302566401</v>
      </c>
      <c r="G1546" s="20">
        <v>0.93844203517422897</v>
      </c>
      <c r="H1546" s="20">
        <v>1.0412876402906999E-2</v>
      </c>
      <c r="I1546" s="20">
        <v>145.16251876380301</v>
      </c>
      <c r="J1546" s="20">
        <v>902.94941672542109</v>
      </c>
      <c r="K1546" s="20">
        <v>11.467457592412849</v>
      </c>
      <c r="L1546" s="20">
        <f t="shared" si="52"/>
        <v>902.94759944843236</v>
      </c>
      <c r="M1546" s="20">
        <f t="shared" si="53"/>
        <v>-11.467434513040962</v>
      </c>
    </row>
    <row r="1547" spans="1:13" x14ac:dyDescent="0.2">
      <c r="A1547" s="23">
        <v>380</v>
      </c>
      <c r="B1547" s="20">
        <v>898.42281805639698</v>
      </c>
      <c r="C1547" s="20">
        <v>94.129602122189794</v>
      </c>
      <c r="D1547" s="20">
        <v>327.93194090969598</v>
      </c>
      <c r="E1547" s="20">
        <v>-0.30843097788935703</v>
      </c>
      <c r="F1547" s="20">
        <v>-0.88471755837132304</v>
      </c>
      <c r="G1547" s="20">
        <v>0.93693907283894495</v>
      </c>
      <c r="H1547" s="20">
        <v>1.0420421628662401E-2</v>
      </c>
      <c r="I1547" s="20">
        <v>145.199967774253</v>
      </c>
      <c r="J1547" s="20">
        <v>903.34225334108885</v>
      </c>
      <c r="K1547" s="20">
        <v>11.47244661743183</v>
      </c>
      <c r="L1547" s="20">
        <f t="shared" si="52"/>
        <v>903.34043527347956</v>
      </c>
      <c r="M1547" s="20">
        <f t="shared" si="53"/>
        <v>-11.47242352801908</v>
      </c>
    </row>
    <row r="1548" spans="1:13" x14ac:dyDescent="0.2">
      <c r="A1548" s="23">
        <v>380.25</v>
      </c>
      <c r="B1548" s="20">
        <v>898.80797007847605</v>
      </c>
      <c r="C1548" s="20">
        <v>94.217373546246193</v>
      </c>
      <c r="D1548" s="20">
        <v>327.90341680330403</v>
      </c>
      <c r="E1548" s="20">
        <v>-0.30826502061386402</v>
      </c>
      <c r="F1548" s="20">
        <v>-0.883182461301806</v>
      </c>
      <c r="G1548" s="20">
        <v>0.93543496988576502</v>
      </c>
      <c r="H1548" s="20">
        <v>1.0427942803248699E-2</v>
      </c>
      <c r="I1548" s="20">
        <v>145.23750039656099</v>
      </c>
      <c r="J1548" s="20">
        <v>903.73445661800451</v>
      </c>
      <c r="K1548" s="20">
        <v>11.477427599048658</v>
      </c>
      <c r="L1548" s="20">
        <f t="shared" si="52"/>
        <v>903.73263776104909</v>
      </c>
      <c r="M1548" s="20">
        <f t="shared" si="53"/>
        <v>-11.477404499611234</v>
      </c>
    </row>
    <row r="1549" spans="1:13" x14ac:dyDescent="0.2">
      <c r="A1549" s="23">
        <v>380.5</v>
      </c>
      <c r="B1549" s="20">
        <v>899.19249212947898</v>
      </c>
      <c r="C1549" s="20">
        <v>94.305051902118194</v>
      </c>
      <c r="D1549" s="20">
        <v>327.87488756235501</v>
      </c>
      <c r="E1549" s="20">
        <v>-0.30809814381309403</v>
      </c>
      <c r="F1549" s="20">
        <v>-0.881646345111609</v>
      </c>
      <c r="G1549" s="20">
        <v>0.93392973186944395</v>
      </c>
      <c r="H1549" s="20">
        <v>1.04354389297524E-2</v>
      </c>
      <c r="I1549" s="20">
        <v>145.27511791489999</v>
      </c>
      <c r="J1549" s="20">
        <v>904.12602611020554</v>
      </c>
      <c r="K1549" s="20">
        <v>11.482400531599611</v>
      </c>
      <c r="L1549" s="20">
        <f t="shared" si="52"/>
        <v>904.12420646517603</v>
      </c>
      <c r="M1549" s="20">
        <f t="shared" si="53"/>
        <v>-11.482377422153665</v>
      </c>
    </row>
    <row r="1550" spans="1:13" x14ac:dyDescent="0.2">
      <c r="A1550" s="23">
        <v>380.75</v>
      </c>
      <c r="B1550" s="20">
        <v>899.57638382074799</v>
      </c>
      <c r="C1550" s="20">
        <v>94.392636717784598</v>
      </c>
      <c r="D1550" s="20">
        <v>327.846353165891</v>
      </c>
      <c r="E1550" s="20">
        <v>-0.30793035474511599</v>
      </c>
      <c r="F1550" s="20">
        <v>-0.88010921323574998</v>
      </c>
      <c r="G1550" s="20">
        <v>0.93242336446268004</v>
      </c>
      <c r="H1550" s="20">
        <v>1.0442909011387501E-2</v>
      </c>
      <c r="I1550" s="20">
        <v>145.31282160308399</v>
      </c>
      <c r="J1550" s="20">
        <v>904.51696137450051</v>
      </c>
      <c r="K1550" s="20">
        <v>11.487365409456157</v>
      </c>
      <c r="L1550" s="20">
        <f t="shared" si="52"/>
        <v>904.51514094267623</v>
      </c>
      <c r="M1550" s="20">
        <f t="shared" si="53"/>
        <v>-11.487342290017938</v>
      </c>
    </row>
    <row r="1551" spans="1:13" x14ac:dyDescent="0.2">
      <c r="A1551" s="23">
        <v>381</v>
      </c>
      <c r="B1551" s="20">
        <v>899.95964476678898</v>
      </c>
      <c r="C1551" s="20">
        <v>94.480127518717794</v>
      </c>
      <c r="D1551" s="20">
        <v>327.817813592476</v>
      </c>
      <c r="E1551" s="20">
        <v>-0.30776166059146998</v>
      </c>
      <c r="F1551" s="20">
        <v>-0.87857106925462403</v>
      </c>
      <c r="G1551" s="20">
        <v>0.93091587346077198</v>
      </c>
      <c r="H1551" s="20">
        <v>1.0450352054060599E-2</v>
      </c>
      <c r="I1551" s="20">
        <v>145.35061272431699</v>
      </c>
      <c r="J1551" s="20">
        <v>904.90726197053777</v>
      </c>
      <c r="K1551" s="20">
        <v>11.492322227025831</v>
      </c>
      <c r="L1551" s="20">
        <f t="shared" si="52"/>
        <v>904.90544075318621</v>
      </c>
      <c r="M1551" s="20">
        <f t="shared" si="53"/>
        <v>-11.492299097611435</v>
      </c>
    </row>
    <row r="1552" spans="1:13" x14ac:dyDescent="0.2">
      <c r="A1552" s="23">
        <v>381.25</v>
      </c>
      <c r="B1552" s="20">
        <v>900.34227458531598</v>
      </c>
      <c r="C1552" s="20">
        <v>94.567523827951703</v>
      </c>
      <c r="D1552" s="20">
        <v>327.78926882021602</v>
      </c>
      <c r="E1552" s="20">
        <v>-0.30759206845792098</v>
      </c>
      <c r="F1552" s="20">
        <v>-0.87703191689364302</v>
      </c>
      <c r="G1552" s="20">
        <v>0.92940726478135505</v>
      </c>
      <c r="H1552" s="20">
        <v>1.0457767066258001E-2</v>
      </c>
      <c r="I1552" s="20">
        <v>145.388492530935</v>
      </c>
      <c r="J1552" s="20">
        <v>905.29692746080627</v>
      </c>
      <c r="K1552" s="20">
        <v>11.49727097875224</v>
      </c>
      <c r="L1552" s="20">
        <f t="shared" si="52"/>
        <v>905.29510545921471</v>
      </c>
      <c r="M1552" s="20">
        <f t="shared" si="53"/>
        <v>-11.497247839378016</v>
      </c>
    </row>
    <row r="1553" spans="1:13" x14ac:dyDescent="0.2">
      <c r="A1553" s="23">
        <v>381.5</v>
      </c>
      <c r="B1553" s="20">
        <v>900.72427289728705</v>
      </c>
      <c r="C1553" s="20">
        <v>94.654825166148896</v>
      </c>
      <c r="D1553" s="20">
        <v>327.76071882677701</v>
      </c>
      <c r="E1553" s="20">
        <v>-0.30742158537520597</v>
      </c>
      <c r="F1553" s="20">
        <v>-0.87549176002309304</v>
      </c>
      <c r="G1553" s="20">
        <v>0.92789754446433204</v>
      </c>
      <c r="H1553" s="20">
        <v>1.04651530590069E-2</v>
      </c>
      <c r="I1553" s="20">
        <v>145.42646226423099</v>
      </c>
      <c r="J1553" s="20">
        <v>905.68595741073693</v>
      </c>
      <c r="K1553" s="20">
        <v>11.502211659116361</v>
      </c>
      <c r="L1553" s="20">
        <f t="shared" si="52"/>
        <v>905.68413462618446</v>
      </c>
      <c r="M1553" s="20">
        <f t="shared" si="53"/>
        <v>-11.502188509798552</v>
      </c>
    </row>
    <row r="1554" spans="1:13" x14ac:dyDescent="0.2">
      <c r="A1554" s="23">
        <v>381.75</v>
      </c>
      <c r="B1554" s="20">
        <v>901.10563932694004</v>
      </c>
      <c r="C1554" s="20">
        <v>94.742031051667794</v>
      </c>
      <c r="D1554" s="20">
        <v>327.73216358939902</v>
      </c>
      <c r="E1554" s="20">
        <v>-0.30725021829976701</v>
      </c>
      <c r="F1554" s="20">
        <v>-0.87395060265797697</v>
      </c>
      <c r="G1554" s="20">
        <v>0.92638671867179501</v>
      </c>
      <c r="H1554" s="20">
        <v>1.04725090458349E-2</v>
      </c>
      <c r="I1554" s="20">
        <v>145.46452315427399</v>
      </c>
      <c r="J1554" s="20">
        <v>906.0743513887104</v>
      </c>
      <c r="K1554" s="20">
        <v>11.507144262636624</v>
      </c>
      <c r="L1554" s="20">
        <f t="shared" si="52"/>
        <v>906.0725278224744</v>
      </c>
      <c r="M1554" s="20">
        <f t="shared" si="53"/>
        <v>-11.507121103391453</v>
      </c>
    </row>
    <row r="1555" spans="1:13" x14ac:dyDescent="0.2">
      <c r="A1555" s="23">
        <v>382</v>
      </c>
      <c r="B1555" s="20">
        <v>901.48637350183799</v>
      </c>
      <c r="C1555" s="20">
        <v>94.829141000629505</v>
      </c>
      <c r="D1555" s="20">
        <v>327.70360308491598</v>
      </c>
      <c r="E1555" s="20">
        <v>-0.30707797411448601</v>
      </c>
      <c r="F1555" s="20">
        <v>-0.87240844895786396</v>
      </c>
      <c r="G1555" s="20">
        <v>0.92487479368794701</v>
      </c>
      <c r="H1555" s="20">
        <v>1.0479834042730601E-2</v>
      </c>
      <c r="I1555" s="20">
        <v>145.50267641973301</v>
      </c>
      <c r="J1555" s="20">
        <v>906.46210896610455</v>
      </c>
      <c r="K1555" s="20">
        <v>11.512068783869529</v>
      </c>
      <c r="L1555" s="20">
        <f t="shared" si="52"/>
        <v>906.46028461947117</v>
      </c>
      <c r="M1555" s="20">
        <f t="shared" si="53"/>
        <v>-11.512045614713333</v>
      </c>
    </row>
    <row r="1556" spans="1:13" x14ac:dyDescent="0.2">
      <c r="A1556" s="23">
        <v>382.25</v>
      </c>
      <c r="B1556" s="20">
        <v>901.8664750529</v>
      </c>
      <c r="C1556" s="20">
        <v>94.916154526983902</v>
      </c>
      <c r="D1556" s="20">
        <v>327.67503728977101</v>
      </c>
      <c r="E1556" s="20">
        <v>-0.30690485962939601</v>
      </c>
      <c r="F1556" s="20">
        <v>-0.87086530322673705</v>
      </c>
      <c r="G1556" s="20">
        <v>0.92336177591902502</v>
      </c>
      <c r="H1556" s="20">
        <v>1.04871270681045E-2</v>
      </c>
      <c r="I1556" s="20">
        <v>145.54092326770601</v>
      </c>
      <c r="J1556" s="20">
        <v>906.84922971736432</v>
      </c>
      <c r="K1556" s="20">
        <v>11.516985217410527</v>
      </c>
      <c r="L1556" s="20">
        <f t="shared" si="52"/>
        <v>906.84740459160685</v>
      </c>
      <c r="M1556" s="20">
        <f t="shared" si="53"/>
        <v>-11.516962038359475</v>
      </c>
    </row>
    <row r="1557" spans="1:13" x14ac:dyDescent="0.2">
      <c r="A1557" s="23">
        <v>382.5</v>
      </c>
      <c r="B1557" s="20">
        <v>902.24594361444701</v>
      </c>
      <c r="C1557" s="20">
        <v>95.003071142575607</v>
      </c>
      <c r="D1557" s="20">
        <v>327.64646618003098</v>
      </c>
      <c r="E1557" s="20">
        <v>-0.30673088158240103</v>
      </c>
      <c r="F1557" s="20">
        <v>-0.86932116991283803</v>
      </c>
      <c r="G1557" s="20">
        <v>0.92184767189321604</v>
      </c>
      <c r="H1557" s="20">
        <v>1.0494387142750699E-2</v>
      </c>
      <c r="I1557" s="20">
        <v>145.579264893551</v>
      </c>
      <c r="J1557" s="20">
        <v>907.23571322000203</v>
      </c>
      <c r="K1557" s="20">
        <v>11.521893557894026</v>
      </c>
      <c r="L1557" s="20">
        <f t="shared" si="52"/>
        <v>907.23388731641035</v>
      </c>
      <c r="M1557" s="20">
        <f t="shared" si="53"/>
        <v>-11.521870368964498</v>
      </c>
    </row>
    <row r="1558" spans="1:13" x14ac:dyDescent="0.2">
      <c r="A1558" s="23">
        <v>382.75</v>
      </c>
      <c r="B1558" s="20">
        <v>902.62477882423605</v>
      </c>
      <c r="C1558" s="20">
        <v>95.089890357210095</v>
      </c>
      <c r="D1558" s="20">
        <v>327.61788973140801</v>
      </c>
      <c r="E1558" s="20">
        <v>-0.30655604663997199</v>
      </c>
      <c r="F1558" s="20">
        <v>-0.86777605360851995</v>
      </c>
      <c r="G1558" s="20">
        <v>0.92033248826057801</v>
      </c>
      <c r="H1558" s="20">
        <v>1.05016718498867E-2</v>
      </c>
      <c r="I1558" s="20">
        <v>145.61751735143901</v>
      </c>
      <c r="J1558" s="20">
        <v>907.62155905469126</v>
      </c>
      <c r="K1558" s="20">
        <v>11.526793799994579</v>
      </c>
      <c r="L1558" s="20">
        <f t="shared" si="52"/>
        <v>907.61973237454856</v>
      </c>
      <c r="M1558" s="20">
        <f t="shared" si="53"/>
        <v>-11.526770601202873</v>
      </c>
    </row>
    <row r="1559" spans="1:13" x14ac:dyDescent="0.2">
      <c r="A1559" s="23">
        <v>383</v>
      </c>
      <c r="B1559" s="20">
        <v>903.00298032142496</v>
      </c>
      <c r="C1559" s="20">
        <v>95.176611677401795</v>
      </c>
      <c r="D1559" s="20">
        <v>327.58930792152398</v>
      </c>
      <c r="E1559" s="20">
        <v>-0.30638036140873298</v>
      </c>
      <c r="F1559" s="20">
        <v>-0.86622994595451697</v>
      </c>
      <c r="G1559" s="20">
        <v>0.91881621945050096</v>
      </c>
      <c r="H1559" s="20">
        <v>1.05089560335625E-2</v>
      </c>
      <c r="I1559" s="20">
        <v>145.65575219272699</v>
      </c>
      <c r="J1559" s="20">
        <v>908.00676680308356</v>
      </c>
      <c r="K1559" s="20">
        <v>11.531685938399162</v>
      </c>
      <c r="L1559" s="20">
        <f t="shared" si="52"/>
        <v>908.00493934767042</v>
      </c>
      <c r="M1559" s="20">
        <f t="shared" si="53"/>
        <v>-11.531662729761541</v>
      </c>
    </row>
    <row r="1560" spans="1:13" x14ac:dyDescent="0.2">
      <c r="A1560" s="23">
        <v>383.25</v>
      </c>
      <c r="B1560" s="20">
        <v>903.38054774542002</v>
      </c>
      <c r="C1560" s="20">
        <v>95.263234605617896</v>
      </c>
      <c r="D1560" s="20">
        <v>327.560720731336</v>
      </c>
      <c r="E1560" s="20">
        <v>-0.30620383258378397</v>
      </c>
      <c r="F1560" s="20">
        <v>-0.86468284848736199</v>
      </c>
      <c r="G1560" s="20">
        <v>0.91729886926629101</v>
      </c>
      <c r="H1560" s="20">
        <v>1.0516203627453299E-2</v>
      </c>
      <c r="I1560" s="20">
        <v>145.694087060546</v>
      </c>
      <c r="J1560" s="20">
        <v>908.39133604658014</v>
      </c>
      <c r="K1560" s="20">
        <v>11.536569967791568</v>
      </c>
      <c r="L1560" s="20">
        <f t="shared" si="52"/>
        <v>908.38950781718086</v>
      </c>
      <c r="M1560" s="20">
        <f t="shared" si="53"/>
        <v>-11.536546749324343</v>
      </c>
    </row>
    <row r="1561" spans="1:13" x14ac:dyDescent="0.2">
      <c r="A1561" s="23">
        <v>383.5</v>
      </c>
      <c r="B1561" s="20">
        <v>903.75748073908505</v>
      </c>
      <c r="C1561" s="20">
        <v>95.349758642232601</v>
      </c>
      <c r="D1561" s="20">
        <v>327.53212814179602</v>
      </c>
      <c r="E1561" s="20">
        <v>-0.306026467002806</v>
      </c>
      <c r="F1561" s="20">
        <v>-0.86313476890781704</v>
      </c>
      <c r="G1561" s="20">
        <v>0.91578044738014097</v>
      </c>
      <c r="H1561" s="20">
        <v>1.05234152681494E-2</v>
      </c>
      <c r="I1561" s="20">
        <v>145.73252501066901</v>
      </c>
      <c r="J1561" s="20">
        <v>908.77526636973528</v>
      </c>
      <c r="K1561" s="20">
        <v>11.541445882895639</v>
      </c>
      <c r="L1561" s="20">
        <f t="shared" si="52"/>
        <v>908.77343736763657</v>
      </c>
      <c r="M1561" s="20">
        <f t="shared" si="53"/>
        <v>-11.54142265461515</v>
      </c>
    </row>
    <row r="1562" spans="1:13" x14ac:dyDescent="0.2">
      <c r="A1562" s="23">
        <v>383.75</v>
      </c>
      <c r="B1562" s="20">
        <v>904.13377894958001</v>
      </c>
      <c r="C1562" s="20">
        <v>95.436183285995597</v>
      </c>
      <c r="D1562" s="20">
        <v>327.50353013289998</v>
      </c>
      <c r="E1562" s="20">
        <v>-0.305848271606459</v>
      </c>
      <c r="F1562" s="20">
        <v>-0.86158571206499401</v>
      </c>
      <c r="G1562" s="20">
        <v>0.91426096081983099</v>
      </c>
      <c r="H1562" s="20">
        <v>1.0530590122493799E-2</v>
      </c>
      <c r="I1562" s="20">
        <v>145.771068996032</v>
      </c>
      <c r="J1562" s="20">
        <v>909.15855736114133</v>
      </c>
      <c r="K1562" s="20">
        <v>11.546313678486495</v>
      </c>
      <c r="L1562" s="20">
        <f t="shared" si="52"/>
        <v>909.15672758762889</v>
      </c>
      <c r="M1562" s="20">
        <f t="shared" si="53"/>
        <v>-11.546290440409072</v>
      </c>
    </row>
    <row r="1563" spans="1:13" x14ac:dyDescent="0.2">
      <c r="A1563" s="23">
        <v>384</v>
      </c>
      <c r="B1563" s="20">
        <v>904.50944202774599</v>
      </c>
      <c r="C1563" s="20">
        <v>95.522508033602406</v>
      </c>
      <c r="D1563" s="20">
        <v>327.47492668439702</v>
      </c>
      <c r="E1563" s="20">
        <v>-0.30566925343839602</v>
      </c>
      <c r="F1563" s="20">
        <v>-0.86003568302046396</v>
      </c>
      <c r="G1563" s="20">
        <v>0.91274041685797103</v>
      </c>
      <c r="H1563" s="20">
        <v>1.05377274017987E-2</v>
      </c>
      <c r="I1563" s="20">
        <v>145.80972199035801</v>
      </c>
      <c r="J1563" s="20">
        <v>909.54120861276272</v>
      </c>
      <c r="K1563" s="20">
        <v>11.551173349382088</v>
      </c>
      <c r="L1563" s="20">
        <f t="shared" si="52"/>
        <v>909.53937806912688</v>
      </c>
      <c r="M1563" s="20">
        <f t="shared" si="53"/>
        <v>-11.551150101524115</v>
      </c>
    </row>
    <row r="1564" spans="1:13" x14ac:dyDescent="0.2">
      <c r="A1564" s="23">
        <v>384.25</v>
      </c>
      <c r="B1564" s="20">
        <v>904.88446962819</v>
      </c>
      <c r="C1564" s="20">
        <v>95.608732379703696</v>
      </c>
      <c r="D1564" s="20">
        <v>327.44631777580599</v>
      </c>
      <c r="E1564" s="20">
        <v>-0.30548941964503401</v>
      </c>
      <c r="F1564" s="20">
        <v>-0.85848468692874602</v>
      </c>
      <c r="G1564" s="20">
        <v>0.91121882289942102</v>
      </c>
      <c r="H1564" s="20">
        <v>1.05448263210564E-2</v>
      </c>
      <c r="I1564" s="20">
        <v>145.848486945925</v>
      </c>
      <c r="J1564" s="20">
        <v>909.92321972003049</v>
      </c>
      <c r="K1564" s="20">
        <v>11.556024890444389</v>
      </c>
      <c r="L1564" s="20">
        <f t="shared" ref="L1564:L1627" si="54">SQRT(B1564^2+C1564^2)</f>
        <v>909.92138840756149</v>
      </c>
      <c r="M1564" s="20">
        <f t="shared" ref="M1564:M1627" si="55">-L1564/A$25*100</f>
        <v>-11.556001632822255</v>
      </c>
    </row>
    <row r="1565" spans="1:13" x14ac:dyDescent="0.2">
      <c r="A1565" s="23">
        <v>384.5</v>
      </c>
      <c r="B1565" s="20">
        <v>905.25886140935199</v>
      </c>
      <c r="C1565" s="20">
        <v>95.694855816898098</v>
      </c>
      <c r="D1565" s="20">
        <v>327.41770338643499</v>
      </c>
      <c r="E1565" s="20">
        <v>-0.30530877747472002</v>
      </c>
      <c r="F1565" s="20">
        <v>-0.85693272903983597</v>
      </c>
      <c r="G1565" s="20">
        <v>0.90969618648357997</v>
      </c>
      <c r="H1565" s="20">
        <v>1.0551886099856E-2</v>
      </c>
      <c r="I1565" s="20">
        <v>145.887366795014</v>
      </c>
      <c r="J1565" s="20">
        <v>910.30459028191206</v>
      </c>
      <c r="K1565" s="20">
        <v>11.560868296580283</v>
      </c>
      <c r="L1565" s="20">
        <f t="shared" si="54"/>
        <v>910.30275820189252</v>
      </c>
      <c r="M1565" s="20">
        <f t="shared" si="55"/>
        <v>-11.560845029210279</v>
      </c>
    </row>
    <row r="1566" spans="1:13" x14ac:dyDescent="0.2">
      <c r="A1566" s="23">
        <v>384.75</v>
      </c>
      <c r="B1566" s="20">
        <v>905.63261703355704</v>
      </c>
      <c r="C1566" s="20">
        <v>95.780877835724397</v>
      </c>
      <c r="D1566" s="20">
        <v>327.38908349539503</v>
      </c>
      <c r="E1566" s="20">
        <v>-0.30512733427701899</v>
      </c>
      <c r="F1566" s="20">
        <v>-0.855379814698499</v>
      </c>
      <c r="G1566" s="20">
        <v>0.90817251528365395</v>
      </c>
      <c r="H1566" s="20">
        <v>1.0558905962439301E-2</v>
      </c>
      <c r="I1566" s="20">
        <v>145.92636444969401</v>
      </c>
      <c r="J1566" s="20">
        <v>910.68531990092788</v>
      </c>
      <c r="K1566" s="20">
        <v>11.565703562741785</v>
      </c>
      <c r="L1566" s="20">
        <f t="shared" si="54"/>
        <v>910.68348705465792</v>
      </c>
      <c r="M1566" s="20">
        <f t="shared" si="55"/>
        <v>-11.565680285640418</v>
      </c>
    </row>
    <row r="1567" spans="1:13" x14ac:dyDescent="0.2">
      <c r="A1567" s="23">
        <v>385</v>
      </c>
      <c r="B1567" s="20">
        <v>906.00573616708095</v>
      </c>
      <c r="C1567" s="20">
        <v>95.866797924655501</v>
      </c>
      <c r="D1567" s="20">
        <v>327.36045808161703</v>
      </c>
      <c r="E1567" s="20">
        <v>-0.304945097501999</v>
      </c>
      <c r="F1567" s="20">
        <v>-0.853825949343609</v>
      </c>
      <c r="G1567" s="20">
        <v>0.90664781710596898</v>
      </c>
      <c r="H1567" s="20">
        <v>1.05658851377687E-2</v>
      </c>
      <c r="I1567" s="20">
        <v>145.96548280165601</v>
      </c>
      <c r="J1567" s="20">
        <v>911.06540818327528</v>
      </c>
      <c r="K1567" s="20">
        <v>11.570530683927597</v>
      </c>
      <c r="L1567" s="20">
        <f t="shared" si="54"/>
        <v>911.06357457203887</v>
      </c>
      <c r="M1567" s="20">
        <f t="shared" si="55"/>
        <v>-11.570507397111177</v>
      </c>
    </row>
    <row r="1568" spans="1:13" x14ac:dyDescent="0.2">
      <c r="A1568" s="23">
        <v>385.25</v>
      </c>
      <c r="B1568" s="20">
        <v>906.37821848020997</v>
      </c>
      <c r="C1568" s="20">
        <v>95.952615570090899</v>
      </c>
      <c r="D1568" s="20">
        <v>327.33182712386798</v>
      </c>
      <c r="E1568" s="20">
        <v>-0.30476207469949701</v>
      </c>
      <c r="F1568" s="20">
        <v>-0.85227113850749503</v>
      </c>
      <c r="G1568" s="20">
        <v>0.90512209988929304</v>
      </c>
      <c r="H1568" s="20">
        <v>1.05728228595936E-2</v>
      </c>
      <c r="I1568" s="20">
        <v>146.00472472204601</v>
      </c>
      <c r="J1568" s="20">
        <v>911.44485473882992</v>
      </c>
      <c r="K1568" s="20">
        <v>11.575349655183141</v>
      </c>
      <c r="L1568" s="20">
        <f t="shared" si="54"/>
        <v>911.44302036391775</v>
      </c>
      <c r="M1568" s="20">
        <f t="shared" si="55"/>
        <v>-11.575326358668057</v>
      </c>
    </row>
    <row r="1569" spans="1:13" x14ac:dyDescent="0.2">
      <c r="A1569" s="23">
        <v>385.5</v>
      </c>
      <c r="B1569" s="20">
        <v>906.75006364729597</v>
      </c>
      <c r="C1569" s="20">
        <v>96.038330256350505</v>
      </c>
      <c r="D1569" s="20">
        <v>327.30319060076698</v>
      </c>
      <c r="E1569" s="20">
        <v>-0.30457827351838801</v>
      </c>
      <c r="F1569" s="20">
        <v>-0.850715387815276</v>
      </c>
      <c r="G1569" s="20">
        <v>0.90359537170413695</v>
      </c>
      <c r="H1569" s="20">
        <v>1.05797183665168E-2</v>
      </c>
      <c r="I1569" s="20">
        <v>146.04409306130501</v>
      </c>
      <c r="J1569" s="20">
        <v>911.8236591812306</v>
      </c>
      <c r="K1569" s="20">
        <v>11.580160471601628</v>
      </c>
      <c r="L1569" s="20">
        <f t="shared" si="54"/>
        <v>911.82182404393188</v>
      </c>
      <c r="M1569" s="20">
        <f t="shared" si="55"/>
        <v>-11.580137165404256</v>
      </c>
    </row>
    <row r="1570" spans="1:13" x14ac:dyDescent="0.2">
      <c r="A1570" s="23">
        <v>385.75</v>
      </c>
      <c r="B1570" s="20">
        <v>907.121271346821</v>
      </c>
      <c r="C1570" s="20">
        <v>96.123941465667798</v>
      </c>
      <c r="D1570" s="20">
        <v>327.27454849080198</v>
      </c>
      <c r="E1570" s="20">
        <v>-0.30439370170584201</v>
      </c>
      <c r="F1570" s="20">
        <v>-0.84915870298419605</v>
      </c>
      <c r="G1570" s="20">
        <v>0.90206764075205903</v>
      </c>
      <c r="H1570" s="20">
        <v>1.0586570902059301E-2</v>
      </c>
      <c r="I1570" s="20">
        <v>146.08359064900401</v>
      </c>
      <c r="J1570" s="20">
        <v>912.20182112791906</v>
      </c>
      <c r="K1570" s="20">
        <v>11.584963128324572</v>
      </c>
      <c r="L1570" s="20">
        <f t="shared" si="54"/>
        <v>912.19998522953722</v>
      </c>
      <c r="M1570" s="20">
        <f t="shared" si="55"/>
        <v>-11.584939812461464</v>
      </c>
    </row>
    <row r="1571" spans="1:13" x14ac:dyDescent="0.2">
      <c r="A1571" s="23">
        <v>386</v>
      </c>
      <c r="B1571" s="20">
        <v>907.49184126144996</v>
      </c>
      <c r="C1571" s="20">
        <v>96.209448678183804</v>
      </c>
      <c r="D1571" s="20">
        <v>327.24590077234399</v>
      </c>
      <c r="E1571" s="20">
        <v>-0.30420836710657601</v>
      </c>
      <c r="F1571" s="20">
        <v>-0.84760108982295201</v>
      </c>
      <c r="G1571" s="20">
        <v>0.900538915364963</v>
      </c>
      <c r="H1571" s="20">
        <v>1.0593379714724301E-2</v>
      </c>
      <c r="I1571" s="20">
        <v>146.12322029369</v>
      </c>
      <c r="J1571" s="20">
        <v>912.57934020024197</v>
      </c>
      <c r="K1571" s="20">
        <v>11.589757620543075</v>
      </c>
      <c r="L1571" s="20">
        <f t="shared" si="54"/>
        <v>912.57750354205905</v>
      </c>
      <c r="M1571" s="20">
        <f t="shared" si="55"/>
        <v>-11.589734295030508</v>
      </c>
    </row>
    <row r="1572" spans="1:13" x14ac:dyDescent="0.2">
      <c r="A1572" s="23">
        <v>386.25</v>
      </c>
      <c r="B1572" s="20">
        <v>907.86177307809601</v>
      </c>
      <c r="C1572" s="20">
        <v>96.294851371940496</v>
      </c>
      <c r="D1572" s="20">
        <v>327.21724742366303</v>
      </c>
      <c r="E1572" s="20">
        <v>-0.30402227766210099</v>
      </c>
      <c r="F1572" s="20">
        <v>-0.84604255423102304</v>
      </c>
      <c r="G1572" s="20">
        <v>0.899009204004389</v>
      </c>
      <c r="H1572" s="20">
        <v>1.06001440580605E-2</v>
      </c>
      <c r="I1572" s="20">
        <v>146.162984782731</v>
      </c>
      <c r="J1572" s="20">
        <v>912.95621602343419</v>
      </c>
      <c r="K1572" s="20">
        <v>11.594543943497616</v>
      </c>
      <c r="L1572" s="20">
        <f t="shared" si="54"/>
        <v>912.95437860675622</v>
      </c>
      <c r="M1572" s="20">
        <f t="shared" si="55"/>
        <v>-11.594520608352182</v>
      </c>
    </row>
    <row r="1573" spans="1:13" x14ac:dyDescent="0.2">
      <c r="A1573" s="23">
        <v>386.5</v>
      </c>
      <c r="B1573" s="20">
        <v>908.23106648797204</v>
      </c>
      <c r="C1573" s="20">
        <v>96.380149022875003</v>
      </c>
      <c r="D1573" s="20">
        <v>327.188588422946</v>
      </c>
      <c r="E1573" s="20">
        <v>-0.30383544140996099</v>
      </c>
      <c r="F1573" s="20">
        <v>-0.84448310219799305</v>
      </c>
      <c r="G1573" s="20">
        <v>0.89747851526080102</v>
      </c>
      <c r="H1573" s="20">
        <v>1.06068631907246E-2</v>
      </c>
      <c r="I1573" s="20">
        <v>146.20288688216399</v>
      </c>
      <c r="J1573" s="20">
        <v>913.33244822676102</v>
      </c>
      <c r="K1573" s="20">
        <v>11.599322092479866</v>
      </c>
      <c r="L1573" s="20">
        <f t="shared" si="54"/>
        <v>913.33061005287163</v>
      </c>
      <c r="M1573" s="20">
        <f t="shared" si="55"/>
        <v>-11.599298747717867</v>
      </c>
    </row>
    <row r="1574" spans="1:13" x14ac:dyDescent="0.2">
      <c r="A1574" s="23">
        <v>386.75</v>
      </c>
      <c r="B1574" s="20">
        <v>908.59972118665303</v>
      </c>
      <c r="C1574" s="20">
        <v>96.465341104813604</v>
      </c>
      <c r="D1574" s="20">
        <v>327.15992374831001</v>
      </c>
      <c r="E1574" s="20">
        <v>-0.30364786648296499</v>
      </c>
      <c r="F1574" s="20">
        <v>-0.84292273980286903</v>
      </c>
      <c r="G1574" s="20">
        <v>0.89594685785287098</v>
      </c>
      <c r="H1574" s="20">
        <v>1.0613536376542601E-2</v>
      </c>
      <c r="I1574" s="20">
        <v>146.24292933654101</v>
      </c>
      <c r="J1574" s="20">
        <v>913.70803644348564</v>
      </c>
      <c r="K1574" s="20">
        <v>11.604092062832267</v>
      </c>
      <c r="L1574" s="20">
        <f t="shared" si="54"/>
        <v>913.70619751369293</v>
      </c>
      <c r="M1574" s="20">
        <f t="shared" si="55"/>
        <v>-11.604068708470317</v>
      </c>
    </row>
    <row r="1575" spans="1:13" x14ac:dyDescent="0.2">
      <c r="A1575" s="23">
        <v>387</v>
      </c>
      <c r="B1575" s="20">
        <v>908.96773687412895</v>
      </c>
      <c r="C1575" s="20">
        <v>96.550427089465998</v>
      </c>
      <c r="D1575" s="20">
        <v>327.13125337781798</v>
      </c>
      <c r="E1575" s="20">
        <v>-0.30345956110841299</v>
      </c>
      <c r="F1575" s="20">
        <v>-0.84136147321339905</v>
      </c>
      <c r="G1575" s="20">
        <v>0.89441424062675401</v>
      </c>
      <c r="H1575" s="20">
        <v>1.06201628845701E-2</v>
      </c>
      <c r="I1575" s="20">
        <v>146.28311486879201</v>
      </c>
      <c r="J1575" s="20">
        <v>914.08298031101072</v>
      </c>
      <c r="K1575" s="20">
        <v>11.608853849949837</v>
      </c>
      <c r="L1575" s="20">
        <f t="shared" si="54"/>
        <v>914.08114062660434</v>
      </c>
      <c r="M1575" s="20">
        <f t="shared" si="55"/>
        <v>-11.608830486004312</v>
      </c>
    </row>
    <row r="1576" spans="1:13" x14ac:dyDescent="0.2">
      <c r="A1576" s="23">
        <v>387.25</v>
      </c>
      <c r="B1576" s="20">
        <v>909.335113254867</v>
      </c>
      <c r="C1576" s="20">
        <v>96.635406446419694</v>
      </c>
      <c r="D1576" s="20">
        <v>327.102577289495</v>
      </c>
      <c r="E1576" s="20">
        <v>-0.30327053360731598</v>
      </c>
      <c r="F1576" s="20">
        <v>-0.83979930868538399</v>
      </c>
      <c r="G1576" s="20">
        <v>0.89288067255536196</v>
      </c>
      <c r="H1576" s="20">
        <v>1.06267419891523E-2</v>
      </c>
      <c r="I1576" s="20">
        <v>146.32344618007201</v>
      </c>
      <c r="J1576" s="20">
        <v>914.45727947087062</v>
      </c>
      <c r="K1576" s="20">
        <v>11.613607449280057</v>
      </c>
      <c r="L1576" s="20">
        <f t="shared" si="54"/>
        <v>914.4554390331474</v>
      </c>
      <c r="M1576" s="20">
        <f t="shared" si="55"/>
        <v>-11.613584075767426</v>
      </c>
    </row>
    <row r="1577" spans="1:13" x14ac:dyDescent="0.2">
      <c r="A1577" s="23">
        <v>387.5</v>
      </c>
      <c r="B1577" s="20">
        <v>909.70185003786401</v>
      </c>
      <c r="C1577" s="20">
        <v>96.720278643134606</v>
      </c>
      <c r="D1577" s="20">
        <v>327.073895461343</v>
      </c>
      <c r="E1577" s="20">
        <v>-0.30308079239360802</v>
      </c>
      <c r="F1577" s="20">
        <v>-0.83823625256198997</v>
      </c>
      <c r="G1577" s="20">
        <v>0.89134616273763401</v>
      </c>
      <c r="H1577" s="20">
        <v>1.06332729699823E-2</v>
      </c>
      <c r="I1577" s="20">
        <v>146.36392594962501</v>
      </c>
      <c r="J1577" s="20">
        <v>914.83093356881682</v>
      </c>
      <c r="K1577" s="20">
        <v>11.618352856323973</v>
      </c>
      <c r="L1577" s="20">
        <f t="shared" si="54"/>
        <v>914.82909237907268</v>
      </c>
      <c r="M1577" s="20">
        <f t="shared" si="55"/>
        <v>-11.618329473260697</v>
      </c>
    </row>
    <row r="1578" spans="1:13" x14ac:dyDescent="0.2">
      <c r="A1578" s="23">
        <v>387.75</v>
      </c>
      <c r="B1578" s="20">
        <v>910.06794693670304</v>
      </c>
      <c r="C1578" s="20">
        <v>96.805043144937599</v>
      </c>
      <c r="D1578" s="20">
        <v>327.04520787135499</v>
      </c>
      <c r="E1578" s="20">
        <v>-0.30289034597335401</v>
      </c>
      <c r="F1578" s="20">
        <v>-0.83667231127305397</v>
      </c>
      <c r="G1578" s="20">
        <v>0.88981072039780096</v>
      </c>
      <c r="H1578" s="20">
        <v>1.06397551121591E-2</v>
      </c>
      <c r="I1578" s="20">
        <v>146.404556834646</v>
      </c>
      <c r="J1578" s="20">
        <v>915.20394225484972</v>
      </c>
      <c r="K1578" s="20">
        <v>11.623090066636593</v>
      </c>
      <c r="L1578" s="20">
        <f t="shared" si="54"/>
        <v>915.20210031439444</v>
      </c>
      <c r="M1578" s="20">
        <f t="shared" si="55"/>
        <v>-11.623066674039302</v>
      </c>
    </row>
    <row r="1579" spans="1:13" x14ac:dyDescent="0.2">
      <c r="A1579" s="23">
        <v>388</v>
      </c>
      <c r="B1579" s="20">
        <v>910.43340366961104</v>
      </c>
      <c r="C1579" s="20">
        <v>96.889699415017603</v>
      </c>
      <c r="D1579" s="20">
        <v>327.01651449753302</v>
      </c>
      <c r="E1579" s="20">
        <v>-0.30269920294394698</v>
      </c>
      <c r="F1579" s="20">
        <v>-0.83510749133439199</v>
      </c>
      <c r="G1579" s="20">
        <v>0.88827435488464002</v>
      </c>
      <c r="H1579" s="20">
        <v>1.0646187706244301E-2</v>
      </c>
      <c r="I1579" s="20">
        <v>146.44534147014099</v>
      </c>
      <c r="J1579" s="20">
        <v>915.57630518332041</v>
      </c>
      <c r="K1579" s="20">
        <v>11.627819075828171</v>
      </c>
      <c r="L1579" s="20">
        <f t="shared" si="54"/>
        <v>915.57446249344753</v>
      </c>
      <c r="M1579" s="20">
        <f t="shared" si="55"/>
        <v>-11.627795673713296</v>
      </c>
    </row>
    <row r="1580" spans="1:13" x14ac:dyDescent="0.2">
      <c r="A1580" s="23">
        <v>388.25</v>
      </c>
      <c r="B1580" s="20">
        <v>910.79821995951204</v>
      </c>
      <c r="C1580" s="20">
        <v>96.974246914420505</v>
      </c>
      <c r="D1580" s="20">
        <v>326.98781531790002</v>
      </c>
      <c r="E1580" s="20">
        <v>-0.30250737199330502</v>
      </c>
      <c r="F1580" s="20">
        <v>-0.83354179934709804</v>
      </c>
      <c r="G1580" s="20">
        <v>0.88673707567073901</v>
      </c>
      <c r="H1580" s="20">
        <v>1.0652570048318001E-2</v>
      </c>
      <c r="I1580" s="20">
        <v>146.48628246880199</v>
      </c>
      <c r="J1580" s="20">
        <v>915.94802201293044</v>
      </c>
      <c r="K1580" s="20">
        <v>11.632539879564217</v>
      </c>
      <c r="L1580" s="20">
        <f t="shared" si="54"/>
        <v>915.94617857493938</v>
      </c>
      <c r="M1580" s="20">
        <f t="shared" si="55"/>
        <v>-11.63251646794826</v>
      </c>
    </row>
    <row r="1581" spans="1:13" x14ac:dyDescent="0.2">
      <c r="A1581" s="23">
        <v>388.5</v>
      </c>
      <c r="B1581" s="20">
        <v>911.162395534084</v>
      </c>
      <c r="C1581" s="20">
        <v>97.058685102044393</v>
      </c>
      <c r="D1581" s="20">
        <v>326.95911031051401</v>
      </c>
      <c r="E1581" s="20">
        <v>-0.30231486189905299</v>
      </c>
      <c r="F1581" s="20">
        <v>-0.83197524199684303</v>
      </c>
      <c r="G1581" s="20">
        <v>0.88519889235174098</v>
      </c>
      <c r="H1581" s="20">
        <v>1.06589014400339E-2</v>
      </c>
      <c r="I1581" s="20">
        <v>146.527382420869</v>
      </c>
      <c r="J1581" s="20">
        <v>916.31909240681796</v>
      </c>
      <c r="K1581" s="20">
        <v>11.637252473566589</v>
      </c>
      <c r="L1581" s="20">
        <f t="shared" si="54"/>
        <v>916.31724822200545</v>
      </c>
      <c r="M1581" s="20">
        <f t="shared" si="55"/>
        <v>-11.637229052466019</v>
      </c>
    </row>
    <row r="1582" spans="1:13" x14ac:dyDescent="0.2">
      <c r="A1582" s="23">
        <v>388.75</v>
      </c>
      <c r="B1582" s="20">
        <v>911.52593012581406</v>
      </c>
      <c r="C1582" s="20">
        <v>97.143013434635094</v>
      </c>
      <c r="D1582" s="20">
        <v>326.93039945348801</v>
      </c>
      <c r="E1582" s="20">
        <v>-0.30212168152770702</v>
      </c>
      <c r="F1582" s="20">
        <v>-0.83040782605317498</v>
      </c>
      <c r="G1582" s="20">
        <v>0.88365981464559695</v>
      </c>
      <c r="H1582" s="20">
        <v>1.0665181188673101E-2</v>
      </c>
      <c r="I1582" s="20">
        <v>146.56864389401099</v>
      </c>
      <c r="J1582" s="20">
        <v>916.68951603258904</v>
      </c>
      <c r="K1582" s="20">
        <v>11.641956853613882</v>
      </c>
      <c r="L1582" s="20">
        <f t="shared" si="54"/>
        <v>916.68767110226383</v>
      </c>
      <c r="M1582" s="20">
        <f t="shared" si="55"/>
        <v>-11.641933423045318</v>
      </c>
    </row>
    <row r="1583" spans="1:13" x14ac:dyDescent="0.2">
      <c r="A1583" s="23">
        <v>389</v>
      </c>
      <c r="B1583" s="20">
        <v>911.88882347204799</v>
      </c>
      <c r="C1583" s="20">
        <v>97.227231366781297</v>
      </c>
      <c r="D1583" s="20">
        <v>326.901682725</v>
      </c>
      <c r="E1583" s="20">
        <v>-0.30192783983384902</v>
      </c>
      <c r="F1583" s="20">
        <v>-0.82883955836881495</v>
      </c>
      <c r="G1583" s="20">
        <v>0.88211985239180801</v>
      </c>
      <c r="H1583" s="20">
        <v>1.06714086071973E-2</v>
      </c>
      <c r="I1583" s="20">
        <v>146.610069433196</v>
      </c>
      <c r="J1583" s="20">
        <v>917.0592925624037</v>
      </c>
      <c r="K1583" s="20">
        <v>11.646653015542528</v>
      </c>
      <c r="L1583" s="20">
        <f t="shared" si="54"/>
        <v>917.05744688786297</v>
      </c>
      <c r="M1583" s="20">
        <f t="shared" si="55"/>
        <v>-11.646629575522446</v>
      </c>
    </row>
    <row r="1584" spans="1:13" x14ac:dyDescent="0.2">
      <c r="A1584" s="23">
        <v>389.25</v>
      </c>
      <c r="B1584" s="20">
        <v>912.25107531505</v>
      </c>
      <c r="C1584" s="20">
        <v>97.311338350910802</v>
      </c>
      <c r="D1584" s="20">
        <v>326.87296010330698</v>
      </c>
      <c r="E1584" s="20">
        <v>-0.30173334585928702</v>
      </c>
      <c r="F1584" s="20">
        <v>-0.82727044587894305</v>
      </c>
      <c r="G1584" s="20">
        <v>0.88057901555066798</v>
      </c>
      <c r="H1584" s="20">
        <v>1.0677583014301099E-2</v>
      </c>
      <c r="I1584" s="20">
        <v>146.65166156057401</v>
      </c>
      <c r="J1584" s="20">
        <v>917.4284216729917</v>
      </c>
      <c r="K1584" s="20">
        <v>11.651340955246996</v>
      </c>
      <c r="L1584" s="20">
        <f t="shared" si="54"/>
        <v>917.4265752555408</v>
      </c>
      <c r="M1584" s="20">
        <f t="shared" si="55"/>
        <v>-11.651317505791974</v>
      </c>
    </row>
    <row r="1585" spans="1:13" x14ac:dyDescent="0.2">
      <c r="A1585" s="23">
        <v>389.5</v>
      </c>
      <c r="B1585" s="20">
        <v>912.61268540205197</v>
      </c>
      <c r="C1585" s="20">
        <v>97.395333837286202</v>
      </c>
      <c r="D1585" s="20">
        <v>326.84423156676303</v>
      </c>
      <c r="E1585" s="20">
        <v>-0.30153820873222498</v>
      </c>
      <c r="F1585" s="20">
        <v>-0.82570049560049597</v>
      </c>
      <c r="G1585" s="20">
        <v>0.87903731420249898</v>
      </c>
      <c r="H1585" s="20">
        <v>1.0683703734462899E-2</v>
      </c>
      <c r="I1585" s="20">
        <v>146.693422775355</v>
      </c>
      <c r="J1585" s="20">
        <v>917.79690304573057</v>
      </c>
      <c r="K1585" s="20">
        <v>11.65602066868078</v>
      </c>
      <c r="L1585" s="20">
        <f t="shared" si="54"/>
        <v>917.79505588667291</v>
      </c>
      <c r="M1585" s="20">
        <f t="shared" si="55"/>
        <v>-11.655997209807371</v>
      </c>
    </row>
    <row r="1586" spans="1:13" x14ac:dyDescent="0.2">
      <c r="A1586" s="23">
        <v>389.75</v>
      </c>
      <c r="B1586" s="20">
        <v>912.97365348531105</v>
      </c>
      <c r="C1586" s="20">
        <v>97.479217274000902</v>
      </c>
      <c r="D1586" s="20">
        <v>326.81549709383302</v>
      </c>
      <c r="E1586" s="20">
        <v>-0.301342437666411</v>
      </c>
      <c r="F1586" s="20">
        <v>-0.82412971463145202</v>
      </c>
      <c r="G1586" s="20">
        <v>0.87749475854688297</v>
      </c>
      <c r="H1586" s="20">
        <v>1.0689770097995301E-2</v>
      </c>
      <c r="I1586" s="20">
        <v>146.73535555369801</v>
      </c>
      <c r="J1586" s="20">
        <v>918.16473636668479</v>
      </c>
      <c r="K1586" s="20">
        <v>11.660692151856898</v>
      </c>
      <c r="L1586" s="20">
        <f t="shared" si="54"/>
        <v>918.16288846732891</v>
      </c>
      <c r="M1586" s="20">
        <f t="shared" si="55"/>
        <v>-11.66066868358172</v>
      </c>
    </row>
    <row r="1587" spans="1:13" x14ac:dyDescent="0.2">
      <c r="A1587" s="23">
        <v>390</v>
      </c>
      <c r="B1587" s="20">
        <v>913.33397932215496</v>
      </c>
      <c r="C1587" s="20">
        <v>97.562988106975297</v>
      </c>
      <c r="D1587" s="20">
        <v>326.78675666310397</v>
      </c>
      <c r="E1587" s="20">
        <v>-0.30114604196028899</v>
      </c>
      <c r="F1587" s="20">
        <v>-0.82255811015011904</v>
      </c>
      <c r="G1587" s="20">
        <v>0.87595135890189901</v>
      </c>
      <c r="H1587" s="20">
        <v>1.0695781441094499E-2</v>
      </c>
      <c r="I1587" s="20">
        <v>146.77746234859401</v>
      </c>
      <c r="J1587" s="20">
        <v>918.53192132666891</v>
      </c>
      <c r="K1587" s="20">
        <v>11.665355400848695</v>
      </c>
      <c r="L1587" s="20">
        <f t="shared" si="54"/>
        <v>918.53007268831675</v>
      </c>
      <c r="M1587" s="20">
        <f t="shared" si="55"/>
        <v>-11.665331923188283</v>
      </c>
    </row>
    <row r="1588" spans="1:13" x14ac:dyDescent="0.2">
      <c r="A1588" s="23">
        <v>390.25</v>
      </c>
      <c r="B1588" s="20">
        <v>913.69366267504097</v>
      </c>
      <c r="C1588" s="20">
        <v>97.646645779953701</v>
      </c>
      <c r="D1588" s="20">
        <v>326.75801025330099</v>
      </c>
      <c r="E1588" s="20">
        <v>-0.30094903099614101</v>
      </c>
      <c r="F1588" s="20">
        <v>-0.82098568941441896</v>
      </c>
      <c r="G1588" s="20">
        <v>0.874407125703344</v>
      </c>
      <c r="H1588" s="20">
        <v>1.07017371058884E-2</v>
      </c>
      <c r="I1588" s="20">
        <v>146.819745589761</v>
      </c>
      <c r="J1588" s="20">
        <v>918.8984576212855</v>
      </c>
      <c r="K1588" s="20">
        <v>11.670010411790328</v>
      </c>
      <c r="L1588" s="20">
        <f t="shared" si="54"/>
        <v>918.89660824524071</v>
      </c>
      <c r="M1588" s="20">
        <f t="shared" si="55"/>
        <v>-11.669986924761238</v>
      </c>
    </row>
    <row r="1589" spans="1:13" x14ac:dyDescent="0.2">
      <c r="A1589" s="23">
        <v>390.5</v>
      </c>
      <c r="B1589" s="20">
        <v>914.05270331160602</v>
      </c>
      <c r="C1589" s="20">
        <v>97.730189734500399</v>
      </c>
      <c r="D1589" s="20">
        <v>326.729257843303</v>
      </c>
      <c r="E1589" s="20">
        <v>-0.30075141423921897</v>
      </c>
      <c r="F1589" s="20">
        <v>-0.81941245976116805</v>
      </c>
      <c r="G1589" s="20">
        <v>0.87286206950396195</v>
      </c>
      <c r="H1589" s="20">
        <v>1.07076364404843E-2</v>
      </c>
      <c r="I1589" s="20">
        <v>146.862207683533</v>
      </c>
      <c r="J1589" s="20">
        <v>919.2643449509809</v>
      </c>
      <c r="K1589" s="20">
        <v>11.674657180877459</v>
      </c>
      <c r="L1589" s="20">
        <f t="shared" si="54"/>
        <v>919.26249483855065</v>
      </c>
      <c r="M1589" s="20">
        <f t="shared" si="55"/>
        <v>-11.674633684496293</v>
      </c>
    </row>
    <row r="1590" spans="1:13" x14ac:dyDescent="0.2">
      <c r="A1590" s="23">
        <v>390.75</v>
      </c>
      <c r="B1590" s="20">
        <v>914.41110100471496</v>
      </c>
      <c r="C1590" s="20">
        <v>97.813619409996704</v>
      </c>
      <c r="D1590" s="20">
        <v>326.70049941215302</v>
      </c>
      <c r="E1590" s="20">
        <v>-0.30055320123688001</v>
      </c>
      <c r="F1590" s="20">
        <v>-0.81783842860536404</v>
      </c>
      <c r="G1590" s="20">
        <v>0.87131620097265905</v>
      </c>
      <c r="H1590" s="20">
        <v>1.07134787990152E-2</v>
      </c>
      <c r="I1590" s="20">
        <v>146.90485101276201</v>
      </c>
      <c r="J1590" s="20">
        <v>919.62958302109223</v>
      </c>
      <c r="K1590" s="20">
        <v>11.679295704367872</v>
      </c>
      <c r="L1590" s="20">
        <f t="shared" si="54"/>
        <v>919.62773217358915</v>
      </c>
      <c r="M1590" s="20">
        <f t="shared" si="55"/>
        <v>-11.679272198651299</v>
      </c>
    </row>
    <row r="1591" spans="1:13" x14ac:dyDescent="0.2">
      <c r="A1591" s="23">
        <v>391</v>
      </c>
      <c r="B1591" s="20">
        <v>914.76885553251498</v>
      </c>
      <c r="C1591" s="20">
        <v>97.896934243638</v>
      </c>
      <c r="D1591" s="20">
        <v>326.671734939077</v>
      </c>
      <c r="E1591" s="20">
        <v>-0.30035440161770799</v>
      </c>
      <c r="F1591" s="20">
        <v>-0.81626360343946003</v>
      </c>
      <c r="G1591" s="20">
        <v>0.86976953089373299</v>
      </c>
      <c r="H1591" s="20">
        <v>1.0719263541685099E-2</v>
      </c>
      <c r="I1591" s="20">
        <v>146.947677936709</v>
      </c>
      <c r="J1591" s="20">
        <v>919.99417154192497</v>
      </c>
      <c r="K1591" s="20">
        <v>11.683925978582447</v>
      </c>
      <c r="L1591" s="20">
        <f t="shared" si="54"/>
        <v>919.99231996064532</v>
      </c>
      <c r="M1591" s="20">
        <f t="shared" si="55"/>
        <v>-11.683902463546932</v>
      </c>
    </row>
    <row r="1592" spans="1:13" x14ac:dyDescent="0.2">
      <c r="A1592" s="23">
        <v>391.25</v>
      </c>
      <c r="B1592" s="20">
        <v>915.12596667848504</v>
      </c>
      <c r="C1592" s="20">
        <v>97.980133670431002</v>
      </c>
      <c r="D1592" s="20">
        <v>326.64296440349301</v>
      </c>
      <c r="E1592" s="20">
        <v>-0.30015502509063002</v>
      </c>
      <c r="F1592" s="20">
        <v>-0.81468799183264695</v>
      </c>
      <c r="G1592" s="20">
        <v>0.868222070166076</v>
      </c>
      <c r="H1592" s="20">
        <v>1.07249900348139E-2</v>
      </c>
      <c r="I1592" s="20">
        <v>146.99069079095401</v>
      </c>
      <c r="J1592" s="20">
        <v>920.35811022874555</v>
      </c>
      <c r="K1592" s="20">
        <v>11.688547999905069</v>
      </c>
      <c r="L1592" s="20">
        <f t="shared" si="54"/>
        <v>920.35625791500286</v>
      </c>
      <c r="M1592" s="20">
        <f t="shared" si="55"/>
        <v>-11.688524475567291</v>
      </c>
    </row>
    <row r="1593" spans="1:13" x14ac:dyDescent="0.2">
      <c r="A1593" s="23">
        <v>391.5</v>
      </c>
      <c r="B1593" s="20">
        <v>915.48243423148699</v>
      </c>
      <c r="C1593" s="20">
        <v>98.063217123190995</v>
      </c>
      <c r="D1593" s="20">
        <v>326.61418778502599</v>
      </c>
      <c r="E1593" s="20">
        <v>-0.29995508144402899</v>
      </c>
      <c r="F1593" s="20">
        <v>-0.81311160143012895</v>
      </c>
      <c r="G1593" s="20">
        <v>0.86667382980240204</v>
      </c>
      <c r="H1593" s="20">
        <v>1.0730657650880601E-2</v>
      </c>
      <c r="I1593" s="20">
        <v>147.03389188729801</v>
      </c>
      <c r="J1593" s="20">
        <v>920.72139880189059</v>
      </c>
      <c r="K1593" s="20">
        <v>11.693161764784012</v>
      </c>
      <c r="L1593" s="20">
        <f t="shared" si="54"/>
        <v>920.71954575699056</v>
      </c>
      <c r="M1593" s="20">
        <f t="shared" si="55"/>
        <v>-11.693138231160553</v>
      </c>
    </row>
    <row r="1594" spans="1:13" x14ac:dyDescent="0.2">
      <c r="A1594" s="23">
        <v>391.75</v>
      </c>
      <c r="B1594" s="20">
        <v>915.83825798581199</v>
      </c>
      <c r="C1594" s="20">
        <v>98.146184032539495</v>
      </c>
      <c r="D1594" s="20">
        <v>326.58540506352603</v>
      </c>
      <c r="E1594" s="20">
        <v>-0.29975458054485099</v>
      </c>
      <c r="F1594" s="20">
        <v>-0.81153443995239805</v>
      </c>
      <c r="G1594" s="20">
        <v>0.865124820928444</v>
      </c>
      <c r="H1594" s="20">
        <v>1.07362657685661E-2</v>
      </c>
      <c r="I1594" s="20">
        <v>147.07728351367101</v>
      </c>
      <c r="J1594" s="20">
        <v>921.08403698676761</v>
      </c>
      <c r="K1594" s="20">
        <v>11.697767269731949</v>
      </c>
      <c r="L1594" s="20">
        <f t="shared" si="54"/>
        <v>921.08218321202799</v>
      </c>
      <c r="M1594" s="20">
        <f t="shared" si="55"/>
        <v>-11.697743726839546</v>
      </c>
    </row>
    <row r="1595" spans="1:13" x14ac:dyDescent="0.2">
      <c r="A1595" s="23">
        <v>392</v>
      </c>
      <c r="B1595" s="20">
        <v>916.19343774123297</v>
      </c>
      <c r="C1595" s="20">
        <v>98.229033826901897</v>
      </c>
      <c r="D1595" s="20">
        <v>326.556616219072</v>
      </c>
      <c r="E1595" s="20">
        <v>-0.29955353233770499</v>
      </c>
      <c r="F1595" s="20">
        <v>-0.80995651519451395</v>
      </c>
      <c r="G1595" s="20">
        <v>0.863575054782176</v>
      </c>
      <c r="H1595" s="20">
        <v>1.07418137727949E-2</v>
      </c>
      <c r="I1595" s="20">
        <v>147.12086793404001</v>
      </c>
      <c r="J1595" s="20">
        <v>921.44602451395576</v>
      </c>
      <c r="K1595" s="20">
        <v>11.702364511327239</v>
      </c>
      <c r="L1595" s="20">
        <f t="shared" si="54"/>
        <v>921.44417001067688</v>
      </c>
      <c r="M1595" s="20">
        <f t="shared" si="55"/>
        <v>-11.702340959182406</v>
      </c>
    </row>
    <row r="1596" spans="1:13" x14ac:dyDescent="0.2">
      <c r="A1596" s="23">
        <v>392.25</v>
      </c>
      <c r="B1596" s="20">
        <v>916.54797330305303</v>
      </c>
      <c r="C1596" s="20">
        <v>98.311765932505807</v>
      </c>
      <c r="D1596" s="20">
        <v>326.52782123199802</v>
      </c>
      <c r="E1596" s="20">
        <v>-0.299351946843956</v>
      </c>
      <c r="F1596" s="20">
        <v>-0.80837783502537097</v>
      </c>
      <c r="G1596" s="20">
        <v>0.86202454271300899</v>
      </c>
      <c r="H1596" s="20">
        <v>1.07473010548276E-2</v>
      </c>
      <c r="I1596" s="20">
        <v>147.16464738833099</v>
      </c>
      <c r="J1596" s="20">
        <v>921.80736111919907</v>
      </c>
      <c r="K1596" s="20">
        <v>11.706953486213829</v>
      </c>
      <c r="L1596" s="20">
        <f t="shared" si="54"/>
        <v>921.80550588868903</v>
      </c>
      <c r="M1596" s="20">
        <f t="shared" si="55"/>
        <v>-11.70692992483318</v>
      </c>
    </row>
    <row r="1597" spans="1:13" x14ac:dyDescent="0.2">
      <c r="A1597" s="23">
        <v>392.5</v>
      </c>
      <c r="B1597" s="20">
        <v>916.901864482154</v>
      </c>
      <c r="C1597" s="20">
        <v>98.394379773378802</v>
      </c>
      <c r="D1597" s="20">
        <v>326.49902008289399</v>
      </c>
      <c r="E1597" s="20">
        <v>-0.29914983416072499</v>
      </c>
      <c r="F1597" s="20">
        <v>-0.80679840738697395</v>
      </c>
      <c r="G1597" s="20">
        <v>0.86047329618097201</v>
      </c>
      <c r="H1597" s="20">
        <v>1.07527270129818E-2</v>
      </c>
      <c r="I1597" s="20">
        <v>147.208624092337</v>
      </c>
      <c r="J1597" s="20">
        <v>922.16804654347561</v>
      </c>
      <c r="K1597" s="20">
        <v>11.711534191102141</v>
      </c>
      <c r="L1597" s="20">
        <f t="shared" si="54"/>
        <v>922.16619058705362</v>
      </c>
      <c r="M1597" s="20">
        <f t="shared" si="55"/>
        <v>-11.711510620502427</v>
      </c>
    </row>
    <row r="1598" spans="1:13" x14ac:dyDescent="0.2">
      <c r="A1598" s="23">
        <v>392.75</v>
      </c>
      <c r="B1598" s="20">
        <v>917.25511109504203</v>
      </c>
      <c r="C1598" s="20">
        <v>98.476874771347497</v>
      </c>
      <c r="D1598" s="20">
        <v>326.47021275262802</v>
      </c>
      <c r="E1598" s="20">
        <v>-0.29894720445871997</v>
      </c>
      <c r="F1598" s="20">
        <v>-0.80521824029371003</v>
      </c>
      <c r="G1598" s="20">
        <v>0.85892132675547295</v>
      </c>
      <c r="H1598" s="20">
        <v>1.07580910524534E-2</v>
      </c>
      <c r="I1598" s="20">
        <v>147.252800237645</v>
      </c>
      <c r="J1598" s="20">
        <v>922.52808053306933</v>
      </c>
      <c r="K1598" s="20">
        <v>11.716106622769981</v>
      </c>
      <c r="L1598" s="20">
        <f t="shared" si="54"/>
        <v>922.5262238520429</v>
      </c>
      <c r="M1598" s="20">
        <f t="shared" si="55"/>
        <v>-11.71608304296781</v>
      </c>
    </row>
    <row r="1599" spans="1:13" x14ac:dyDescent="0.2">
      <c r="A1599" s="23">
        <v>393</v>
      </c>
      <c r="B1599" s="20">
        <v>917.60771296389498</v>
      </c>
      <c r="C1599" s="20">
        <v>98.559250346036194</v>
      </c>
      <c r="D1599" s="20">
        <v>326.44139922235399</v>
      </c>
      <c r="E1599" s="20">
        <v>-0.29874406798085601</v>
      </c>
      <c r="F1599" s="20">
        <v>-0.80363734183161895</v>
      </c>
      <c r="G1599" s="20">
        <v>0.85736864611434305</v>
      </c>
      <c r="H1599" s="20">
        <v>1.0763392584838801E-2</v>
      </c>
      <c r="I1599" s="20">
        <v>147.297177991572</v>
      </c>
      <c r="J1599" s="20">
        <v>922.8874628395763</v>
      </c>
      <c r="K1599" s="20">
        <v>11.720670778062619</v>
      </c>
      <c r="L1599" s="20">
        <f t="shared" si="54"/>
        <v>922.88560543525796</v>
      </c>
      <c r="M1599" s="20">
        <f t="shared" si="55"/>
        <v>-11.72064718907466</v>
      </c>
    </row>
    <row r="1600" spans="1:13" x14ac:dyDescent="0.2">
      <c r="A1600" s="23">
        <v>393.25</v>
      </c>
      <c r="B1600" s="20">
        <v>917.95966991661396</v>
      </c>
      <c r="C1600" s="20">
        <v>98.641505914866698</v>
      </c>
      <c r="D1600" s="20">
        <v>326.41257947353</v>
      </c>
      <c r="E1600" s="20">
        <v>-0.29854043504163102</v>
      </c>
      <c r="F1600" s="20">
        <v>-0.80205572015766602</v>
      </c>
      <c r="G1600" s="20">
        <v>0.85581526604313296</v>
      </c>
      <c r="H1600" s="20">
        <v>1.0768631028183999E-2</v>
      </c>
      <c r="I1600" s="20">
        <v>147.34175949710001</v>
      </c>
      <c r="J1600" s="20">
        <v>923.246193219985</v>
      </c>
      <c r="K1600" s="20">
        <v>11.725226653893809</v>
      </c>
      <c r="L1600" s="20">
        <f t="shared" si="54"/>
        <v>923.24433509368021</v>
      </c>
      <c r="M1600" s="20">
        <f t="shared" si="55"/>
        <v>-11.725203055736639</v>
      </c>
    </row>
    <row r="1601" spans="1:13" x14ac:dyDescent="0.2">
      <c r="A1601" s="23">
        <v>393.5</v>
      </c>
      <c r="B1601" s="20">
        <v>918.31098178686398</v>
      </c>
      <c r="C1601" s="20">
        <v>98.723640893057805</v>
      </c>
      <c r="D1601" s="20">
        <v>326.38375348792499</v>
      </c>
      <c r="E1601" s="20">
        <v>-0.29833631602618799</v>
      </c>
      <c r="F1601" s="20">
        <v>-0.80047338349900499</v>
      </c>
      <c r="G1601" s="20">
        <v>0.85426119843431003</v>
      </c>
      <c r="H1601" s="20">
        <v>1.07738058070196E-2</v>
      </c>
      <c r="I1601" s="20">
        <v>147.38654687280001</v>
      </c>
      <c r="J1601" s="20">
        <v>923.60427143668176</v>
      </c>
      <c r="K1601" s="20">
        <v>11.72977424724586</v>
      </c>
      <c r="L1601" s="20">
        <f t="shared" si="54"/>
        <v>923.60241258971132</v>
      </c>
      <c r="M1601" s="20">
        <f t="shared" si="55"/>
        <v>-11.729750639936253</v>
      </c>
    </row>
    <row r="1602" spans="1:13" x14ac:dyDescent="0.2">
      <c r="A1602" s="23">
        <v>393.75</v>
      </c>
      <c r="B1602" s="20">
        <v>918.66164841412206</v>
      </c>
      <c r="C1602" s="20">
        <v>98.805654693624803</v>
      </c>
      <c r="D1602" s="20">
        <v>326.35492124763698</v>
      </c>
      <c r="E1602" s="20">
        <v>-0.298131721389367</v>
      </c>
      <c r="F1602" s="20">
        <v>-0.79889034015225802</v>
      </c>
      <c r="G1602" s="20">
        <v>0.85270645528644695</v>
      </c>
      <c r="H1602" s="20">
        <v>1.0778916352394601E-2</v>
      </c>
      <c r="I1602" s="20">
        <v>147.43154221276501</v>
      </c>
      <c r="J1602" s="20">
        <v>923.96169725754646</v>
      </c>
      <c r="K1602" s="20">
        <v>11.734313555170841</v>
      </c>
      <c r="L1602" s="20">
        <f t="shared" si="54"/>
        <v>923.9598376912212</v>
      </c>
      <c r="M1602" s="20">
        <f t="shared" si="55"/>
        <v>-11.734289938725446</v>
      </c>
    </row>
    <row r="1603" spans="1:13" x14ac:dyDescent="0.2">
      <c r="A1603" s="23">
        <v>394</v>
      </c>
      <c r="B1603" s="20">
        <v>919.01166964372101</v>
      </c>
      <c r="C1603" s="20">
        <v>98.8875467273797</v>
      </c>
      <c r="D1603" s="20">
        <v>326.326082735103</v>
      </c>
      <c r="E1603" s="20">
        <v>-0.29792666165475901</v>
      </c>
      <c r="F1603" s="20">
        <v>-0.79730659848277297</v>
      </c>
      <c r="G1603" s="20">
        <v>0.85115104870341296</v>
      </c>
      <c r="H1603" s="20">
        <v>1.0783962101909199E-2</v>
      </c>
      <c r="I1603" s="20">
        <v>147.47674758654199</v>
      </c>
      <c r="J1603" s="20">
        <v>924.31847045595975</v>
      </c>
      <c r="K1603" s="20">
        <v>11.73884457479069</v>
      </c>
      <c r="L1603" s="20">
        <f t="shared" si="54"/>
        <v>924.31661017159024</v>
      </c>
      <c r="M1603" s="20">
        <f t="shared" si="55"/>
        <v>-11.738820949226152</v>
      </c>
    </row>
    <row r="1604" spans="1:13" x14ac:dyDescent="0.2">
      <c r="A1604" s="23">
        <v>394.25</v>
      </c>
      <c r="B1604" s="20">
        <v>919.36104532689899</v>
      </c>
      <c r="C1604" s="20">
        <v>98.969316402931099</v>
      </c>
      <c r="D1604" s="20">
        <v>326.297237933112</v>
      </c>
      <c r="E1604" s="20">
        <v>-0.29772114741375799</v>
      </c>
      <c r="F1604" s="20">
        <v>-0.79572216692390096</v>
      </c>
      <c r="G1604" s="20">
        <v>0.84959499089356305</v>
      </c>
      <c r="H1604" s="20">
        <v>1.0788942499747E-2</v>
      </c>
      <c r="I1604" s="20">
        <v>147.52216503907599</v>
      </c>
      <c r="J1604" s="20">
        <v>924.67459081085792</v>
      </c>
      <c r="K1604" s="20">
        <v>11.743367303297896</v>
      </c>
      <c r="L1604" s="20">
        <f t="shared" si="54"/>
        <v>924.67272980975918</v>
      </c>
      <c r="M1604" s="20">
        <f t="shared" si="55"/>
        <v>-11.743343668630915</v>
      </c>
    </row>
    <row r="1605" spans="1:13" x14ac:dyDescent="0.2">
      <c r="A1605" s="23">
        <v>394.5</v>
      </c>
      <c r="B1605" s="20">
        <v>919.70977532083702</v>
      </c>
      <c r="C1605" s="20">
        <v>99.050963126684906</v>
      </c>
      <c r="D1605" s="20">
        <v>326.26838682481701</v>
      </c>
      <c r="E1605" s="20">
        <v>-0.29751518932459697</v>
      </c>
      <c r="F1605" s="20">
        <v>-0.794137053976259</v>
      </c>
      <c r="G1605" s="20">
        <v>0.84803829416892595</v>
      </c>
      <c r="H1605" s="20">
        <v>1.0793856996705899E-2</v>
      </c>
      <c r="I1605" s="20">
        <v>147.567796590641</v>
      </c>
      <c r="J1605" s="20">
        <v>925.03005810677951</v>
      </c>
      <c r="K1605" s="20">
        <v>11.747881737956101</v>
      </c>
      <c r="L1605" s="20">
        <f t="shared" si="54"/>
        <v>925.02819639026598</v>
      </c>
      <c r="M1605" s="20">
        <f t="shared" si="55"/>
        <v>-11.747858094203369</v>
      </c>
    </row>
    <row r="1606" spans="1:13" x14ac:dyDescent="0.2">
      <c r="A1606" s="23">
        <v>394.75</v>
      </c>
      <c r="B1606" s="20">
        <v>920.05785948871005</v>
      </c>
      <c r="C1606" s="20">
        <v>99.132486302844896</v>
      </c>
      <c r="D1606" s="20">
        <v>326.23952939375198</v>
      </c>
      <c r="E1606" s="20">
        <v>-0.29730879811139499</v>
      </c>
      <c r="F1606" s="20">
        <v>-0.79255126820699995</v>
      </c>
      <c r="G1606" s="20">
        <v>0.84648097094439501</v>
      </c>
      <c r="H1606" s="20">
        <v>1.0798705050227699E-2</v>
      </c>
      <c r="I1606" s="20">
        <v>147.61364423679501</v>
      </c>
      <c r="J1606" s="20">
        <v>925.38487213390442</v>
      </c>
      <c r="K1606" s="20">
        <v>11.752387876100586</v>
      </c>
      <c r="L1606" s="20">
        <f t="shared" si="54"/>
        <v>925.38300970329612</v>
      </c>
      <c r="M1606" s="20">
        <f t="shared" si="55"/>
        <v>-11.752364223278871</v>
      </c>
    </row>
    <row r="1607" spans="1:13" x14ac:dyDescent="0.2">
      <c r="A1607" s="23">
        <v>395</v>
      </c>
      <c r="B1607" s="20">
        <v>920.405297699725</v>
      </c>
      <c r="C1607" s="20">
        <v>99.213885333413401</v>
      </c>
      <c r="D1607" s="20">
        <v>326.21066562383697</v>
      </c>
      <c r="E1607" s="20">
        <v>-0.29710198456318898</v>
      </c>
      <c r="F1607" s="20">
        <v>-0.79096481824907905</v>
      </c>
      <c r="G1607" s="20">
        <v>0.84492303373691102</v>
      </c>
      <c r="H1607" s="20">
        <v>1.0803486124427801E-2</v>
      </c>
      <c r="I1607" s="20">
        <v>147.65970994831801</v>
      </c>
      <c r="J1607" s="20">
        <v>925.73903268810989</v>
      </c>
      <c r="K1607" s="20">
        <v>11.756885715138997</v>
      </c>
      <c r="L1607" s="20">
        <f t="shared" si="54"/>
        <v>925.7371695447207</v>
      </c>
      <c r="M1607" s="20">
        <f t="shared" si="55"/>
        <v>-11.756862053264982</v>
      </c>
    </row>
    <row r="1608" spans="1:13" x14ac:dyDescent="0.2">
      <c r="A1608" s="23">
        <v>395.25</v>
      </c>
      <c r="B1608" s="20">
        <v>920.75208982916604</v>
      </c>
      <c r="C1608" s="20">
        <v>99.295159618192301</v>
      </c>
      <c r="D1608" s="20">
        <v>326.18179549939703</v>
      </c>
      <c r="E1608" s="20">
        <v>-0.29689475953296601</v>
      </c>
      <c r="F1608" s="20">
        <v>-0.78937771280052405</v>
      </c>
      <c r="G1608" s="20">
        <v>0.84336449516464895</v>
      </c>
      <c r="H1608" s="20">
        <v>1.0808199690122601E-2</v>
      </c>
      <c r="I1608" s="20">
        <v>147.70599567116699</v>
      </c>
      <c r="J1608" s="20">
        <v>926.09253957099975</v>
      </c>
      <c r="K1608" s="20">
        <v>11.761375252551698</v>
      </c>
      <c r="L1608" s="20">
        <f t="shared" si="54"/>
        <v>926.09067571614116</v>
      </c>
      <c r="M1608" s="20">
        <f t="shared" si="55"/>
        <v>-11.761351581642039</v>
      </c>
    </row>
    <row r="1609" spans="1:13" x14ac:dyDescent="0.2">
      <c r="A1609" s="23">
        <v>395.5</v>
      </c>
      <c r="B1609" s="20">
        <v>921.09823575843802</v>
      </c>
      <c r="C1609" s="20">
        <v>99.3763085547847</v>
      </c>
      <c r="D1609" s="20">
        <v>326.15291900516797</v>
      </c>
      <c r="E1609" s="20">
        <v>-0.296687133936689</v>
      </c>
      <c r="F1609" s="20">
        <v>-0.78778996062369799</v>
      </c>
      <c r="G1609" s="20">
        <v>0.84180536794620997</v>
      </c>
      <c r="H1609" s="20">
        <v>1.08128452248568E-2</v>
      </c>
      <c r="I1609" s="20">
        <v>147.75250332642301</v>
      </c>
      <c r="J1609" s="20">
        <v>926.44539258994541</v>
      </c>
      <c r="K1609" s="20">
        <v>11.765856485892307</v>
      </c>
      <c r="L1609" s="20">
        <f t="shared" si="54"/>
        <v>926.44352802493188</v>
      </c>
      <c r="M1609" s="20">
        <f t="shared" si="55"/>
        <v>-11.765832805963699</v>
      </c>
    </row>
    <row r="1610" spans="1:13" x14ac:dyDescent="0.2">
      <c r="A1610" s="23">
        <v>395.75</v>
      </c>
      <c r="B1610" s="20">
        <v>921.44373537510796</v>
      </c>
      <c r="C1610" s="20">
        <v>99.457331538595795</v>
      </c>
      <c r="D1610" s="20">
        <v>326.124036126318</v>
      </c>
      <c r="E1610" s="20">
        <v>-0.29647911875232402</v>
      </c>
      <c r="F1610" s="20">
        <v>-0.78620157054457096</v>
      </c>
      <c r="G1610" s="20">
        <v>0.84024566489979902</v>
      </c>
      <c r="H1610" s="20">
        <v>1.08174222129297E-2</v>
      </c>
      <c r="I1610" s="20">
        <v>147.79923481025099</v>
      </c>
      <c r="J1610" s="20">
        <v>926.79759155813167</v>
      </c>
      <c r="K1610" s="20">
        <v>11.770329412788273</v>
      </c>
      <c r="L1610" s="20">
        <f t="shared" si="54"/>
        <v>926.79572628428218</v>
      </c>
      <c r="M1610" s="20">
        <f t="shared" si="55"/>
        <v>-11.770305723857465</v>
      </c>
    </row>
    <row r="1611" spans="1:13" x14ac:dyDescent="0.2">
      <c r="A1611" s="23">
        <v>396</v>
      </c>
      <c r="B1611" s="20">
        <v>921.78858857294495</v>
      </c>
      <c r="C1611" s="20">
        <v>99.538227962835407</v>
      </c>
      <c r="D1611" s="20">
        <v>326.09514684844697</v>
      </c>
      <c r="E1611" s="20">
        <v>-0.29627072501885598</v>
      </c>
      <c r="F1611" s="20">
        <v>-0.78461255145198605</v>
      </c>
      <c r="G1611" s="20">
        <v>0.83868539894241301</v>
      </c>
      <c r="H1611" s="20">
        <v>1.08219301454201E-2</v>
      </c>
      <c r="I1611" s="20">
        <v>147.84619199385801</v>
      </c>
      <c r="J1611" s="20">
        <v>927.14913629460443</v>
      </c>
      <c r="K1611" s="20">
        <v>11.774794030941477</v>
      </c>
      <c r="L1611" s="20">
        <f t="shared" si="54"/>
        <v>927.14727031323525</v>
      </c>
      <c r="M1611" s="20">
        <f t="shared" si="55"/>
        <v>-11.774770333025188</v>
      </c>
    </row>
    <row r="1612" spans="1:13" x14ac:dyDescent="0.2">
      <c r="A1612" s="23">
        <v>396.25</v>
      </c>
      <c r="B1612" s="20">
        <v>922.13279525196697</v>
      </c>
      <c r="C1612" s="20">
        <v>99.618997218518999</v>
      </c>
      <c r="D1612" s="20">
        <v>326.06625115761102</v>
      </c>
      <c r="E1612" s="20">
        <v>-0.29606196383530697</v>
      </c>
      <c r="F1612" s="20">
        <v>-0.783022912296928</v>
      </c>
      <c r="G1612" s="20">
        <v>0.83712458308902904</v>
      </c>
      <c r="H1612" s="20">
        <v>1.08263685202103E-2</v>
      </c>
      <c r="I1612" s="20">
        <v>147.893376723448</v>
      </c>
      <c r="J1612" s="20">
        <v>927.5000266243087</v>
      </c>
      <c r="K1612" s="20">
        <v>11.779250338128723</v>
      </c>
      <c r="L1612" s="20">
        <f t="shared" si="54"/>
        <v>927.49815993673508</v>
      </c>
      <c r="M1612" s="20">
        <f t="shared" si="55"/>
        <v>-11.779226631243652</v>
      </c>
    </row>
    <row r="1613" spans="1:13" x14ac:dyDescent="0.2">
      <c r="A1613" s="23">
        <v>396.5</v>
      </c>
      <c r="B1613" s="20">
        <v>922.476355318473</v>
      </c>
      <c r="C1613" s="20">
        <v>99.699638694470906</v>
      </c>
      <c r="D1613" s="20">
        <v>326.03734904032501</v>
      </c>
      <c r="E1613" s="20">
        <v>-0.29585284635975201</v>
      </c>
      <c r="F1613" s="20">
        <v>-0.78143266209178897</v>
      </c>
      <c r="G1613" s="20">
        <v>0.83556323045178804</v>
      </c>
      <c r="H1613" s="20">
        <v>1.08307368420096E-2</v>
      </c>
      <c r="I1613" s="20">
        <v>147.940790820193</v>
      </c>
      <c r="J1613" s="20">
        <v>927.8502623781136</v>
      </c>
      <c r="K1613" s="20">
        <v>11.783698332202043</v>
      </c>
      <c r="L1613" s="20">
        <f t="shared" si="54"/>
        <v>927.84839498565805</v>
      </c>
      <c r="M1613" s="20">
        <f t="shared" si="55"/>
        <v>-11.783674616364992</v>
      </c>
    </row>
    <row r="1614" spans="1:13" x14ac:dyDescent="0.2">
      <c r="A1614" s="23">
        <v>396.75</v>
      </c>
      <c r="B1614" s="20">
        <v>922.81926868509004</v>
      </c>
      <c r="C1614" s="20">
        <v>99.780151777325798</v>
      </c>
      <c r="D1614" s="20">
        <v>326.00844048357999</v>
      </c>
      <c r="E1614" s="20">
        <v>-0.295643383808325</v>
      </c>
      <c r="F1614" s="20">
        <v>-0.77984180990964003</v>
      </c>
      <c r="G1614" s="20">
        <v>0.83400135423917598</v>
      </c>
      <c r="H1614" s="20">
        <v>1.0835034622376701E-2</v>
      </c>
      <c r="I1614" s="20">
        <v>147.988436080197</v>
      </c>
      <c r="J1614" s="20">
        <v>928.19984339288135</v>
      </c>
      <c r="K1614" s="20">
        <v>11.788138011089593</v>
      </c>
      <c r="L1614" s="20">
        <f t="shared" si="54"/>
        <v>928.19797529686014</v>
      </c>
      <c r="M1614" s="20">
        <f t="shared" si="55"/>
        <v>-11.788114286317276</v>
      </c>
    </row>
    <row r="1615" spans="1:13" x14ac:dyDescent="0.2">
      <c r="A1615" s="23">
        <v>397</v>
      </c>
      <c r="B1615" s="20">
        <v>923.16153527081201</v>
      </c>
      <c r="C1615" s="20">
        <v>99.860535851531793</v>
      </c>
      <c r="D1615" s="20">
        <v>325.97952547484999</v>
      </c>
      <c r="E1615" s="20">
        <v>-0.29543358745422499</v>
      </c>
      <c r="F1615" s="20">
        <v>-0.77825036488349697</v>
      </c>
      <c r="G1615" s="20">
        <v>0.83243896775521597</v>
      </c>
      <c r="H1615" s="20">
        <v>1.0839261379740299E-2</v>
      </c>
      <c r="I1615" s="20">
        <v>148.036314274462</v>
      </c>
      <c r="J1615" s="20">
        <v>928.54876951148401</v>
      </c>
      <c r="K1615" s="20">
        <v>11.792569372795846</v>
      </c>
      <c r="L1615" s="20">
        <f t="shared" si="54"/>
        <v>928.54690071321534</v>
      </c>
      <c r="M1615" s="20">
        <f t="shared" si="55"/>
        <v>-11.792545639105006</v>
      </c>
    </row>
    <row r="1616" spans="1:13" x14ac:dyDescent="0.2">
      <c r="A1616" s="23">
        <v>397.25</v>
      </c>
      <c r="B1616" s="20">
        <v>923.50315500103602</v>
      </c>
      <c r="C1616" s="20">
        <v>99.940790299353296</v>
      </c>
      <c r="D1616" s="20">
        <v>325.95060400211003</v>
      </c>
      <c r="E1616" s="20">
        <v>-0.295223468626723</v>
      </c>
      <c r="F1616" s="20">
        <v>-0.77665833620559399</v>
      </c>
      <c r="G1616" s="20">
        <v>0.83087608439865202</v>
      </c>
      <c r="H1616" s="20">
        <v>1.0843416639660699E-2</v>
      </c>
      <c r="I1616" s="20">
        <v>148.08442714563199</v>
      </c>
      <c r="J1616" s="20">
        <v>928.89704058285758</v>
      </c>
      <c r="K1616" s="20">
        <v>11.796992415402292</v>
      </c>
      <c r="L1616" s="20">
        <f t="shared" si="54"/>
        <v>928.89517108365192</v>
      </c>
      <c r="M1616" s="20">
        <f t="shared" si="55"/>
        <v>-11.796968672809568</v>
      </c>
    </row>
    <row r="1617" spans="1:13" x14ac:dyDescent="0.2">
      <c r="A1617" s="23">
        <v>397.5</v>
      </c>
      <c r="B1617" s="20">
        <v>923.84412780760499</v>
      </c>
      <c r="C1617" s="20">
        <v>100.020914500874</v>
      </c>
      <c r="D1617" s="20">
        <v>325.92167605383997</v>
      </c>
      <c r="E1617" s="20">
        <v>-0.29501303870970202</v>
      </c>
      <c r="F1617" s="20">
        <v>-0.77506573312665505</v>
      </c>
      <c r="G1617" s="20">
        <v>0.82931271766197501</v>
      </c>
      <c r="H1617" s="20">
        <v>1.08475000027295E-2</v>
      </c>
      <c r="I1617" s="20">
        <v>148.132775495705</v>
      </c>
      <c r="J1617" s="20">
        <v>929.2446564620102</v>
      </c>
      <c r="K1617" s="20">
        <v>11.80140713706753</v>
      </c>
      <c r="L1617" s="20">
        <f t="shared" si="54"/>
        <v>929.24278626319483</v>
      </c>
      <c r="M1617" s="20">
        <f t="shared" si="55"/>
        <v>-11.80138338558978</v>
      </c>
    </row>
    <row r="1618" spans="1:13" x14ac:dyDescent="0.2">
      <c r="A1618" s="23">
        <v>397.75</v>
      </c>
      <c r="B1618" s="20">
        <v>924.18445362882903</v>
      </c>
      <c r="C1618" s="20">
        <v>100.100907834022</v>
      </c>
      <c r="D1618" s="20">
        <v>325.89274161903597</v>
      </c>
      <c r="E1618" s="20">
        <v>-0.29480230901052301</v>
      </c>
      <c r="F1618" s="20">
        <v>-0.77347256495711902</v>
      </c>
      <c r="G1618" s="20">
        <v>0.82774888108609401</v>
      </c>
      <c r="H1618" s="20">
        <v>1.0851511233541399E-2</v>
      </c>
      <c r="I1618" s="20">
        <v>148.18135794361399</v>
      </c>
      <c r="J1618" s="20">
        <v>929.59161701009987</v>
      </c>
      <c r="K1618" s="20">
        <v>11.805813536028269</v>
      </c>
      <c r="L1618" s="20">
        <f t="shared" si="54"/>
        <v>929.5897461129897</v>
      </c>
      <c r="M1618" s="20">
        <f t="shared" si="55"/>
        <v>-11.805789775682193</v>
      </c>
    </row>
    <row r="1619" spans="1:13" x14ac:dyDescent="0.2">
      <c r="A1619" s="23">
        <v>398</v>
      </c>
      <c r="B1619" s="20">
        <v>924.52413240946896</v>
      </c>
      <c r="C1619" s="20">
        <v>100.18076967465799</v>
      </c>
      <c r="D1619" s="20">
        <v>325.86380068718597</v>
      </c>
      <c r="E1619" s="20">
        <v>-0.29459129050281302</v>
      </c>
      <c r="F1619" s="20">
        <v>-0.77187884107028504</v>
      </c>
      <c r="G1619" s="20">
        <v>0.82618458817150497</v>
      </c>
      <c r="H1619" s="20">
        <v>1.08554501164698E-2</v>
      </c>
      <c r="I1619" s="20">
        <v>148.23017279760001</v>
      </c>
      <c r="J1619" s="20">
        <v>929.9379220943805</v>
      </c>
      <c r="K1619" s="20">
        <v>11.810211610598632</v>
      </c>
      <c r="L1619" s="20">
        <f t="shared" si="54"/>
        <v>929.93605050029544</v>
      </c>
      <c r="M1619" s="20">
        <f t="shared" si="55"/>
        <v>-11.810187841400992</v>
      </c>
    </row>
    <row r="1620" spans="1:13" x14ac:dyDescent="0.2">
      <c r="A1620" s="23">
        <v>398.25</v>
      </c>
      <c r="B1620" s="20">
        <v>924.86316410068503</v>
      </c>
      <c r="C1620" s="20">
        <v>100.260499396713</v>
      </c>
      <c r="D1620" s="20">
        <v>325.83485324823698</v>
      </c>
      <c r="E1620" s="20">
        <v>-0.29437999390192998</v>
      </c>
      <c r="F1620" s="20">
        <v>-0.77028457090051194</v>
      </c>
      <c r="G1620" s="20">
        <v>0.82461985240296398</v>
      </c>
      <c r="H1620" s="20">
        <v>1.08593164390963E-2</v>
      </c>
      <c r="I1620" s="20">
        <v>148.279218374462</v>
      </c>
      <c r="J1620" s="20">
        <v>930.28357158818562</v>
      </c>
      <c r="K1620" s="20">
        <v>11.814601359169959</v>
      </c>
      <c r="L1620" s="20">
        <f t="shared" si="54"/>
        <v>930.28169929844853</v>
      </c>
      <c r="M1620" s="20">
        <f t="shared" si="55"/>
        <v>-11.814577581137554</v>
      </c>
    </row>
    <row r="1621" spans="1:13" x14ac:dyDescent="0.2">
      <c r="A1621" s="23">
        <v>398.5</v>
      </c>
      <c r="B1621" s="20">
        <v>925.20154866000905</v>
      </c>
      <c r="C1621" s="20">
        <v>100.340096372293</v>
      </c>
      <c r="D1621" s="20">
        <v>325.80589929256598</v>
      </c>
      <c r="E1621" s="20">
        <v>-0.29416842967951201</v>
      </c>
      <c r="F1621" s="20">
        <v>-0.76868976394236699</v>
      </c>
      <c r="G1621" s="20">
        <v>0.82305468725345499</v>
      </c>
      <c r="H1621" s="20">
        <v>1.0863109993178299E-2</v>
      </c>
      <c r="I1621" s="20">
        <v>148.32849299828999</v>
      </c>
      <c r="J1621" s="20">
        <v>930.62856537092046</v>
      </c>
      <c r="K1621" s="20">
        <v>11.818982780210691</v>
      </c>
      <c r="L1621" s="20">
        <f t="shared" si="54"/>
        <v>930.62669238684543</v>
      </c>
      <c r="M1621" s="20">
        <f t="shared" si="55"/>
        <v>-11.818958993360214</v>
      </c>
    </row>
    <row r="1622" spans="1:13" x14ac:dyDescent="0.2">
      <c r="A1622" s="23">
        <v>398.75</v>
      </c>
      <c r="B1622" s="20">
        <v>925.53928605130398</v>
      </c>
      <c r="C1622" s="20">
        <v>100.419559971795</v>
      </c>
      <c r="D1622" s="20">
        <v>325.77693881095598</v>
      </c>
      <c r="E1622" s="20">
        <v>-0.29395660806579099</v>
      </c>
      <c r="F1622" s="20">
        <v>-0.76709442974990405</v>
      </c>
      <c r="G1622" s="20">
        <v>0.82148910618393201</v>
      </c>
      <c r="H1622" s="20">
        <v>1.08668305745281E-2</v>
      </c>
      <c r="I1622" s="20">
        <v>148.37799500005499</v>
      </c>
      <c r="J1622" s="20">
        <v>930.97290332799992</v>
      </c>
      <c r="K1622" s="20">
        <v>11.8233558722656</v>
      </c>
      <c r="L1622" s="20">
        <f t="shared" si="54"/>
        <v>930.97102965091585</v>
      </c>
      <c r="M1622" s="20">
        <f t="shared" si="55"/>
        <v>-11.823332076613925</v>
      </c>
    </row>
    <row r="1623" spans="1:13" x14ac:dyDescent="0.2">
      <c r="A1623" s="23">
        <v>399</v>
      </c>
      <c r="B1623" s="20">
        <v>925.87637624474098</v>
      </c>
      <c r="C1623" s="20">
        <v>100.498889564007</v>
      </c>
      <c r="D1623" s="20">
        <v>325.74797179456698</v>
      </c>
      <c r="E1623" s="20">
        <v>-0.29374453905253001</v>
      </c>
      <c r="F1623" s="20">
        <v>-0.765498577935952</v>
      </c>
      <c r="G1623" s="20">
        <v>0.81992312264330502</v>
      </c>
      <c r="H1623" s="20">
        <v>1.0870477982921E-2</v>
      </c>
      <c r="I1623" s="20">
        <v>148.42772271739801</v>
      </c>
      <c r="J1623" s="20">
        <v>931.31658535088764</v>
      </c>
      <c r="K1623" s="20">
        <v>11.827720633956273</v>
      </c>
      <c r="L1623" s="20">
        <f t="shared" si="54"/>
        <v>931.31471098211034</v>
      </c>
      <c r="M1623" s="20">
        <f t="shared" si="55"/>
        <v>-11.827696829520113</v>
      </c>
    </row>
    <row r="1624" spans="1:13" x14ac:dyDescent="0.2">
      <c r="A1624" s="23">
        <v>399.25</v>
      </c>
      <c r="B1624" s="20">
        <v>926.21281921675802</v>
      </c>
      <c r="C1624" s="20">
        <v>100.578084516217</v>
      </c>
      <c r="D1624" s="20">
        <v>325.71899823490901</v>
      </c>
      <c r="E1624" s="20">
        <v>-0.29353223239590498</v>
      </c>
      <c r="F1624" s="20">
        <v>-0.76390221817139903</v>
      </c>
      <c r="G1624" s="20">
        <v>0.81835675006839603</v>
      </c>
      <c r="H1624" s="20">
        <v>1.0874052022007599E-2</v>
      </c>
      <c r="I1624" s="20">
        <v>148.477674494404</v>
      </c>
      <c r="J1624" s="20">
        <v>931.65961133702478</v>
      </c>
      <c r="K1624" s="20">
        <v>11.832077063980217</v>
      </c>
      <c r="L1624" s="20">
        <f t="shared" si="54"/>
        <v>931.65773627787053</v>
      </c>
      <c r="M1624" s="20">
        <f t="shared" si="55"/>
        <v>-11.832053250776283</v>
      </c>
    </row>
    <row r="1625" spans="1:13" x14ac:dyDescent="0.2">
      <c r="A1625" s="23">
        <v>399.5</v>
      </c>
      <c r="B1625" s="20">
        <v>926.54861495003502</v>
      </c>
      <c r="C1625" s="20">
        <v>100.657144194317</v>
      </c>
      <c r="D1625" s="20">
        <v>325.69001812381902</v>
      </c>
      <c r="E1625" s="20">
        <v>-0.29331969761933901</v>
      </c>
      <c r="F1625" s="20">
        <v>-0.76230536018448702</v>
      </c>
      <c r="G1625" s="20">
        <v>0.81679000188390005</v>
      </c>
      <c r="H1625" s="20">
        <v>1.087755249923E-2</v>
      </c>
      <c r="I1625" s="20">
        <v>148.52784868139599</v>
      </c>
      <c r="J1625" s="20">
        <v>932.00198118982325</v>
      </c>
      <c r="K1625" s="20">
        <v>11.836425161110755</v>
      </c>
      <c r="L1625" s="20">
        <f t="shared" si="54"/>
        <v>932.00010544161626</v>
      </c>
      <c r="M1625" s="20">
        <f t="shared" si="55"/>
        <v>-11.836401339155872</v>
      </c>
    </row>
    <row r="1626" spans="1:13" x14ac:dyDescent="0.2">
      <c r="A1626" s="23">
        <v>399.75</v>
      </c>
      <c r="B1626" s="20">
        <v>926.88376343345794</v>
      </c>
      <c r="C1626" s="20">
        <v>100.736067962909</v>
      </c>
      <c r="D1626" s="20">
        <v>325.66103145343601</v>
      </c>
      <c r="E1626" s="20">
        <v>-0.29310694401630899</v>
      </c>
      <c r="F1626" s="20">
        <v>-0.76070801376010599</v>
      </c>
      <c r="G1626" s="20">
        <v>0.81522289150233296</v>
      </c>
      <c r="H1626" s="20">
        <v>1.0880979225742901E-2</v>
      </c>
      <c r="I1626" s="20">
        <v>148.578243634735</v>
      </c>
      <c r="J1626" s="20">
        <v>932.34369481866497</v>
      </c>
      <c r="K1626" s="20">
        <v>11.840764924197046</v>
      </c>
      <c r="L1626" s="20">
        <f t="shared" si="54"/>
        <v>932.34181838272082</v>
      </c>
      <c r="M1626" s="20">
        <f t="shared" si="55"/>
        <v>-11.840741093507917</v>
      </c>
    </row>
    <row r="1627" spans="1:13" x14ac:dyDescent="0.2">
      <c r="A1627" s="23">
        <v>400</v>
      </c>
      <c r="B1627" s="20">
        <v>927.21826466208995</v>
      </c>
      <c r="C1627" s="20">
        <v>100.814855185403</v>
      </c>
      <c r="D1627" s="20">
        <v>325.63203821617401</v>
      </c>
      <c r="E1627" s="20">
        <v>-0.29289398065311301</v>
      </c>
      <c r="F1627" s="20">
        <v>-0.75911018873908498</v>
      </c>
      <c r="G1627" s="20">
        <v>0.81365543232397497</v>
      </c>
      <c r="H1627" s="20">
        <v>1.0884332016337501E-2</v>
      </c>
      <c r="I1627" s="20">
        <v>148.628857716628</v>
      </c>
      <c r="L1627" s="20">
        <f t="shared" si="54"/>
        <v>932.68287501649309</v>
      </c>
      <c r="M1627" s="20">
        <f t="shared" si="55"/>
        <v>-11.845072512756841</v>
      </c>
    </row>
    <row r="1628" spans="1:13" x14ac:dyDescent="0.2">
      <c r="A1628" s="23">
        <v>400.25</v>
      </c>
      <c r="B1628" s="20">
        <v>927.55211863713805</v>
      </c>
      <c r="C1628" s="20">
        <v>100.893505224123</v>
      </c>
      <c r="D1628" s="20">
        <v>325.60303840469697</v>
      </c>
      <c r="E1628" s="20">
        <v>-0.29268081637160298</v>
      </c>
      <c r="F1628" s="20">
        <v>-0.75751189501749405</v>
      </c>
      <c r="G1628" s="20">
        <v>0.81208763773680404</v>
      </c>
      <c r="H1628" s="20">
        <v>1.0887610689369401E-2</v>
      </c>
      <c r="I1628" s="20">
        <v>148.67968929494501</v>
      </c>
      <c r="L1628" s="20">
        <f t="shared" ref="L1628:L1691" si="56">SQRT(B1628^2+C1628^2)</f>
        <v>933.02327526415627</v>
      </c>
      <c r="M1628" s="20">
        <f t="shared" ref="M1628:M1691" si="57">-L1628/A$25*100</f>
        <v>-11.849395595902182</v>
      </c>
    </row>
    <row r="1629" spans="1:13" x14ac:dyDescent="0.2">
      <c r="A1629" s="23">
        <v>400.5</v>
      </c>
      <c r="B1629" s="20">
        <v>927.88532536592095</v>
      </c>
      <c r="C1629" s="20">
        <v>100.972017440407</v>
      </c>
      <c r="D1629" s="20">
        <v>325.574032011898</v>
      </c>
      <c r="E1629" s="20">
        <v>-0.29246745979188599</v>
      </c>
      <c r="F1629" s="20">
        <v>-0.75591314254594599</v>
      </c>
      <c r="G1629" s="20">
        <v>0.810519521116429</v>
      </c>
      <c r="H1629" s="20">
        <v>1.0890815066690601E-2</v>
      </c>
      <c r="I1629" s="20">
        <v>148.73073674304399</v>
      </c>
      <c r="L1629" s="20">
        <f t="shared" si="56"/>
        <v>933.36301905282642</v>
      </c>
      <c r="M1629" s="20">
        <f t="shared" si="57"/>
        <v>-11.85371034201831</v>
      </c>
    </row>
    <row r="1630" spans="1:13" x14ac:dyDescent="0.2">
      <c r="A1630" s="23">
        <v>400.75</v>
      </c>
      <c r="B1630" s="20">
        <v>928.21788486183902</v>
      </c>
      <c r="C1630" s="20">
        <v>101.050391194703</v>
      </c>
      <c r="D1630" s="20">
        <v>325.54501903086998</v>
      </c>
      <c r="E1630" s="20">
        <v>-0.29225391931499001</v>
      </c>
      <c r="F1630" s="20">
        <v>-0.75431394132889495</v>
      </c>
      <c r="G1630" s="20">
        <v>0.80895109582601099</v>
      </c>
      <c r="H1630" s="20">
        <v>1.08939449735839E-2</v>
      </c>
      <c r="I1630" s="20">
        <v>148.781998439609</v>
      </c>
      <c r="L1630" s="20">
        <f t="shared" si="56"/>
        <v>933.70210631549332</v>
      </c>
      <c r="M1630" s="20">
        <f t="shared" si="57"/>
        <v>-11.858016750254198</v>
      </c>
    </row>
    <row r="1631" spans="1:13" x14ac:dyDescent="0.2">
      <c r="A1631" s="23">
        <v>401</v>
      </c>
      <c r="B1631" s="20">
        <v>928.54979714434398</v>
      </c>
      <c r="C1631" s="20">
        <v>101.12862584667199</v>
      </c>
      <c r="D1631" s="20">
        <v>325.51599945488903</v>
      </c>
      <c r="E1631" s="20">
        <v>-0.292040203125499</v>
      </c>
      <c r="F1631" s="20">
        <v>-0.75271430142394702</v>
      </c>
      <c r="G1631" s="20">
        <v>0.80738237521618195</v>
      </c>
      <c r="H1631" s="20">
        <v>1.08970002387018E-2</v>
      </c>
      <c r="I1631" s="20">
        <v>148.833472768485</v>
      </c>
      <c r="L1631" s="20">
        <f t="shared" si="56"/>
        <v>934.04053699100155</v>
      </c>
      <c r="M1631" s="20">
        <f t="shared" si="57"/>
        <v>-11.86231481983317</v>
      </c>
    </row>
    <row r="1632" spans="1:13" x14ac:dyDescent="0.2">
      <c r="A1632" s="23">
        <v>401.25</v>
      </c>
      <c r="B1632" s="20">
        <v>928.881062238906</v>
      </c>
      <c r="C1632" s="20">
        <v>101.206720755285</v>
      </c>
      <c r="D1632" s="20">
        <v>325.48697327738302</v>
      </c>
      <c r="E1632" s="20">
        <v>-0.29182631919415902</v>
      </c>
      <c r="F1632" s="20">
        <v>-0.75111423294116597</v>
      </c>
      <c r="G1632" s="20">
        <v>0.805813372624956</v>
      </c>
      <c r="H1632" s="20">
        <v>1.08999806940077E-2</v>
      </c>
      <c r="I1632" s="20">
        <v>148.88515811853799</v>
      </c>
      <c r="L1632" s="20">
        <f t="shared" si="56"/>
        <v>934.37831102402879</v>
      </c>
      <c r="M1632" s="20">
        <f t="shared" si="57"/>
        <v>-11.866604550052633</v>
      </c>
    </row>
    <row r="1633" spans="1:13" x14ac:dyDescent="0.2">
      <c r="A1633" s="23">
        <v>401.5</v>
      </c>
      <c r="B1633" s="20">
        <v>929.21168017698301</v>
      </c>
      <c r="C1633" s="20">
        <v>101.284675278915</v>
      </c>
      <c r="D1633" s="20">
        <v>325.45794049191699</v>
      </c>
      <c r="E1633" s="20">
        <v>-0.29161227528044598</v>
      </c>
      <c r="F1633" s="20">
        <v>-0.74951374604237897</v>
      </c>
      <c r="G1633" s="20">
        <v>0.80424410137763402</v>
      </c>
      <c r="H1633" s="20">
        <v>1.09028861747204E-2</v>
      </c>
      <c r="I1633" s="20">
        <v>148.93705288350299</v>
      </c>
      <c r="L1633" s="20">
        <f t="shared" si="56"/>
        <v>934.71542836506501</v>
      </c>
      <c r="M1633" s="20">
        <f t="shared" si="57"/>
        <v>-11.870885940283809</v>
      </c>
    </row>
    <row r="1634" spans="1:13" x14ac:dyDescent="0.2">
      <c r="A1634" s="23">
        <v>401.75</v>
      </c>
      <c r="B1634" s="20">
        <v>929.54165099599095</v>
      </c>
      <c r="C1634" s="20">
        <v>101.362488775439</v>
      </c>
      <c r="D1634" s="20">
        <v>325.42890109216199</v>
      </c>
      <c r="E1634" s="20">
        <v>-0.29139807893511799</v>
      </c>
      <c r="F1634" s="20">
        <v>-0.74791285094049498</v>
      </c>
      <c r="G1634" s="20">
        <v>0.80267457478670501</v>
      </c>
      <c r="H1634" s="20">
        <v>1.0905716519262001E-2</v>
      </c>
      <c r="I1634" s="20">
        <v>148.98915546185799</v>
      </c>
      <c r="L1634" s="20">
        <f t="shared" si="56"/>
        <v>935.05188897039488</v>
      </c>
      <c r="M1634" s="20">
        <f t="shared" si="57"/>
        <v>-11.875158989971515</v>
      </c>
    </row>
    <row r="1635" spans="1:13" x14ac:dyDescent="0.2">
      <c r="A1635" s="23">
        <v>402</v>
      </c>
      <c r="B1635" s="20">
        <v>929.87097473927201</v>
      </c>
      <c r="C1635" s="20">
        <v>101.44016060232801</v>
      </c>
      <c r="D1635" s="20">
        <v>325.39985507187902</v>
      </c>
      <c r="E1635" s="20">
        <v>-0.29118373750272197</v>
      </c>
      <c r="F1635" s="20">
        <v>-0.74631155789881498</v>
      </c>
      <c r="G1635" s="20">
        <v>0.80110480615173696</v>
      </c>
      <c r="H1635" s="20">
        <v>1.09084715692081E-2</v>
      </c>
      <c r="I1635" s="20">
        <v>149.04146425669299</v>
      </c>
      <c r="L1635" s="20">
        <f t="shared" si="56"/>
        <v>935.38769280207543</v>
      </c>
      <c r="M1635" s="20">
        <f t="shared" si="57"/>
        <v>-11.879423698633875</v>
      </c>
    </row>
    <row r="1636" spans="1:13" x14ac:dyDescent="0.2">
      <c r="A1636" s="23">
        <v>402.25</v>
      </c>
      <c r="B1636" s="20">
        <v>930.19965145606295</v>
      </c>
      <c r="C1636" s="20">
        <v>101.517690116742</v>
      </c>
      <c r="D1636" s="20">
        <v>325.37080242489498</v>
      </c>
      <c r="E1636" s="20">
        <v>-0.29096925812408603</v>
      </c>
      <c r="F1636" s="20">
        <v>-0.74470987723034798</v>
      </c>
      <c r="G1636" s="20">
        <v>0.79953480875926897</v>
      </c>
      <c r="H1636" s="20">
        <v>1.0911151169241099E-2</v>
      </c>
      <c r="I1636" s="20">
        <v>149.09397767559</v>
      </c>
      <c r="L1636" s="20">
        <f t="shared" si="56"/>
        <v>935.722839827916</v>
      </c>
      <c r="M1636" s="20">
        <f t="shared" si="57"/>
        <v>-11.883680065862068</v>
      </c>
    </row>
    <row r="1637" spans="1:13" x14ac:dyDescent="0.2">
      <c r="A1637" s="23">
        <v>402.5</v>
      </c>
      <c r="B1637" s="20">
        <v>930.527681201468</v>
      </c>
      <c r="C1637" s="20">
        <v>101.59507667562499</v>
      </c>
      <c r="D1637" s="20">
        <v>325.34174314507902</v>
      </c>
      <c r="E1637" s="20">
        <v>-0.29075464773877702</v>
      </c>
      <c r="F1637" s="20">
        <v>-0.74310781929712899</v>
      </c>
      <c r="G1637" s="20">
        <v>0.79796459588269597</v>
      </c>
      <c r="H1637" s="20">
        <v>1.09137551667549E-2</v>
      </c>
      <c r="I1637" s="20">
        <v>149.14669413051701</v>
      </c>
      <c r="L1637" s="20">
        <f t="shared" si="56"/>
        <v>936.05733002146133</v>
      </c>
      <c r="M1637" s="20">
        <f t="shared" si="57"/>
        <v>-11.887928091320109</v>
      </c>
    </row>
    <row r="1638" spans="1:13" x14ac:dyDescent="0.2">
      <c r="A1638" s="23">
        <v>402.75</v>
      </c>
      <c r="B1638" s="20">
        <v>930.85506403642501</v>
      </c>
      <c r="C1638" s="20">
        <v>101.67231963579199</v>
      </c>
      <c r="D1638" s="20">
        <v>325.31267722632498</v>
      </c>
      <c r="E1638" s="20">
        <v>-0.29053991308753202</v>
      </c>
      <c r="F1638" s="20">
        <v>-0.74150539450961706</v>
      </c>
      <c r="G1638" s="20">
        <v>0.79639418078221402</v>
      </c>
      <c r="H1638" s="20">
        <v>1.09162833991064E-2</v>
      </c>
      <c r="I1638" s="20">
        <v>149.199612037712</v>
      </c>
      <c r="L1638" s="20">
        <f t="shared" si="56"/>
        <v>936.39116336196787</v>
      </c>
      <c r="M1638" s="20">
        <f t="shared" si="57"/>
        <v>-11.892167774744561</v>
      </c>
    </row>
    <row r="1639" spans="1:13" x14ac:dyDescent="0.2">
      <c r="A1639" s="23">
        <v>403</v>
      </c>
      <c r="B1639" s="20">
        <v>931.18180002767497</v>
      </c>
      <c r="C1639" s="20">
        <v>101.749418354024</v>
      </c>
      <c r="D1639" s="20">
        <v>325.283604662524</v>
      </c>
      <c r="E1639" s="20">
        <v>-0.29032506071467101</v>
      </c>
      <c r="F1639" s="20">
        <v>-0.73990261332892004</v>
      </c>
      <c r="G1639" s="20">
        <v>0.794823576707399</v>
      </c>
      <c r="H1639" s="20">
        <v>1.09187356901523E-2</v>
      </c>
      <c r="I1639" s="20">
        <v>149.25272981759301</v>
      </c>
      <c r="L1639" s="20">
        <f t="shared" si="56"/>
        <v>936.7243398343843</v>
      </c>
      <c r="M1639" s="20">
        <f t="shared" si="57"/>
        <v>-11.896399115944266</v>
      </c>
    </row>
    <row r="1640" spans="1:13" x14ac:dyDescent="0.2">
      <c r="A1640" s="23">
        <v>403.25</v>
      </c>
      <c r="B1640" s="20">
        <v>931.50788924773894</v>
      </c>
      <c r="C1640" s="20">
        <v>101.82637218715701</v>
      </c>
      <c r="D1640" s="20">
        <v>325.25452544755001</v>
      </c>
      <c r="E1640" s="20">
        <v>-0.29011009697047402</v>
      </c>
      <c r="F1640" s="20">
        <v>-0.73829948626883302</v>
      </c>
      <c r="G1640" s="20">
        <v>0.79325279689960104</v>
      </c>
      <c r="H1640" s="20">
        <v>1.09211118655694E-2</v>
      </c>
      <c r="I1640" s="20">
        <v>149.30604589459</v>
      </c>
      <c r="L1640" s="20">
        <f t="shared" si="56"/>
        <v>937.0568594293386</v>
      </c>
      <c r="M1640" s="20">
        <f t="shared" si="57"/>
        <v>-11.900622114800203</v>
      </c>
    </row>
    <row r="1641" spans="1:13" x14ac:dyDescent="0.2">
      <c r="A1641" s="23">
        <v>403.5</v>
      </c>
      <c r="B1641" s="20">
        <v>931.833331774881</v>
      </c>
      <c r="C1641" s="20">
        <v>101.903180492175</v>
      </c>
      <c r="D1641" s="20">
        <v>325.22543957523601</v>
      </c>
      <c r="E1641" s="20">
        <v>-0.289895028013537</v>
      </c>
      <c r="F1641" s="20">
        <v>-0.73669602389418898</v>
      </c>
      <c r="G1641" s="20">
        <v>0.79168185459089302</v>
      </c>
      <c r="H1641" s="20">
        <v>1.09234117532514E-2</v>
      </c>
      <c r="I1641" s="20">
        <v>149.359558696991</v>
      </c>
      <c r="L1641" s="20">
        <f t="shared" si="56"/>
        <v>937.38872214311198</v>
      </c>
      <c r="M1641" s="20">
        <f t="shared" si="57"/>
        <v>-11.904836771265142</v>
      </c>
    </row>
    <row r="1642" spans="1:13" x14ac:dyDescent="0.2">
      <c r="A1642" s="23">
        <v>403.75</v>
      </c>
      <c r="B1642" s="20">
        <v>932.158127693089</v>
      </c>
      <c r="C1642" s="20">
        <v>101.979842626292</v>
      </c>
      <c r="D1642" s="20">
        <v>325.19634703935299</v>
      </c>
      <c r="E1642" s="20">
        <v>-0.28967985981310201</v>
      </c>
      <c r="F1642" s="20">
        <v>-0.73509223682025404</v>
      </c>
      <c r="G1642" s="20">
        <v>0.79011076300398697</v>
      </c>
      <c r="H1642" s="20">
        <v>1.09256351832339E-2</v>
      </c>
      <c r="I1642" s="20">
        <v>149.413266656882</v>
      </c>
      <c r="L1642" s="20">
        <f t="shared" si="56"/>
        <v>937.71992797762834</v>
      </c>
      <c r="M1642" s="20">
        <f t="shared" si="57"/>
        <v>-11.909043085363516</v>
      </c>
    </row>
    <row r="1643" spans="1:13" x14ac:dyDescent="0.2">
      <c r="A1643" s="23">
        <v>404</v>
      </c>
      <c r="B1643" s="20">
        <v>932.482277092039</v>
      </c>
      <c r="C1643" s="20">
        <v>102.056357947051</v>
      </c>
      <c r="D1643" s="20">
        <v>325.16724783359098</v>
      </c>
      <c r="E1643" s="20">
        <v>-0.28946459815136799</v>
      </c>
      <c r="F1643" s="20">
        <v>-0.73348813571216998</v>
      </c>
      <c r="G1643" s="20">
        <v>0.78853953535219001</v>
      </c>
      <c r="H1643" s="20">
        <v>1.0927781987650801E-2</v>
      </c>
      <c r="I1643" s="20">
        <v>149.46716821007399</v>
      </c>
      <c r="L1643" s="20">
        <f t="shared" si="56"/>
        <v>938.05047694043139</v>
      </c>
      <c r="M1643" s="20">
        <f t="shared" si="57"/>
        <v>-11.913241057191131</v>
      </c>
    </row>
    <row r="1644" spans="1:13" x14ac:dyDescent="0.2">
      <c r="A1644" s="23">
        <v>404.25</v>
      </c>
      <c r="B1644" s="20">
        <v>932.80578006707105</v>
      </c>
      <c r="C1644" s="20">
        <v>102.13272581240101</v>
      </c>
      <c r="D1644" s="20">
        <v>325.13814195153901</v>
      </c>
      <c r="E1644" s="20">
        <v>-0.289249248625772</v>
      </c>
      <c r="F1644" s="20">
        <v>-0.73188373128439999</v>
      </c>
      <c r="G1644" s="20">
        <v>0.78696818483935504</v>
      </c>
      <c r="H1644" s="20">
        <v>1.09298520006905E-2</v>
      </c>
      <c r="I1644" s="20">
        <v>149.52126179602601</v>
      </c>
      <c r="L1644" s="20">
        <f t="shared" si="56"/>
        <v>938.38036904466844</v>
      </c>
      <c r="M1644" s="20">
        <f t="shared" si="57"/>
        <v>-11.91743068691496</v>
      </c>
    </row>
    <row r="1645" spans="1:13" x14ac:dyDescent="0.2">
      <c r="A1645" s="23">
        <v>404.5</v>
      </c>
      <c r="B1645" s="20">
        <v>933.12863671915795</v>
      </c>
      <c r="C1645" s="20">
        <v>102.208945580791</v>
      </c>
      <c r="D1645" s="20">
        <v>325.10902938666601</v>
      </c>
      <c r="E1645" s="20">
        <v>-0.28903381665125499</v>
      </c>
      <c r="F1645" s="20">
        <v>-0.73027903430017405</v>
      </c>
      <c r="G1645" s="20">
        <v>0.78539672465982802</v>
      </c>
      <c r="H1645" s="20">
        <v>1.0931845058554801E-2</v>
      </c>
      <c r="I1645" s="20">
        <v>149.575545857778</v>
      </c>
      <c r="L1645" s="20">
        <f t="shared" si="56"/>
        <v>938.7096043090703</v>
      </c>
      <c r="M1645" s="20">
        <f t="shared" si="57"/>
        <v>-11.92161197477288</v>
      </c>
    </row>
    <row r="1646" spans="1:13" x14ac:dyDescent="0.2">
      <c r="A1646" s="23">
        <v>404.75</v>
      </c>
      <c r="B1646" s="20">
        <v>933.45084715488201</v>
      </c>
      <c r="C1646" s="20">
        <v>102.28501661124901</v>
      </c>
      <c r="D1646" s="20">
        <v>325.07991013229901</v>
      </c>
      <c r="E1646" s="20">
        <v>-0.28881830746250298</v>
      </c>
      <c r="F1646" s="20">
        <v>-0.728674055570941</v>
      </c>
      <c r="G1646" s="20">
        <v>0.78382516799839197</v>
      </c>
      <c r="H1646" s="20">
        <v>1.09337609994182E-2</v>
      </c>
      <c r="I1646" s="20">
        <v>149.63001884189299</v>
      </c>
      <c r="L1646" s="20">
        <f t="shared" si="56"/>
        <v>939.03818275793788</v>
      </c>
      <c r="M1646" s="20">
        <f t="shared" si="57"/>
        <v>-11.925784921073515</v>
      </c>
    </row>
    <row r="1647" spans="1:13" x14ac:dyDescent="0.2">
      <c r="A1647" s="23">
        <v>405</v>
      </c>
      <c r="B1647" s="20">
        <v>933.77241148640303</v>
      </c>
      <c r="C1647" s="20">
        <v>102.360938263473</v>
      </c>
      <c r="D1647" s="20">
        <v>325.05078418160798</v>
      </c>
      <c r="E1647" s="20">
        <v>-0.28860272611617099</v>
      </c>
      <c r="F1647" s="20">
        <v>-0.72706880595582202</v>
      </c>
      <c r="G1647" s="20">
        <v>0.78225352803020998</v>
      </c>
      <c r="H1647" s="20">
        <v>1.0935599663390101E-2</v>
      </c>
      <c r="I1647" s="20">
        <v>149.68467919839901</v>
      </c>
      <c r="L1647" s="20">
        <f t="shared" si="56"/>
        <v>939.36610442112021</v>
      </c>
      <c r="M1647" s="20">
        <f t="shared" si="57"/>
        <v>-11.929949526195948</v>
      </c>
    </row>
    <row r="1648" spans="1:13" x14ac:dyDescent="0.2">
      <c r="A1648" s="23">
        <v>405.25</v>
      </c>
      <c r="B1648" s="20">
        <v>934.09332983143202</v>
      </c>
      <c r="C1648" s="20">
        <v>102.436709897911</v>
      </c>
      <c r="D1648" s="20">
        <v>325.02165152758403</v>
      </c>
      <c r="E1648" s="20">
        <v>-0.28838707749308001</v>
      </c>
      <c r="F1648" s="20">
        <v>-0.72546329636107398</v>
      </c>
      <c r="G1648" s="20">
        <v>0.78068181792076796</v>
      </c>
      <c r="H1648" s="20">
        <v>1.0937360892477E-2</v>
      </c>
      <c r="I1648" s="20">
        <v>149.739525380738</v>
      </c>
      <c r="L1648" s="20">
        <f t="shared" si="56"/>
        <v>939.69336933399791</v>
      </c>
      <c r="M1648" s="20">
        <f t="shared" si="57"/>
        <v>-11.934105790589509</v>
      </c>
    </row>
    <row r="1649" spans="1:13" x14ac:dyDescent="0.2">
      <c r="A1649" s="23">
        <v>405.5</v>
      </c>
      <c r="B1649" s="20">
        <v>934.413602313203</v>
      </c>
      <c r="C1649" s="20">
        <v>102.512330875847</v>
      </c>
      <c r="D1649" s="20">
        <v>324.99251216302201</v>
      </c>
      <c r="E1649" s="20">
        <v>-0.28817136630040002</v>
      </c>
      <c r="F1649" s="20">
        <v>-0.72385753773954598</v>
      </c>
      <c r="G1649" s="20">
        <v>0.77911005082581097</v>
      </c>
      <c r="H1649" s="20">
        <v>1.0939044530547001E-2</v>
      </c>
      <c r="I1649" s="20">
        <v>149.79455584572301</v>
      </c>
      <c r="L1649" s="20">
        <f t="shared" si="56"/>
        <v>940.0199775374648</v>
      </c>
      <c r="M1649" s="20">
        <f t="shared" si="57"/>
        <v>-11.938253714773555</v>
      </c>
    </row>
    <row r="1650" spans="1:13" x14ac:dyDescent="0.2">
      <c r="A1650" s="23">
        <v>405.75</v>
      </c>
      <c r="B1650" s="20">
        <v>934.73322906044598</v>
      </c>
      <c r="C1650" s="20">
        <v>102.587800559477</v>
      </c>
      <c r="D1650" s="20">
        <v>324.96336608050098</v>
      </c>
      <c r="E1650" s="20">
        <v>-0.28795559707381801</v>
      </c>
      <c r="F1650" s="20">
        <v>-0.72225154109015299</v>
      </c>
      <c r="G1650" s="20">
        <v>0.77753823989128701</v>
      </c>
      <c r="H1650" s="20">
        <v>1.0940650423295201E-2</v>
      </c>
      <c r="I1650" s="20">
        <v>149.84976905349799</v>
      </c>
      <c r="L1650" s="20">
        <f t="shared" si="56"/>
        <v>940.3459290779108</v>
      </c>
      <c r="M1650" s="20">
        <f t="shared" si="57"/>
        <v>-11.942393299337237</v>
      </c>
    </row>
    <row r="1651" spans="1:13" x14ac:dyDescent="0.2">
      <c r="A1651" s="23">
        <v>406</v>
      </c>
      <c r="B1651" s="20">
        <v>935.05221020736303</v>
      </c>
      <c r="C1651" s="20">
        <v>102.66311831199801</v>
      </c>
      <c r="D1651" s="20">
        <v>324.93421327236803</v>
      </c>
      <c r="E1651" s="20">
        <v>-0.287739774179674</v>
      </c>
      <c r="F1651" s="20">
        <v>-0.72064531745734095</v>
      </c>
      <c r="G1651" s="20">
        <v>0.77596639825327596</v>
      </c>
      <c r="H1651" s="20">
        <v>1.0942178418210401E-2</v>
      </c>
      <c r="I1651" s="20">
        <v>149.905163467497</v>
      </c>
      <c r="L1651" s="20">
        <f t="shared" si="56"/>
        <v>940.67122400720746</v>
      </c>
      <c r="M1651" s="20">
        <f t="shared" si="57"/>
        <v>-11.946524544939322</v>
      </c>
    </row>
    <row r="1652" spans="1:13" x14ac:dyDescent="0.2">
      <c r="A1652" s="23">
        <v>406.25</v>
      </c>
      <c r="B1652" s="20">
        <v>935.37054589359195</v>
      </c>
      <c r="C1652" s="20">
        <v>102.738283497685</v>
      </c>
      <c r="D1652" s="20">
        <v>324.90505373072</v>
      </c>
      <c r="E1652" s="20">
        <v>-0.28752390181709298</v>
      </c>
      <c r="F1652" s="20">
        <v>-0.71903887793056398</v>
      </c>
      <c r="G1652" s="20">
        <v>0.77439453903793098</v>
      </c>
      <c r="H1652" s="20">
        <v>1.09436283645427E-2</v>
      </c>
      <c r="I1652" s="20">
        <v>149.96073755442299</v>
      </c>
      <c r="L1652" s="20">
        <f t="shared" si="56"/>
        <v>940.99586238268171</v>
      </c>
      <c r="M1652" s="20">
        <f t="shared" si="57"/>
        <v>-11.950647452307861</v>
      </c>
    </row>
    <row r="1653" spans="1:13" x14ac:dyDescent="0.2">
      <c r="A1653" s="23">
        <v>406.5</v>
      </c>
      <c r="B1653" s="20">
        <v>935.688236264191</v>
      </c>
      <c r="C1653" s="20">
        <v>102.813295481968</v>
      </c>
      <c r="D1653" s="20">
        <v>324.875887447384</v>
      </c>
      <c r="E1653" s="20">
        <v>-0.287307984020093</v>
      </c>
      <c r="F1653" s="20">
        <v>-0.71743223364376296</v>
      </c>
      <c r="G1653" s="20">
        <v>0.77282267536141103</v>
      </c>
      <c r="H1653" s="20">
        <v>1.0945000113272501E-2</v>
      </c>
      <c r="I1653" s="20">
        <v>150.016489784214</v>
      </c>
      <c r="L1653" s="20">
        <f t="shared" si="56"/>
        <v>941.31984426710926</v>
      </c>
      <c r="M1653" s="20">
        <f t="shared" si="57"/>
        <v>-11.954762022240107</v>
      </c>
    </row>
    <row r="1654" spans="1:13" x14ac:dyDescent="0.2">
      <c r="A1654" s="23">
        <v>406.75</v>
      </c>
      <c r="B1654" s="20">
        <v>936.00528146960198</v>
      </c>
      <c r="C1654" s="20">
        <v>102.888153631516</v>
      </c>
      <c r="D1654" s="20">
        <v>324.84671441390401</v>
      </c>
      <c r="E1654" s="20">
        <v>-0.28709202465967598</v>
      </c>
      <c r="F1654" s="20">
        <v>-0.71582539577484505</v>
      </c>
      <c r="G1654" s="20">
        <v>0.77125082032981096</v>
      </c>
      <c r="H1654" s="20">
        <v>1.0946293517079901E-2</v>
      </c>
      <c r="I1654" s="20">
        <v>150.07241863002599</v>
      </c>
      <c r="L1654" s="20">
        <f t="shared" si="56"/>
        <v>941.64316972868824</v>
      </c>
      <c r="M1654" s="20">
        <f t="shared" si="57"/>
        <v>-11.958868255602177</v>
      </c>
    </row>
    <row r="1655" spans="1:13" x14ac:dyDescent="0.2">
      <c r="A1655" s="23">
        <v>407</v>
      </c>
      <c r="B1655" s="20">
        <v>936.32168166562803</v>
      </c>
      <c r="C1655" s="20">
        <v>102.96285731431099</v>
      </c>
      <c r="D1655" s="20">
        <v>324.81753462151897</v>
      </c>
      <c r="E1655" s="20">
        <v>-0.28687602744590601</v>
      </c>
      <c r="F1655" s="20">
        <v>-0.71421837554517598</v>
      </c>
      <c r="G1655" s="20">
        <v>0.76967898703909898</v>
      </c>
      <c r="H1655" s="20">
        <v>1.0947508430316E-2</v>
      </c>
      <c r="I1655" s="20">
        <v>150.12852256821401</v>
      </c>
      <c r="L1655" s="20">
        <f t="shared" si="56"/>
        <v>941.96583884102552</v>
      </c>
      <c r="M1655" s="20">
        <f t="shared" si="57"/>
        <v>-11.962966153328876</v>
      </c>
    </row>
    <row r="1656" spans="1:13" x14ac:dyDescent="0.2">
      <c r="A1656" s="23">
        <v>407.25</v>
      </c>
      <c r="B1656" s="20">
        <v>936.63743701340695</v>
      </c>
      <c r="C1656" s="20">
        <v>103.037405899728</v>
      </c>
      <c r="D1656" s="20">
        <v>324.78834806114799</v>
      </c>
      <c r="E1656" s="20">
        <v>-0.28665999592996699</v>
      </c>
      <c r="F1656" s="20">
        <v>-0.712611184219063</v>
      </c>
      <c r="G1656" s="20">
        <v>0.76810718857504801</v>
      </c>
      <c r="H1656" s="20">
        <v>1.0948644708973601E-2</v>
      </c>
      <c r="I1656" s="20">
        <v>150.18480007832099</v>
      </c>
      <c r="L1656" s="20">
        <f t="shared" si="56"/>
        <v>942.28785168311981</v>
      </c>
      <c r="M1656" s="20">
        <f t="shared" si="57"/>
        <v>-11.96705571642349</v>
      </c>
    </row>
    <row r="1657" spans="1:13" x14ac:dyDescent="0.2">
      <c r="A1657" s="23">
        <v>407.5</v>
      </c>
      <c r="B1657" s="20">
        <v>936.952547679384</v>
      </c>
      <c r="C1657" s="20">
        <v>103.111798758609</v>
      </c>
      <c r="D1657" s="20">
        <v>324.75915472337698</v>
      </c>
      <c r="E1657" s="20">
        <v>-0.286443933506211</v>
      </c>
      <c r="F1657" s="20">
        <v>-0.71100383310325599</v>
      </c>
      <c r="G1657" s="20">
        <v>0.76653543801316404</v>
      </c>
      <c r="H1657" s="20">
        <v>1.0949702210660099E-2</v>
      </c>
      <c r="I1657" s="20">
        <v>150.24124964306799</v>
      </c>
      <c r="L1657" s="20">
        <f t="shared" si="56"/>
        <v>942.6092083393437</v>
      </c>
      <c r="M1657" s="20">
        <f t="shared" si="57"/>
        <v>-11.97113694595755</v>
      </c>
    </row>
    <row r="1658" spans="1:13" x14ac:dyDescent="0.2">
      <c r="A1658" s="23">
        <v>407.75</v>
      </c>
      <c r="B1658" s="20">
        <v>937.26701383528405</v>
      </c>
      <c r="C1658" s="20">
        <v>103.18603526333899</v>
      </c>
      <c r="D1658" s="20">
        <v>324.72995459843702</v>
      </c>
      <c r="E1658" s="20">
        <v>-0.286227843414184</v>
      </c>
      <c r="F1658" s="20">
        <v>-0.70939633354644105</v>
      </c>
      <c r="G1658" s="20">
        <v>0.76496374841862202</v>
      </c>
      <c r="H1658" s="20">
        <v>1.09506807945704E-2</v>
      </c>
      <c r="I1658" s="20">
        <v>150.29786974834599</v>
      </c>
      <c r="L1658" s="20">
        <f t="shared" si="56"/>
        <v>942.92990889942485</v>
      </c>
      <c r="M1658" s="20">
        <f t="shared" si="57"/>
        <v>-11.975209843070598</v>
      </c>
    </row>
    <row r="1659" spans="1:13" x14ac:dyDescent="0.2">
      <c r="A1659" s="23">
        <v>408</v>
      </c>
      <c r="B1659" s="20">
        <v>937.58083565808795</v>
      </c>
      <c r="C1659" s="20">
        <v>103.260114787921</v>
      </c>
      <c r="D1659" s="20">
        <v>324.70074767619099</v>
      </c>
      <c r="E1659" s="20">
        <v>-0.28601172874064501</v>
      </c>
      <c r="F1659" s="20">
        <v>-0.70778869693874602</v>
      </c>
      <c r="G1659" s="20">
        <v>0.763392132846194</v>
      </c>
      <c r="H1659" s="20">
        <v>1.095158032146E-2</v>
      </c>
      <c r="I1659" s="20">
        <v>150.35465888322301</v>
      </c>
      <c r="L1659" s="20">
        <f t="shared" si="56"/>
        <v>943.24995345843149</v>
      </c>
      <c r="M1659" s="20">
        <f t="shared" si="57"/>
        <v>-11.979274408969998</v>
      </c>
    </row>
    <row r="1660" spans="1:13" x14ac:dyDescent="0.2">
      <c r="A1660" s="23">
        <v>408.25</v>
      </c>
      <c r="B1660" s="20">
        <v>937.89401333000296</v>
      </c>
      <c r="C1660" s="20">
        <v>103.33403670805301</v>
      </c>
      <c r="D1660" s="20">
        <v>324.67153394611802</v>
      </c>
      <c r="E1660" s="20">
        <v>-0.28579559242156499</v>
      </c>
      <c r="F1660" s="20">
        <v>-0.70618093471124599</v>
      </c>
      <c r="G1660" s="20">
        <v>0.76182060434018395</v>
      </c>
      <c r="H1660" s="20">
        <v>1.0952400653619999E-2</v>
      </c>
      <c r="I1660" s="20">
        <v>150.41161553993899</v>
      </c>
      <c r="L1660" s="20">
        <f t="shared" si="56"/>
        <v>943.56934211675241</v>
      </c>
      <c r="M1660" s="20">
        <f t="shared" si="57"/>
        <v>-11.983330644930689</v>
      </c>
    </row>
    <row r="1661" spans="1:13" x14ac:dyDescent="0.2">
      <c r="A1661" s="23">
        <v>408.5</v>
      </c>
      <c r="B1661" s="20">
        <v>938.20654703844104</v>
      </c>
      <c r="C1661" s="20">
        <v>103.407800401196</v>
      </c>
      <c r="D1661" s="20">
        <v>324.64231339729599</v>
      </c>
      <c r="E1661" s="20">
        <v>-0.285579437244116</v>
      </c>
      <c r="F1661" s="20">
        <v>-0.70457305833547401</v>
      </c>
      <c r="G1661" s="20">
        <v>0.76024917593435704</v>
      </c>
      <c r="H1661" s="20">
        <v>1.0953141654851201E-2</v>
      </c>
      <c r="I1661" s="20">
        <v>150.468738213916</v>
      </c>
      <c r="L1661" s="20">
        <f t="shared" si="56"/>
        <v>943.88807498008373</v>
      </c>
      <c r="M1661" s="20">
        <f t="shared" si="57"/>
        <v>-11.987378552295013</v>
      </c>
    </row>
    <row r="1662" spans="1:13" x14ac:dyDescent="0.2">
      <c r="A1662" s="23">
        <v>408.75</v>
      </c>
      <c r="B1662" s="20">
        <v>938.51843697598702</v>
      </c>
      <c r="C1662" s="20">
        <v>103.48140524664799</v>
      </c>
      <c r="D1662" s="20">
        <v>324.613086018388</v>
      </c>
      <c r="E1662" s="20">
        <v>-0.28536326584864702</v>
      </c>
      <c r="F1662" s="20">
        <v>-0.70296507932293595</v>
      </c>
      <c r="G1662" s="20">
        <v>0.75867786065187504</v>
      </c>
      <c r="H1662" s="20">
        <v>1.0953803190439501E-2</v>
      </c>
      <c r="I1662" s="20">
        <v>150.52602540376699</v>
      </c>
      <c r="L1662" s="20">
        <f t="shared" si="56"/>
        <v>944.20615215940563</v>
      </c>
      <c r="M1662" s="20">
        <f t="shared" si="57"/>
        <v>-11.991418132472417</v>
      </c>
    </row>
    <row r="1663" spans="1:13" x14ac:dyDescent="0.2">
      <c r="A1663" s="23">
        <v>409</v>
      </c>
      <c r="B1663" s="20">
        <v>938.82968334038003</v>
      </c>
      <c r="C1663" s="20">
        <v>103.55485062561699</v>
      </c>
      <c r="D1663" s="20">
        <v>324.58385179762598</v>
      </c>
      <c r="E1663" s="20">
        <v>-0.28514708073064299</v>
      </c>
      <c r="F1663" s="20">
        <v>-0.70135700922463196</v>
      </c>
      <c r="G1663" s="20">
        <v>0.75710667150523003</v>
      </c>
      <c r="H1663" s="20">
        <v>1.0954385127131301E-2</v>
      </c>
      <c r="I1663" s="20">
        <v>150.583475611306</v>
      </c>
      <c r="L1663" s="20">
        <f t="shared" si="56"/>
        <v>944.52357377097383</v>
      </c>
      <c r="M1663" s="20">
        <f t="shared" si="57"/>
        <v>-11.995449386939349</v>
      </c>
    </row>
    <row r="1664" spans="1:13" x14ac:dyDescent="0.2">
      <c r="A1664" s="23">
        <v>409.25</v>
      </c>
      <c r="B1664" s="20">
        <v>939.14028633448197</v>
      </c>
      <c r="C1664" s="20">
        <v>103.628135921294</v>
      </c>
      <c r="D1664" s="20">
        <v>324.55461072279599</v>
      </c>
      <c r="E1664" s="20">
        <v>-0.28493088424267798</v>
      </c>
      <c r="F1664" s="20">
        <v>-0.69974885963057798</v>
      </c>
      <c r="G1664" s="20">
        <v>0.75553562149617304</v>
      </c>
      <c r="H1664" s="20">
        <v>1.0954887333109601E-2</v>
      </c>
      <c r="I1664" s="20">
        <v>150.64108734157099</v>
      </c>
      <c r="L1664" s="20">
        <f t="shared" si="56"/>
        <v>944.84033993629578</v>
      </c>
      <c r="M1664" s="20">
        <f t="shared" si="57"/>
        <v>-11.999472317238954</v>
      </c>
    </row>
    <row r="1665" spans="1:13" x14ac:dyDescent="0.2">
      <c r="A1665" s="23">
        <v>409.5</v>
      </c>
      <c r="B1665" s="20">
        <v>939.45024616625301</v>
      </c>
      <c r="C1665" s="20">
        <v>103.70126051891501</v>
      </c>
      <c r="D1665" s="20">
        <v>324.52536278122301</v>
      </c>
      <c r="E1665" s="20">
        <v>-0.28471467859635002</v>
      </c>
      <c r="F1665" s="20">
        <v>-0.69814064216933502</v>
      </c>
      <c r="G1665" s="20">
        <v>0.75396472361565703</v>
      </c>
      <c r="H1665" s="20">
        <v>1.0955309677969901E-2</v>
      </c>
      <c r="I1665" s="20">
        <v>150.698859102836</v>
      </c>
      <c r="L1665" s="20">
        <f t="shared" si="56"/>
        <v>945.15645078211537</v>
      </c>
      <c r="M1665" s="20">
        <f t="shared" si="57"/>
        <v>-12.00348692498088</v>
      </c>
    </row>
    <row r="1666" spans="1:13" x14ac:dyDescent="0.2">
      <c r="A1666" s="23">
        <v>409.75</v>
      </c>
      <c r="B1666" s="20">
        <v>939.75956304872795</v>
      </c>
      <c r="C1666" s="20">
        <v>103.77422380583801</v>
      </c>
      <c r="D1666" s="20">
        <v>324.49610795975599</v>
      </c>
      <c r="E1666" s="20">
        <v>-0.28449846586420902</v>
      </c>
      <c r="F1666" s="20">
        <v>-0.69653236850754097</v>
      </c>
      <c r="G1666" s="20">
        <v>0.75239399084376901</v>
      </c>
      <c r="H1666" s="20">
        <v>1.0955652032696999E-2</v>
      </c>
      <c r="I1666" s="20">
        <v>150.75678940663599</v>
      </c>
      <c r="L1666" s="20">
        <f t="shared" si="56"/>
        <v>945.47190644039779</v>
      </c>
      <c r="M1666" s="20">
        <f t="shared" si="57"/>
        <v>-12.007493211841082</v>
      </c>
    </row>
    <row r="1667" spans="1:13" x14ac:dyDescent="0.2">
      <c r="A1667" s="23">
        <v>410</v>
      </c>
      <c r="B1667" s="20">
        <v>940.06823719998999</v>
      </c>
      <c r="C1667" s="20">
        <v>103.847025171609</v>
      </c>
      <c r="D1667" s="20">
        <v>324.46684624475802</v>
      </c>
      <c r="E1667" s="20">
        <v>-0.28428224798167101</v>
      </c>
      <c r="F1667" s="20">
        <v>-0.69492405034944904</v>
      </c>
      <c r="G1667" s="20">
        <v>0.75082343614966895</v>
      </c>
      <c r="H1667" s="20">
        <v>1.0955914269640699E-2</v>
      </c>
      <c r="I1667" s="20">
        <v>150.814876767794</v>
      </c>
      <c r="L1667" s="20">
        <f t="shared" si="56"/>
        <v>945.78670704831188</v>
      </c>
      <c r="M1667" s="20">
        <f t="shared" si="57"/>
        <v>-12.011491179561608</v>
      </c>
    </row>
    <row r="1668" spans="1:13" x14ac:dyDescent="0.2">
      <c r="A1668" s="23">
        <v>410.25</v>
      </c>
      <c r="B1668" s="20">
        <v>940.37626884314705</v>
      </c>
      <c r="C1668" s="20">
        <v>103.919664008029</v>
      </c>
      <c r="D1668" s="20">
        <v>324.43757762208401</v>
      </c>
      <c r="E1668" s="20">
        <v>-0.28406602674892301</v>
      </c>
      <c r="F1668" s="20">
        <v>-0.69331569943646698</v>
      </c>
      <c r="G1668" s="20">
        <v>0.74925307249152995</v>
      </c>
      <c r="H1668" s="20">
        <v>1.09560962624933E-2</v>
      </c>
      <c r="I1668" s="20">
        <v>150.87311970444401</v>
      </c>
      <c r="L1668" s="20">
        <f t="shared" si="56"/>
        <v>946.10085274821552</v>
      </c>
      <c r="M1668" s="20">
        <f t="shared" si="57"/>
        <v>-12.0154808299504</v>
      </c>
    </row>
    <row r="1669" spans="1:13" x14ac:dyDescent="0.2">
      <c r="A1669" s="23">
        <v>410.5</v>
      </c>
      <c r="B1669" s="20">
        <v>940.68365820630299</v>
      </c>
      <c r="C1669" s="20">
        <v>103.99213970922</v>
      </c>
      <c r="D1669" s="20">
        <v>324.40830207707302</v>
      </c>
      <c r="E1669" s="20">
        <v>-0.283849803832815</v>
      </c>
      <c r="F1669" s="20">
        <v>-0.69170732754670705</v>
      </c>
      <c r="G1669" s="20">
        <v>0.74768291281647903</v>
      </c>
      <c r="H1669" s="20">
        <v>1.09561978862656E-2</v>
      </c>
      <c r="I1669" s="20">
        <v>150.93151673806599</v>
      </c>
      <c r="L1669" s="20">
        <f t="shared" si="56"/>
        <v>946.41434368763385</v>
      </c>
      <c r="M1669" s="20">
        <f t="shared" si="57"/>
        <v>-12.019462164881029</v>
      </c>
    </row>
    <row r="1670" spans="1:13" x14ac:dyDescent="0.2">
      <c r="A1670" s="23">
        <v>410.75</v>
      </c>
      <c r="B1670" s="20">
        <v>940.99040552253803</v>
      </c>
      <c r="C1670" s="20">
        <v>104.064451671694</v>
      </c>
      <c r="D1670" s="20">
        <v>324.37901959453302</v>
      </c>
      <c r="E1670" s="20">
        <v>-0.28363358076874101</v>
      </c>
      <c r="F1670" s="20">
        <v>-0.69009894649453396</v>
      </c>
      <c r="G1670" s="20">
        <v>0.746112970060543</v>
      </c>
      <c r="H1670" s="20">
        <v>1.09562190172636E-2</v>
      </c>
      <c r="I1670" s="20">
        <v>150.99006639351501</v>
      </c>
      <c r="L1670" s="20">
        <f t="shared" si="56"/>
        <v>946.72718001924977</v>
      </c>
      <c r="M1670" s="20">
        <f t="shared" si="57"/>
        <v>-12.023435186292566</v>
      </c>
    </row>
    <row r="1671" spans="1:13" x14ac:dyDescent="0.2">
      <c r="A1671" s="23">
        <v>411</v>
      </c>
      <c r="B1671" s="20">
        <v>941.29651102987805</v>
      </c>
      <c r="C1671" s="20">
        <v>104.136599294417</v>
      </c>
      <c r="D1671" s="20">
        <v>324.34973015872799</v>
      </c>
      <c r="E1671" s="20">
        <v>-0.28341735896252002</v>
      </c>
      <c r="F1671" s="20">
        <v>-0.68849056813012199</v>
      </c>
      <c r="G1671" s="20">
        <v>0.74454325714858804</v>
      </c>
      <c r="H1671" s="20">
        <v>1.09561595330653E-2</v>
      </c>
      <c r="I1671" s="20">
        <v>151.048767199059</v>
      </c>
      <c r="L1671" s="20">
        <f t="shared" si="56"/>
        <v>947.03936190088075</v>
      </c>
      <c r="M1671" s="20">
        <f t="shared" si="57"/>
        <v>-12.027399896189294</v>
      </c>
    </row>
    <row r="1672" spans="1:13" x14ac:dyDescent="0.2">
      <c r="A1672" s="23">
        <v>411.25</v>
      </c>
      <c r="B1672" s="20">
        <v>941.60197497127501</v>
      </c>
      <c r="C1672" s="20">
        <v>104.208581978872</v>
      </c>
      <c r="D1672" s="20">
        <v>324.32043375336099</v>
      </c>
      <c r="E1672" s="20">
        <v>-0.28320113969225003</v>
      </c>
      <c r="F1672" s="20">
        <v>-0.68688220433901703</v>
      </c>
      <c r="G1672" s="20">
        <v>0.74297378699427596</v>
      </c>
      <c r="H1672" s="20">
        <v>1.0956019312496601E-2</v>
      </c>
      <c r="I1672" s="20">
        <v>151.10761768641399</v>
      </c>
      <c r="L1672" s="20">
        <f t="shared" si="56"/>
        <v>947.35088949546719</v>
      </c>
      <c r="M1672" s="20">
        <f t="shared" si="57"/>
        <v>-12.03135629664056</v>
      </c>
    </row>
    <row r="1673" spans="1:13" x14ac:dyDescent="0.2">
      <c r="A1673" s="23">
        <v>411.5</v>
      </c>
      <c r="B1673" s="20">
        <v>941.90679759457998</v>
      </c>
      <c r="C1673" s="20">
        <v>104.280399129125</v>
      </c>
      <c r="D1673" s="20">
        <v>324.29113036156701</v>
      </c>
      <c r="E1673" s="20">
        <v>-0.28298492411016801</v>
      </c>
      <c r="F1673" s="20">
        <v>-0.68527386704170001</v>
      </c>
      <c r="G1673" s="20">
        <v>0.74140457250001002</v>
      </c>
      <c r="H1673" s="20">
        <v>1.0955798235607999E-2</v>
      </c>
      <c r="I1673" s="20">
        <v>151.16661639078501</v>
      </c>
      <c r="L1673" s="20">
        <f t="shared" si="56"/>
        <v>947.66176297105426</v>
      </c>
      <c r="M1673" s="20">
        <f t="shared" si="57"/>
        <v>-12.035304389780531</v>
      </c>
    </row>
    <row r="1674" spans="1:13" x14ac:dyDescent="0.2">
      <c r="A1674" s="23">
        <v>411.75</v>
      </c>
      <c r="B1674" s="20">
        <v>942.21097915252199</v>
      </c>
      <c r="C1674" s="20">
        <v>104.35205015188799</v>
      </c>
      <c r="D1674" s="20">
        <v>324.26181996589401</v>
      </c>
      <c r="E1674" s="20">
        <v>-0.28276871324449598</v>
      </c>
      <c r="F1674" s="20">
        <v>-0.68366556819315905</v>
      </c>
      <c r="G1674" s="20">
        <v>0.73983562655688795</v>
      </c>
      <c r="H1674" s="20">
        <v>1.0955496183649899E-2</v>
      </c>
      <c r="I1674" s="20">
        <v>151.22576185090699</v>
      </c>
      <c r="L1674" s="20">
        <f t="shared" si="56"/>
        <v>947.97198250077849</v>
      </c>
      <c r="M1674" s="20">
        <f t="shared" si="57"/>
        <v>-12.039244177808044</v>
      </c>
    </row>
    <row r="1675" spans="1:13" x14ac:dyDescent="0.2">
      <c r="A1675" s="23">
        <v>412</v>
      </c>
      <c r="B1675" s="20">
        <v>942.51451990267799</v>
      </c>
      <c r="C1675" s="20">
        <v>104.42353445658</v>
      </c>
      <c r="D1675" s="20">
        <v>324.23250254829497</v>
      </c>
      <c r="E1675" s="20">
        <v>-0.28255250800127302</v>
      </c>
      <c r="F1675" s="20">
        <v>-0.68205731978246897</v>
      </c>
      <c r="G1675" s="20">
        <v>0.73826696204466202</v>
      </c>
      <c r="H1675" s="20">
        <v>1.09551130390486E-2</v>
      </c>
      <c r="I1675" s="20">
        <v>151.28505260908901</v>
      </c>
      <c r="L1675" s="20">
        <f t="shared" si="56"/>
        <v>948.28154826284583</v>
      </c>
      <c r="M1675" s="20">
        <f t="shared" si="57"/>
        <v>-12.043175662986314</v>
      </c>
    </row>
    <row r="1676" spans="1:13" x14ac:dyDescent="0.2">
      <c r="A1676" s="23">
        <v>412.25</v>
      </c>
      <c r="B1676" s="20">
        <v>942.81742010745404</v>
      </c>
      <c r="C1676" s="20">
        <v>104.49485145539001</v>
      </c>
      <c r="D1676" s="20">
        <v>324.20317809011499</v>
      </c>
      <c r="E1676" s="20">
        <v>-0.28233630916618502</v>
      </c>
      <c r="F1676" s="20">
        <v>-0.68044913383236505</v>
      </c>
      <c r="G1676" s="20">
        <v>0.73669859183169295</v>
      </c>
      <c r="H1676" s="20">
        <v>1.0954648685381299E-2</v>
      </c>
      <c r="I1676" s="20">
        <v>151.34448721125699</v>
      </c>
      <c r="L1676" s="20">
        <f t="shared" si="56"/>
        <v>948.59046044052093</v>
      </c>
      <c r="M1676" s="20">
        <f t="shared" si="57"/>
        <v>-12.047098847642806</v>
      </c>
    </row>
    <row r="1677" spans="1:13" x14ac:dyDescent="0.2">
      <c r="A1677" s="23">
        <v>412.5</v>
      </c>
      <c r="B1677" s="20">
        <v>943.11968003406196</v>
      </c>
      <c r="C1677" s="20">
        <v>104.56600056333799</v>
      </c>
      <c r="D1677" s="20">
        <v>324.17384657207401</v>
      </c>
      <c r="E1677" s="20">
        <v>-0.28212011740638698</v>
      </c>
      <c r="F1677" s="20">
        <v>-0.67884102239883803</v>
      </c>
      <c r="G1677" s="20">
        <v>0.73513052877492002</v>
      </c>
      <c r="H1677" s="20">
        <v>1.09541030073507E-2</v>
      </c>
      <c r="I1677" s="20">
        <v>151.404064207006</v>
      </c>
      <c r="L1677" s="20">
        <f t="shared" si="56"/>
        <v>948.89871922211148</v>
      </c>
      <c r="M1677" s="20">
        <f t="shared" si="57"/>
        <v>-12.05101373416902</v>
      </c>
    </row>
    <row r="1678" spans="1:13" x14ac:dyDescent="0.2">
      <c r="A1678" s="23">
        <v>412.75</v>
      </c>
      <c r="B1678" s="20">
        <v>943.42129995449</v>
      </c>
      <c r="C1678" s="20">
        <v>104.63698119833199</v>
      </c>
      <c r="D1678" s="20">
        <v>324.14450797426099</v>
      </c>
      <c r="E1678" s="20">
        <v>-0.281903933272312</v>
      </c>
      <c r="F1678" s="20">
        <v>-0.67723299757072297</v>
      </c>
      <c r="G1678" s="20">
        <v>0.73356278571982303</v>
      </c>
      <c r="H1678" s="20">
        <v>1.0953475890759901E-2</v>
      </c>
      <c r="I1678" s="20">
        <v>151.463782149644</v>
      </c>
      <c r="L1678" s="20">
        <f t="shared" si="56"/>
        <v>949.2063248009465</v>
      </c>
      <c r="M1678" s="20">
        <f t="shared" si="57"/>
        <v>-12.054920325020241</v>
      </c>
    </row>
    <row r="1679" spans="1:13" x14ac:dyDescent="0.2">
      <c r="A1679" s="23">
        <v>413</v>
      </c>
      <c r="B1679" s="20">
        <v>943.72228014548602</v>
      </c>
      <c r="C1679" s="20">
        <v>104.707792781233</v>
      </c>
      <c r="D1679" s="20">
        <v>324.11516227611997</v>
      </c>
      <c r="E1679" s="20">
        <v>-0.28168775719947398</v>
      </c>
      <c r="F1679" s="20">
        <v>-0.67562507146929496</v>
      </c>
      <c r="G1679" s="20">
        <v>0.73199537550039195</v>
      </c>
      <c r="H1679" s="20">
        <v>1.0952767222484901E-2</v>
      </c>
      <c r="I1679" s="20">
        <v>151.523639596245</v>
      </c>
      <c r="L1679" s="20">
        <f t="shared" si="56"/>
        <v>949.51327737536815</v>
      </c>
      <c r="M1679" s="20">
        <f t="shared" si="57"/>
        <v>-12.058818622715412</v>
      </c>
    </row>
    <row r="1680" spans="1:13" x14ac:dyDescent="0.2">
      <c r="A1680" s="23">
        <v>413.25</v>
      </c>
      <c r="B1680" s="20">
        <v>944.02262088853104</v>
      </c>
      <c r="C1680" s="20">
        <v>104.77843473590799</v>
      </c>
      <c r="D1680" s="20">
        <v>324.08580945643598</v>
      </c>
      <c r="E1680" s="20">
        <v>-0.28147158951026802</v>
      </c>
      <c r="F1680" s="20">
        <v>-0.67401725624788</v>
      </c>
      <c r="G1680" s="20">
        <v>0.73042831093910698</v>
      </c>
      <c r="H1680" s="20">
        <v>1.09519768904491E-2</v>
      </c>
      <c r="I1680" s="20">
        <v>151.583635107698</v>
      </c>
      <c r="L1680" s="20">
        <f t="shared" si="56"/>
        <v>949.81957714871203</v>
      </c>
      <c r="M1680" s="20">
        <f t="shared" si="57"/>
        <v>-12.062708629836894</v>
      </c>
    </row>
    <row r="1681" spans="1:13" x14ac:dyDescent="0.2">
      <c r="A1681" s="23">
        <v>413.5</v>
      </c>
      <c r="B1681" s="20">
        <v>944.32232246981505</v>
      </c>
      <c r="C1681" s="20">
        <v>104.848906489293</v>
      </c>
      <c r="D1681" s="20">
        <v>324.05644949332702</v>
      </c>
      <c r="E1681" s="20">
        <v>-0.28125543041575501</v>
      </c>
      <c r="F1681" s="20">
        <v>-0.67240956409145602</v>
      </c>
      <c r="G1681" s="20">
        <v>0.72886160484690998</v>
      </c>
      <c r="H1681" s="20">
        <v>1.09511047835943E-2</v>
      </c>
      <c r="I1681" s="20">
        <v>151.64376724876499</v>
      </c>
      <c r="L1681" s="20">
        <f t="shared" si="56"/>
        <v>950.1252243292912</v>
      </c>
      <c r="M1681" s="20">
        <f t="shared" si="57"/>
        <v>-12.066590349030266</v>
      </c>
    </row>
    <row r="1682" spans="1:13" x14ac:dyDescent="0.2">
      <c r="A1682" s="23">
        <v>413.75</v>
      </c>
      <c r="B1682" s="20">
        <v>944.62138518021698</v>
      </c>
      <c r="C1682" s="20">
        <v>104.919207471446</v>
      </c>
      <c r="D1682" s="20">
        <v>324.02708236423001</v>
      </c>
      <c r="E1682" s="20">
        <v>-0.28103928001744899</v>
      </c>
      <c r="F1682" s="20">
        <v>-0.67080200721627703</v>
      </c>
      <c r="G1682" s="20">
        <v>0.72729527002319505</v>
      </c>
      <c r="H1682" s="20">
        <v>1.0950150791853601E-2</v>
      </c>
      <c r="I1682" s="20">
        <v>151.70403458812899</v>
      </c>
      <c r="L1682" s="20">
        <f t="shared" si="56"/>
        <v>950.43021913038319</v>
      </c>
      <c r="M1682" s="20">
        <f t="shared" si="57"/>
        <v>-12.070463783004149</v>
      </c>
    </row>
    <row r="1683" spans="1:13" x14ac:dyDescent="0.2">
      <c r="A1683" s="23">
        <v>414</v>
      </c>
      <c r="B1683" s="20">
        <v>944.91980931527905</v>
      </c>
      <c r="C1683" s="20">
        <v>104.98933711560601</v>
      </c>
      <c r="D1683" s="20">
        <v>323.99770804589201</v>
      </c>
      <c r="E1683" s="20">
        <v>-0.28082313830908501</v>
      </c>
      <c r="F1683" s="20">
        <v>-0.66919459786948898</v>
      </c>
      <c r="G1683" s="20">
        <v>0.72572931925578898</v>
      </c>
      <c r="H1683" s="20">
        <v>1.09491148061211E-2</v>
      </c>
      <c r="I1683" s="20">
        <v>151.76443569845401</v>
      </c>
      <c r="L1683" s="20">
        <f t="shared" si="56"/>
        <v>950.73456177021228</v>
      </c>
      <c r="M1683" s="20">
        <f t="shared" si="57"/>
        <v>-12.074328934529992</v>
      </c>
    </row>
    <row r="1684" spans="1:13" x14ac:dyDescent="0.2">
      <c r="A1684" s="23">
        <v>414.25</v>
      </c>
      <c r="B1684" s="20">
        <v>945.21759517518603</v>
      </c>
      <c r="C1684" s="20">
        <v>105.05929485824799</v>
      </c>
      <c r="D1684" s="20">
        <v>323.96832651435898</v>
      </c>
      <c r="E1684" s="20">
        <v>-0.28060700517839299</v>
      </c>
      <c r="F1684" s="20">
        <v>-0.66758734832876399</v>
      </c>
      <c r="G1684" s="20">
        <v>0.72416376532095095</v>
      </c>
      <c r="H1684" s="20">
        <v>1.09479967182228E-2</v>
      </c>
      <c r="I1684" s="20">
        <v>151.824969156441</v>
      </c>
      <c r="L1684" s="20">
        <f t="shared" si="56"/>
        <v>951.03825247193606</v>
      </c>
      <c r="M1684" s="20">
        <f t="shared" si="57"/>
        <v>-12.078185806441901</v>
      </c>
    </row>
    <row r="1685" spans="1:13" x14ac:dyDescent="0.2">
      <c r="A1685" s="23">
        <v>414.5</v>
      </c>
      <c r="B1685" s="20">
        <v>945.51474306474404</v>
      </c>
      <c r="C1685" s="20">
        <v>105.129080139137</v>
      </c>
      <c r="D1685" s="20">
        <v>323.93893774496399</v>
      </c>
      <c r="E1685" s="20">
        <v>-0.28039088040885701</v>
      </c>
      <c r="F1685" s="20">
        <v>-0.66598027090193002</v>
      </c>
      <c r="G1685" s="20">
        <v>0.72259862098336503</v>
      </c>
      <c r="H1685" s="20">
        <v>1.0946796420885301E-2</v>
      </c>
      <c r="I1685" s="20">
        <v>151.885633542883</v>
      </c>
      <c r="L1685" s="20">
        <f t="shared" si="56"/>
        <v>951.34129146363136</v>
      </c>
      <c r="M1685" s="20">
        <f t="shared" si="57"/>
        <v>-12.082034401636447</v>
      </c>
    </row>
    <row r="1686" spans="1:13" x14ac:dyDescent="0.2">
      <c r="A1686" s="23">
        <v>414.75</v>
      </c>
      <c r="B1686" s="20">
        <v>945.81125329335396</v>
      </c>
      <c r="C1686" s="20">
        <v>105.198692401386</v>
      </c>
      <c r="D1686" s="20">
        <v>323.90954171231601</v>
      </c>
      <c r="E1686" s="20">
        <v>-0.28017476368147298</v>
      </c>
      <c r="F1686" s="20">
        <v>-0.66437337792661499</v>
      </c>
      <c r="G1686" s="20">
        <v>0.72103389899615</v>
      </c>
      <c r="H1686" s="20">
        <v>1.0945513807703601E-2</v>
      </c>
      <c r="I1686" s="20">
        <v>151.94642744272701</v>
      </c>
      <c r="L1686" s="20">
        <f t="shared" si="56"/>
        <v>951.64367897827515</v>
      </c>
      <c r="M1686" s="20">
        <f t="shared" si="57"/>
        <v>-12.085874723072438</v>
      </c>
    </row>
    <row r="1687" spans="1:13" x14ac:dyDescent="0.2">
      <c r="A1687" s="23">
        <v>415</v>
      </c>
      <c r="B1687" s="20">
        <v>946.10712617499405</v>
      </c>
      <c r="C1687" s="20">
        <v>105.268131091505</v>
      </c>
      <c r="D1687" s="20">
        <v>323.88013839029298</v>
      </c>
      <c r="E1687" s="20">
        <v>-0.27995865457649399</v>
      </c>
      <c r="F1687" s="20">
        <v>-0.66276668176989595</v>
      </c>
      <c r="G1687" s="20">
        <v>0.71946961210085802</v>
      </c>
      <c r="H1687" s="20">
        <v>1.09441487731086E-2</v>
      </c>
      <c r="I1687" s="20">
        <v>152.00734944512899</v>
      </c>
      <c r="L1687" s="20">
        <f t="shared" si="56"/>
        <v>951.94541525373415</v>
      </c>
      <c r="M1687" s="20">
        <f t="shared" si="57"/>
        <v>-12.089706773770782</v>
      </c>
    </row>
    <row r="1688" spans="1:13" x14ac:dyDescent="0.2">
      <c r="A1688" s="23">
        <v>415.25</v>
      </c>
      <c r="B1688" s="20">
        <v>946.40236202819494</v>
      </c>
      <c r="C1688" s="20">
        <v>105.33739565945601</v>
      </c>
      <c r="D1688" s="20">
        <v>323.85072775202701</v>
      </c>
      <c r="E1688" s="20">
        <v>-0.279742552575176</v>
      </c>
      <c r="F1688" s="20">
        <v>-0.66116019482795596</v>
      </c>
      <c r="G1688" s="20">
        <v>0.71790577302750302</v>
      </c>
      <c r="H1688" s="20">
        <v>1.09427012123328E-2</v>
      </c>
      <c r="I1688" s="20">
        <v>152.06839814351801</v>
      </c>
      <c r="L1688" s="20">
        <f t="shared" si="56"/>
        <v>952.24650053274729</v>
      </c>
      <c r="M1688" s="20">
        <f t="shared" si="57"/>
        <v>-12.093530556814265</v>
      </c>
    </row>
    <row r="1689" spans="1:13" x14ac:dyDescent="0.2">
      <c r="A1689" s="23">
        <v>415.5</v>
      </c>
      <c r="B1689" s="20">
        <v>946.69696117602098</v>
      </c>
      <c r="C1689" s="20">
        <v>105.406485558707</v>
      </c>
      <c r="D1689" s="20">
        <v>323.82130976989998</v>
      </c>
      <c r="E1689" s="20">
        <v>-0.27952645706151402</v>
      </c>
      <c r="F1689" s="20">
        <v>-0.65955392952574199</v>
      </c>
      <c r="G1689" s="20">
        <v>0.71634239449456705</v>
      </c>
      <c r="H1689" s="20">
        <v>1.0941171021374801E-2</v>
      </c>
      <c r="I1689" s="20">
        <v>152.129572135655</v>
      </c>
      <c r="L1689" s="20">
        <f t="shared" si="56"/>
        <v>952.54693506291358</v>
      </c>
      <c r="M1689" s="20">
        <f t="shared" si="57"/>
        <v>-12.097346075347392</v>
      </c>
    </row>
    <row r="1690" spans="1:13" x14ac:dyDescent="0.2">
      <c r="A1690" s="23">
        <v>415.75</v>
      </c>
      <c r="B1690" s="20">
        <v>946.99092394604702</v>
      </c>
      <c r="C1690" s="20">
        <v>105.475400246281</v>
      </c>
      <c r="D1690" s="20">
        <v>323.79188441552901</v>
      </c>
      <c r="E1690" s="20">
        <v>-0.27931036732397502</v>
      </c>
      <c r="F1690" s="20">
        <v>-0.65794789831664102</v>
      </c>
      <c r="G1690" s="20">
        <v>0.714779489209042</v>
      </c>
      <c r="H1690" s="20">
        <v>1.09395580969632E-2</v>
      </c>
      <c r="I1690" s="20">
        <v>152.19087002369201</v>
      </c>
      <c r="L1690" s="20">
        <f t="shared" si="56"/>
        <v>952.84671909667657</v>
      </c>
      <c r="M1690" s="20">
        <f t="shared" si="57"/>
        <v>-12.101153332576198</v>
      </c>
    </row>
    <row r="1691" spans="1:13" x14ac:dyDescent="0.2">
      <c r="A1691" s="23">
        <v>416</v>
      </c>
      <c r="B1691" s="20">
        <v>947.28425067033402</v>
      </c>
      <c r="C1691" s="20">
        <v>105.54413918280601</v>
      </c>
      <c r="D1691" s="20">
        <v>323.76245165976002</v>
      </c>
      <c r="E1691" s="20">
        <v>-0.27909428255722002</v>
      </c>
      <c r="F1691" s="20">
        <v>-0.656342113682154</v>
      </c>
      <c r="G1691" s="20">
        <v>0.71321706986645195</v>
      </c>
      <c r="H1691" s="20">
        <v>1.09378623365184E-2</v>
      </c>
      <c r="I1691" s="20">
        <v>152.252290414236</v>
      </c>
      <c r="L1691" s="20">
        <f t="shared" si="56"/>
        <v>953.14585289130628</v>
      </c>
      <c r="M1691" s="20">
        <f t="shared" si="57"/>
        <v>-12.104952331768009</v>
      </c>
    </row>
    <row r="1692" spans="1:13" x14ac:dyDescent="0.2">
      <c r="A1692" s="23">
        <v>416.25</v>
      </c>
      <c r="B1692" s="20">
        <v>947.57694168541605</v>
      </c>
      <c r="C1692" s="20">
        <v>105.612701832569</v>
      </c>
      <c r="D1692" s="20">
        <v>323.73301147265698</v>
      </c>
      <c r="E1692" s="20">
        <v>-0.27887820186383</v>
      </c>
      <c r="F1692" s="20">
        <v>-0.65473658813158198</v>
      </c>
      <c r="G1692" s="20">
        <v>0.711655149150899</v>
      </c>
      <c r="H1692" s="20">
        <v>1.0936083638113599E-2</v>
      </c>
      <c r="I1692" s="20">
        <v>152.31383191840999</v>
      </c>
      <c r="L1692" s="20">
        <f t="shared" ref="L1692:L1755" si="58">SQRT(B1692^2+C1692^2)</f>
        <v>953.44433670889327</v>
      </c>
      <c r="M1692" s="20">
        <f t="shared" ref="M1692:M1755" si="59">-L1692/A$25*100</f>
        <v>-12.108743076251379</v>
      </c>
    </row>
    <row r="1693" spans="1:13" x14ac:dyDescent="0.2">
      <c r="A1693" s="23">
        <v>416.5</v>
      </c>
      <c r="B1693" s="20">
        <v>947.86899733227096</v>
      </c>
      <c r="C1693" s="20">
        <v>105.681087663562</v>
      </c>
      <c r="D1693" s="20">
        <v>323.70356382349098</v>
      </c>
      <c r="E1693" s="20">
        <v>-0.278662124256016</v>
      </c>
      <c r="F1693" s="20">
        <v>-0.65313133420172398</v>
      </c>
      <c r="G1693" s="20">
        <v>0.71009373973511303</v>
      </c>
      <c r="H1693" s="20">
        <v>1.09342219004338E-2</v>
      </c>
      <c r="I1693" s="20">
        <v>152.375493151916</v>
      </c>
      <c r="L1693" s="20">
        <f t="shared" si="58"/>
        <v>953.74217081632617</v>
      </c>
      <c r="M1693" s="20">
        <f t="shared" si="59"/>
        <v>-12.112525569415793</v>
      </c>
    </row>
    <row r="1694" spans="1:13" x14ac:dyDescent="0.2">
      <c r="A1694" s="23">
        <v>416.75</v>
      </c>
      <c r="B1694" s="20">
        <v>948.16041795630599</v>
      </c>
      <c r="C1694" s="20">
        <v>105.749296147533</v>
      </c>
      <c r="D1694" s="20">
        <v>323.67410868073603</v>
      </c>
      <c r="E1694" s="20">
        <v>-0.27844604865732903</v>
      </c>
      <c r="F1694" s="20">
        <v>-0.65152636445657297</v>
      </c>
      <c r="G1694" s="20">
        <v>0.70853285428050405</v>
      </c>
      <c r="H1694" s="20">
        <v>1.0932277022733999E-2</v>
      </c>
      <c r="I1694" s="20">
        <v>152.43727273509501</v>
      </c>
      <c r="L1694" s="20">
        <f t="shared" si="58"/>
        <v>954.03935548528364</v>
      </c>
      <c r="M1694" s="20">
        <f t="shared" si="59"/>
        <v>-12.116299814711567</v>
      </c>
    </row>
    <row r="1695" spans="1:13" x14ac:dyDescent="0.2">
      <c r="A1695" s="23">
        <v>417</v>
      </c>
      <c r="B1695" s="20">
        <v>948.45120390733496</v>
      </c>
      <c r="C1695" s="20">
        <v>105.81732676003099</v>
      </c>
      <c r="D1695" s="20">
        <v>323.64464601205702</v>
      </c>
      <c r="E1695" s="20">
        <v>-0.27822997390436899</v>
      </c>
      <c r="F1695" s="20">
        <v>-0.64992169148703005</v>
      </c>
      <c r="G1695" s="20">
        <v>0.70697250543722601</v>
      </c>
      <c r="H1695" s="20">
        <v>1.09302489047951E-2</v>
      </c>
      <c r="I1695" s="20">
        <v>152.499169292993</v>
      </c>
      <c r="L1695" s="20">
        <f t="shared" si="58"/>
        <v>954.33589099221888</v>
      </c>
      <c r="M1695" s="20">
        <f t="shared" si="59"/>
        <v>-12.12006581564966</v>
      </c>
    </row>
    <row r="1696" spans="1:13" x14ac:dyDescent="0.2">
      <c r="A1696" s="23">
        <v>417.25</v>
      </c>
      <c r="B1696" s="20">
        <v>948.74135553955603</v>
      </c>
      <c r="C1696" s="20">
        <v>105.885178980457</v>
      </c>
      <c r="D1696" s="20">
        <v>323.61517578430102</v>
      </c>
      <c r="E1696" s="20">
        <v>-0.27801389874847798</v>
      </c>
      <c r="F1696" s="20">
        <v>-0.64831732791062502</v>
      </c>
      <c r="G1696" s="20">
        <v>0.70541270584424598</v>
      </c>
      <c r="H1696" s="20">
        <v>1.09281374468785E-2</v>
      </c>
      <c r="I1696" s="20">
        <v>152.56118145541799</v>
      </c>
      <c r="L1696" s="20">
        <f t="shared" si="58"/>
        <v>954.63177761834311</v>
      </c>
      <c r="M1696" s="20">
        <f t="shared" si="59"/>
        <v>-12.123823575801453</v>
      </c>
    </row>
    <row r="1697" spans="1:13" x14ac:dyDescent="0.2">
      <c r="A1697" s="23">
        <v>417.5</v>
      </c>
      <c r="B1697" s="20">
        <v>949.03087321153498</v>
      </c>
      <c r="C1697" s="20">
        <v>105.952852292109</v>
      </c>
      <c r="D1697" s="20">
        <v>323.585697963489</v>
      </c>
      <c r="E1697" s="20">
        <v>-0.27779782185744001</v>
      </c>
      <c r="F1697" s="20">
        <v>-0.64671328637124004</v>
      </c>
      <c r="G1697" s="20">
        <v>0.70385346812942995</v>
      </c>
      <c r="H1697" s="20">
        <v>1.09259425496788E-2</v>
      </c>
      <c r="I1697" s="20">
        <v>152.62330785701101</v>
      </c>
      <c r="L1697" s="20">
        <f t="shared" si="58"/>
        <v>954.92701564961601</v>
      </c>
      <c r="M1697" s="20">
        <f t="shared" si="59"/>
        <v>-12.127573098798635</v>
      </c>
    </row>
    <row r="1698" spans="1:13" x14ac:dyDescent="0.2">
      <c r="A1698" s="23">
        <v>417.75</v>
      </c>
      <c r="B1698" s="20">
        <v>949.31975728618704</v>
      </c>
      <c r="C1698" s="20">
        <v>106.02034618222601</v>
      </c>
      <c r="D1698" s="20">
        <v>323.55621251480898</v>
      </c>
      <c r="E1698" s="20">
        <v>-0.277581741817165</v>
      </c>
      <c r="F1698" s="20">
        <v>-0.64510957953885195</v>
      </c>
      <c r="G1698" s="20">
        <v>0.70229480490962304</v>
      </c>
      <c r="H1698" s="20">
        <v>1.09236641142749E-2</v>
      </c>
      <c r="I1698" s="20">
        <v>152.68554713729799</v>
      </c>
      <c r="L1698" s="20">
        <f t="shared" si="58"/>
        <v>955.22160537673358</v>
      </c>
      <c r="M1698" s="20">
        <f t="shared" si="59"/>
        <v>-12.131314388333042</v>
      </c>
    </row>
    <row r="1699" spans="1:13" x14ac:dyDescent="0.2">
      <c r="A1699" s="23">
        <v>418</v>
      </c>
      <c r="B1699" s="20">
        <v>949.60800813075105</v>
      </c>
      <c r="C1699" s="20">
        <v>106.087660142037</v>
      </c>
      <c r="D1699" s="20">
        <v>323.52671940260802</v>
      </c>
      <c r="E1699" s="20">
        <v>-0.27736565713338102</v>
      </c>
      <c r="F1699" s="20">
        <v>-0.64350622010927805</v>
      </c>
      <c r="G1699" s="20">
        <v>0.700736728790751</v>
      </c>
      <c r="H1699" s="20">
        <v>1.0921302042078701E-2</v>
      </c>
      <c r="I1699" s="20">
        <v>152.74789794076</v>
      </c>
      <c r="L1699" s="20">
        <f t="shared" si="58"/>
        <v>955.51554709510867</v>
      </c>
      <c r="M1699" s="20">
        <f t="shared" si="59"/>
        <v>-12.135047448156421</v>
      </c>
    </row>
    <row r="1700" spans="1:13" x14ac:dyDescent="0.2">
      <c r="A1700" s="23">
        <v>418.25</v>
      </c>
      <c r="B1700" s="20">
        <v>949.89562611677604</v>
      </c>
      <c r="C1700" s="20">
        <v>106.15479366680501</v>
      </c>
      <c r="D1700" s="20">
        <v>323.49721859038198</v>
      </c>
      <c r="E1700" s="20">
        <v>-0.277149566233306</v>
      </c>
      <c r="F1700" s="20">
        <v>-0.64190322080393003</v>
      </c>
      <c r="G1700" s="20">
        <v>0.699179252367923</v>
      </c>
      <c r="H1700" s="20">
        <v>1.09188562347827E-2</v>
      </c>
      <c r="I1700" s="20">
        <v>152.81035891689299</v>
      </c>
      <c r="L1700" s="20">
        <f t="shared" si="58"/>
        <v>955.80884110486443</v>
      </c>
      <c r="M1700" s="20">
        <f t="shared" si="59"/>
        <v>-12.138772282080334</v>
      </c>
    </row>
    <row r="1701" spans="1:13" x14ac:dyDescent="0.2">
      <c r="A1701" s="23">
        <v>418.5</v>
      </c>
      <c r="B1701" s="20">
        <v>950.18261162010003</v>
      </c>
      <c r="C1701" s="20">
        <v>106.221746255868</v>
      </c>
      <c r="D1701" s="20">
        <v>323.46771004076999</v>
      </c>
      <c r="E1701" s="20">
        <v>-0.276933467467329</v>
      </c>
      <c r="F1701" s="20">
        <v>-0.64030059436958497</v>
      </c>
      <c r="G1701" s="20">
        <v>0.697622388225551</v>
      </c>
      <c r="H1701" s="20">
        <v>1.0916326594304301E-2</v>
      </c>
      <c r="I1701" s="20">
        <v>152.872928720266</v>
      </c>
      <c r="L1701" s="20">
        <f t="shared" si="58"/>
        <v>956.10148771081811</v>
      </c>
      <c r="M1701" s="20">
        <f t="shared" si="59"/>
        <v>-12.14248889397596</v>
      </c>
    </row>
    <row r="1702" spans="1:13" x14ac:dyDescent="0.2">
      <c r="A1702" s="23">
        <v>418.75</v>
      </c>
      <c r="B1702" s="20">
        <v>950.46896502083302</v>
      </c>
      <c r="C1702" s="20">
        <v>106.28851741268601</v>
      </c>
      <c r="D1702" s="20">
        <v>323.43819371554599</v>
      </c>
      <c r="E1702" s="20">
        <v>-0.27671735911067802</v>
      </c>
      <c r="F1702" s="20">
        <v>-0.63869835357816096</v>
      </c>
      <c r="G1702" s="20">
        <v>0.69606614893747099</v>
      </c>
      <c r="H1702" s="20">
        <v>1.0913713022729201E-2</v>
      </c>
      <c r="I1702" s="20">
        <v>152.93560601058601</v>
      </c>
      <c r="L1702" s="20">
        <f t="shared" si="58"/>
        <v>956.39348722247189</v>
      </c>
      <c r="M1702" s="20">
        <f t="shared" si="59"/>
        <v>-12.146197287773978</v>
      </c>
    </row>
    <row r="1703" spans="1:13" x14ac:dyDescent="0.2">
      <c r="A1703" s="23">
        <v>419</v>
      </c>
      <c r="B1703" s="20">
        <v>950.75468670333396</v>
      </c>
      <c r="C1703" s="20">
        <v>106.35510664488</v>
      </c>
      <c r="D1703" s="20">
        <v>323.40866957561298</v>
      </c>
      <c r="E1703" s="20">
        <v>-0.27650123936508803</v>
      </c>
      <c r="F1703" s="20">
        <v>-0.63709651122650701</v>
      </c>
      <c r="G1703" s="20">
        <v>0.69451054706708204</v>
      </c>
      <c r="H1703" s="20">
        <v>1.09110154222517E-2</v>
      </c>
      <c r="I1703" s="20">
        <v>152.998389452759</v>
      </c>
      <c r="L1703" s="20">
        <f t="shared" si="58"/>
        <v>956.68483995399367</v>
      </c>
      <c r="M1703" s="20">
        <f t="shared" si="59"/>
        <v>-12.149897467464319</v>
      </c>
    </row>
    <row r="1704" spans="1:13" x14ac:dyDescent="0.2">
      <c r="A1704" s="23">
        <v>419.25</v>
      </c>
      <c r="B1704" s="20">
        <v>951.03977705620002</v>
      </c>
      <c r="C1704" s="20">
        <v>106.42151346427799</v>
      </c>
      <c r="D1704" s="20">
        <v>323.37913758099199</v>
      </c>
      <c r="E1704" s="20">
        <v>-0.276285106360461</v>
      </c>
      <c r="F1704" s="20">
        <v>-0.63549508013619904</v>
      </c>
      <c r="G1704" s="20">
        <v>0.69295559516748695</v>
      </c>
      <c r="H1704" s="20">
        <v>1.0908233695113199E-2</v>
      </c>
      <c r="I1704" s="20">
        <v>153.061277716945</v>
      </c>
      <c r="L1704" s="20">
        <f t="shared" si="58"/>
        <v>956.97554622421467</v>
      </c>
      <c r="M1704" s="20">
        <f t="shared" si="59"/>
        <v>-12.153589437096141</v>
      </c>
    </row>
    <row r="1705" spans="1:13" x14ac:dyDescent="0.2">
      <c r="A1705" s="23">
        <v>419.5</v>
      </c>
      <c r="B1705" s="20">
        <v>951.32423647224095</v>
      </c>
      <c r="C1705" s="20">
        <v>106.48773738695201</v>
      </c>
      <c r="D1705" s="20">
        <v>323.34959769082201</v>
      </c>
      <c r="E1705" s="20">
        <v>-0.27606895815652199</v>
      </c>
      <c r="F1705" s="20">
        <v>-0.633894073153353</v>
      </c>
      <c r="G1705" s="20">
        <v>0.69140130578165404</v>
      </c>
      <c r="H1705" s="20">
        <v>1.09053677435376E-2</v>
      </c>
      <c r="I1705" s="20">
        <v>153.12426947862301</v>
      </c>
      <c r="L1705" s="20">
        <f t="shared" si="58"/>
        <v>957.26560635660815</v>
      </c>
      <c r="M1705" s="20">
        <f t="shared" si="59"/>
        <v>-12.157273200777553</v>
      </c>
    </row>
    <row r="1706" spans="1:13" x14ac:dyDescent="0.2">
      <c r="A1706" s="23">
        <v>419.75</v>
      </c>
      <c r="B1706" s="20">
        <v>951.60806534846597</v>
      </c>
      <c r="C1706" s="20">
        <v>106.553777933265</v>
      </c>
      <c r="D1706" s="20">
        <v>323.32004986334499</v>
      </c>
      <c r="E1706" s="20">
        <v>-0.27585279274447599</v>
      </c>
      <c r="F1706" s="20">
        <v>-0.63229350314844701</v>
      </c>
      <c r="G1706" s="20">
        <v>0.68984769144258395</v>
      </c>
      <c r="H1706" s="20">
        <v>1.09024174696651E-2</v>
      </c>
      <c r="I1706" s="20">
        <v>153.187363418648</v>
      </c>
      <c r="L1706" s="20">
        <f t="shared" si="58"/>
        <v>957.55502067928285</v>
      </c>
      <c r="M1706" s="20">
        <f t="shared" si="59"/>
        <v>-12.160948762675536</v>
      </c>
    </row>
    <row r="1707" spans="1:13" x14ac:dyDescent="0.2">
      <c r="A1707" s="23">
        <v>420</v>
      </c>
      <c r="B1707" s="20">
        <v>951.89126408606501</v>
      </c>
      <c r="C1707" s="20">
        <v>106.61963462790401</v>
      </c>
      <c r="D1707" s="20">
        <v>323.29049405590501</v>
      </c>
      <c r="E1707" s="20">
        <v>-0.27563660804865198</v>
      </c>
      <c r="F1707" s="20">
        <v>-0.63069338301615496</v>
      </c>
      <c r="G1707" s="20">
        <v>0.68829476467348505</v>
      </c>
      <c r="H1707" s="20">
        <v>1.0899382775482899E-2</v>
      </c>
      <c r="I1707" s="20">
        <v>153.25055822330501</v>
      </c>
      <c r="L1707" s="20">
        <f t="shared" si="58"/>
        <v>957.84378952496968</v>
      </c>
      <c r="M1707" s="20">
        <f t="shared" si="59"/>
        <v>-12.164616127015773</v>
      </c>
    </row>
    <row r="1708" spans="1:13" x14ac:dyDescent="0.2">
      <c r="A1708" s="23">
        <v>420.25</v>
      </c>
      <c r="B1708" s="20">
        <v>952.17383309039406</v>
      </c>
      <c r="C1708" s="20">
        <v>106.685306999923</v>
      </c>
      <c r="D1708" s="20">
        <v>323.260930224942</v>
      </c>
      <c r="E1708" s="20">
        <v>-0.27542040192814798</v>
      </c>
      <c r="F1708" s="20">
        <v>-0.62909372567519395</v>
      </c>
      <c r="G1708" s="20">
        <v>0.68674253798797003</v>
      </c>
      <c r="H1708" s="20">
        <v>1.08962635627527E-2</v>
      </c>
      <c r="I1708" s="20">
        <v>153.313852584373</v>
      </c>
      <c r="L1708" s="20">
        <f t="shared" si="58"/>
        <v>958.13191323101296</v>
      </c>
      <c r="M1708" s="20">
        <f t="shared" si="59"/>
        <v>-12.168275298082538</v>
      </c>
    </row>
    <row r="1709" spans="1:13" x14ac:dyDescent="0.2">
      <c r="A1709" s="23">
        <v>420.5</v>
      </c>
      <c r="B1709" s="20">
        <v>952.45577277095299</v>
      </c>
      <c r="C1709" s="20">
        <v>106.750794582783</v>
      </c>
      <c r="D1709" s="20">
        <v>323.23135832598098</v>
      </c>
      <c r="E1709" s="20">
        <v>-0.27520417217847298</v>
      </c>
      <c r="F1709" s="20">
        <v>-0.62749454406818295</v>
      </c>
      <c r="G1709" s="20">
        <v>0.68519102389025499</v>
      </c>
      <c r="H1709" s="20">
        <v>1.08930597329368E-2</v>
      </c>
      <c r="I1709" s="20">
        <v>153.37724519917401</v>
      </c>
      <c r="L1709" s="20">
        <f t="shared" si="58"/>
        <v>958.41939213935404</v>
      </c>
      <c r="M1709" s="20">
        <f t="shared" si="59"/>
        <v>-12.171926280218484</v>
      </c>
    </row>
    <row r="1710" spans="1:13" x14ac:dyDescent="0.2">
      <c r="A1710" s="23">
        <v>420.75</v>
      </c>
      <c r="B1710" s="20">
        <v>952.737083541375</v>
      </c>
      <c r="C1710" s="20">
        <v>106.816096914387</v>
      </c>
      <c r="D1710" s="20">
        <v>323.20177831362901</v>
      </c>
      <c r="E1710" s="20">
        <v>-0.27498791653318</v>
      </c>
      <c r="F1710" s="20">
        <v>-0.62589585116152002</v>
      </c>
      <c r="G1710" s="20">
        <v>0.68364023487537895</v>
      </c>
      <c r="H1710" s="20">
        <v>1.08897711919706E-2</v>
      </c>
      <c r="I1710" s="20">
        <v>153.44073480408599</v>
      </c>
      <c r="L1710" s="20">
        <f t="shared" si="58"/>
        <v>958.70622659652554</v>
      </c>
      <c r="M1710" s="20">
        <f t="shared" si="59"/>
        <v>-12.175569077824576</v>
      </c>
    </row>
    <row r="1711" spans="1:13" x14ac:dyDescent="0.2">
      <c r="A1711" s="23">
        <v>421</v>
      </c>
      <c r="B1711" s="20">
        <v>953.01776581940703</v>
      </c>
      <c r="C1711" s="20">
        <v>106.881213537119</v>
      </c>
      <c r="D1711" s="20">
        <v>323.17219014157098</v>
      </c>
      <c r="E1711" s="20">
        <v>-0.27477163267354299</v>
      </c>
      <c r="F1711" s="20">
        <v>-0.62429765994308595</v>
      </c>
      <c r="G1711" s="20">
        <v>0.68209018343067895</v>
      </c>
      <c r="H1711" s="20">
        <v>1.08863979283944E-2</v>
      </c>
      <c r="I1711" s="20">
        <v>153.50432069040801</v>
      </c>
      <c r="L1711" s="20">
        <f t="shared" si="58"/>
        <v>958.99241695363855</v>
      </c>
      <c r="M1711" s="20">
        <f t="shared" si="59"/>
        <v>-12.179203695359925</v>
      </c>
    </row>
    <row r="1712" spans="1:13" x14ac:dyDescent="0.2">
      <c r="A1712" s="23">
        <v>421.25</v>
      </c>
      <c r="B1712" s="20">
        <v>953.29782002690501</v>
      </c>
      <c r="C1712" s="20">
        <v>106.946143997851</v>
      </c>
      <c r="D1712" s="20">
        <v>323.142593762567</v>
      </c>
      <c r="E1712" s="20">
        <v>-0.27455531835897201</v>
      </c>
      <c r="F1712" s="20">
        <v>-0.62269998338645505</v>
      </c>
      <c r="G1712" s="20">
        <v>0.68054088205536001</v>
      </c>
      <c r="H1712" s="20">
        <v>1.08829400711133E-2</v>
      </c>
      <c r="I1712" s="20">
        <v>153.56800259791299</v>
      </c>
      <c r="L1712" s="20">
        <f t="shared" si="58"/>
        <v>959.27796356637862</v>
      </c>
      <c r="M1712" s="20">
        <f t="shared" si="59"/>
        <v>-12.182830137341739</v>
      </c>
    </row>
    <row r="1713" spans="1:13" x14ac:dyDescent="0.2">
      <c r="A1713" s="23">
        <v>421.5</v>
      </c>
      <c r="B1713" s="20">
        <v>953.57724658984296</v>
      </c>
      <c r="C1713" s="20">
        <v>107.010887847915</v>
      </c>
      <c r="D1713" s="20">
        <v>323.112989128469</v>
      </c>
      <c r="E1713" s="20">
        <v>-0.27433897148326197</v>
      </c>
      <c r="F1713" s="20">
        <v>-0.62110283441798597</v>
      </c>
      <c r="G1713" s="20">
        <v>0.67899234325325897</v>
      </c>
      <c r="H1713" s="20">
        <v>1.0879397821565299E-2</v>
      </c>
      <c r="I1713" s="20">
        <v>153.631780272231</v>
      </c>
      <c r="L1713" s="20">
        <f t="shared" si="58"/>
        <v>959.56286679501363</v>
      </c>
      <c r="M1713" s="20">
        <f t="shared" si="59"/>
        <v>-12.18644840834542</v>
      </c>
    </row>
    <row r="1714" spans="1:13" x14ac:dyDescent="0.2">
      <c r="A1714" s="23">
        <v>421.75</v>
      </c>
      <c r="B1714" s="20">
        <v>953.85604593831795</v>
      </c>
      <c r="C1714" s="20">
        <v>107.07544464305199</v>
      </c>
      <c r="D1714" s="20">
        <v>323.08337619022899</v>
      </c>
      <c r="E1714" s="20">
        <v>-0.27412259003676998</v>
      </c>
      <c r="F1714" s="20">
        <v>-0.619506225916167</v>
      </c>
      <c r="G1714" s="20">
        <v>0.67744457951729198</v>
      </c>
      <c r="H1714" s="20">
        <v>1.0875771381994999E-2</v>
      </c>
      <c r="I1714" s="20">
        <v>153.69565345128899</v>
      </c>
      <c r="L1714" s="20">
        <f t="shared" si="58"/>
        <v>959.84712700439422</v>
      </c>
      <c r="M1714" s="20">
        <f t="shared" si="59"/>
        <v>-12.190058513004567</v>
      </c>
    </row>
    <row r="1715" spans="1:13" x14ac:dyDescent="0.2">
      <c r="A1715" s="23">
        <v>422</v>
      </c>
      <c r="B1715" s="20">
        <v>954.134218506553</v>
      </c>
      <c r="C1715" s="20">
        <v>107.139813943389</v>
      </c>
      <c r="D1715" s="20">
        <v>323.05375489791402</v>
      </c>
      <c r="E1715" s="20">
        <v>-0.27390617210572998</v>
      </c>
      <c r="F1715" s="20">
        <v>-0.61791017071694898</v>
      </c>
      <c r="G1715" s="20">
        <v>0.67589760333430904</v>
      </c>
      <c r="H1715" s="20">
        <v>1.08720609552813E-2</v>
      </c>
      <c r="I1715" s="20">
        <v>153.75962186610499</v>
      </c>
      <c r="L1715" s="20">
        <f t="shared" si="58"/>
        <v>960.13074456395498</v>
      </c>
      <c r="M1715" s="20">
        <f t="shared" si="59"/>
        <v>-12.193660456011003</v>
      </c>
    </row>
    <row r="1716" spans="1:13" x14ac:dyDescent="0.2">
      <c r="A1716" s="23">
        <v>422.25</v>
      </c>
      <c r="B1716" s="20">
        <v>954.41176473289204</v>
      </c>
      <c r="C1716" s="20">
        <v>107.203995313397</v>
      </c>
      <c r="D1716" s="20">
        <v>323.02412520071601</v>
      </c>
      <c r="E1716" s="20">
        <v>-0.27368971587089003</v>
      </c>
      <c r="F1716" s="20">
        <v>-0.61631468161384695</v>
      </c>
      <c r="G1716" s="20">
        <v>0.67435142718486596</v>
      </c>
      <c r="H1716" s="20">
        <v>1.08682667450089E-2</v>
      </c>
      <c r="I1716" s="20">
        <v>153.823685240608</v>
      </c>
      <c r="L1716" s="20">
        <f t="shared" si="58"/>
        <v>960.41371984770603</v>
      </c>
      <c r="M1716" s="20">
        <f t="shared" si="59"/>
        <v>-12.197254242114656</v>
      </c>
    </row>
    <row r="1717" spans="1:13" x14ac:dyDescent="0.2">
      <c r="A1717" s="23">
        <v>422.5</v>
      </c>
      <c r="B1717" s="20">
        <v>954.68868505980697</v>
      </c>
      <c r="C1717" s="20">
        <v>107.267988321865</v>
      </c>
      <c r="D1717" s="20">
        <v>322.99448704696198</v>
      </c>
      <c r="E1717" s="20">
        <v>-0.27347321960614501</v>
      </c>
      <c r="F1717" s="20">
        <v>-0.61471977135801004</v>
      </c>
      <c r="G1717" s="20">
        <v>0.67280606354297501</v>
      </c>
      <c r="H1717" s="20">
        <v>1.08643889554684E-2</v>
      </c>
      <c r="I1717" s="20">
        <v>153.887843291623</v>
      </c>
      <c r="L1717" s="20">
        <f t="shared" si="58"/>
        <v>960.69605323423855</v>
      </c>
      <c r="M1717" s="20">
        <f t="shared" si="59"/>
        <v>-12.200839876123633</v>
      </c>
    </row>
    <row r="1718" spans="1:13" x14ac:dyDescent="0.2">
      <c r="A1718" s="23">
        <v>422.75</v>
      </c>
      <c r="B1718" s="20">
        <v>954.96497993389596</v>
      </c>
      <c r="C1718" s="20">
        <v>107.33179254186599</v>
      </c>
      <c r="D1718" s="20">
        <v>322.96484038412802</v>
      </c>
      <c r="E1718" s="20">
        <v>-0.27325668167718897</v>
      </c>
      <c r="F1718" s="20">
        <v>-0.61312545265829699</v>
      </c>
      <c r="G1718" s="20">
        <v>0.67126152487586399</v>
      </c>
      <c r="H1718" s="20">
        <v>1.0860427791659201E-2</v>
      </c>
      <c r="I1718" s="20">
        <v>153.95209572888399</v>
      </c>
      <c r="L1718" s="20">
        <f t="shared" si="58"/>
        <v>960.97774510672025</v>
      </c>
      <c r="M1718" s="20">
        <f t="shared" si="59"/>
        <v>-12.204417362904167</v>
      </c>
    </row>
    <row r="1719" spans="1:13" x14ac:dyDescent="0.2">
      <c r="A1719" s="23">
        <v>423</v>
      </c>
      <c r="B1719" s="20">
        <v>955.24064980588503</v>
      </c>
      <c r="C1719" s="20">
        <v>107.395407550727</v>
      </c>
      <c r="D1719" s="20">
        <v>322.93518515884398</v>
      </c>
      <c r="E1719" s="20">
        <v>-0.27304010054018102</v>
      </c>
      <c r="F1719" s="20">
        <v>-0.61153173818134399</v>
      </c>
      <c r="G1719" s="20">
        <v>0.66971782364372601</v>
      </c>
      <c r="H1719" s="20">
        <v>1.08563834592924E-2</v>
      </c>
      <c r="I1719" s="20">
        <v>154.01644225502201</v>
      </c>
      <c r="L1719" s="20">
        <f t="shared" si="58"/>
        <v>961.25879585289431</v>
      </c>
      <c r="M1719" s="20">
        <f t="shared" si="59"/>
        <v>-12.20798670738059</v>
      </c>
    </row>
    <row r="1720" spans="1:13" x14ac:dyDescent="0.2">
      <c r="A1720" s="23">
        <v>423.25</v>
      </c>
      <c r="B1720" s="20">
        <v>955.51569513062896</v>
      </c>
      <c r="C1720" s="20">
        <v>107.45883292999901</v>
      </c>
      <c r="D1720" s="20">
        <v>322.90552131691101</v>
      </c>
      <c r="E1720" s="20">
        <v>-0.27282347474040902</v>
      </c>
      <c r="F1720" s="20">
        <v>-0.60993864055163005</v>
      </c>
      <c r="G1720" s="20">
        <v>0.66817497229947298</v>
      </c>
      <c r="H1720" s="20">
        <v>1.0852256164794599E-2</v>
      </c>
      <c r="I1720" s="20">
        <v>154.08088256557599</v>
      </c>
      <c r="L1720" s="20">
        <f t="shared" si="58"/>
        <v>961.53920586507888</v>
      </c>
      <c r="M1720" s="20">
        <f t="shared" si="59"/>
        <v>-12.211547914535348</v>
      </c>
    </row>
    <row r="1721" spans="1:13" x14ac:dyDescent="0.2">
      <c r="A1721" s="23">
        <v>423.5</v>
      </c>
      <c r="B1721" s="20">
        <v>955.790116367108</v>
      </c>
      <c r="C1721" s="20">
        <v>107.522068265423</v>
      </c>
      <c r="D1721" s="20">
        <v>322.87584880330502</v>
      </c>
      <c r="E1721" s="20">
        <v>-0.27260680291098199</v>
      </c>
      <c r="F1721" s="20">
        <v>-0.60834617235153798</v>
      </c>
      <c r="G1721" s="20">
        <v>0.66663298328849196</v>
      </c>
      <c r="H1721" s="20">
        <v>1.08480461153115E-2</v>
      </c>
      <c r="I1721" s="20">
        <v>154.14541634899101</v>
      </c>
      <c r="L1721" s="20">
        <f t="shared" si="58"/>
        <v>961.81897554016064</v>
      </c>
      <c r="M1721" s="20">
        <f t="shared" si="59"/>
        <v>-12.215100989408899</v>
      </c>
    </row>
    <row r="1722" spans="1:13" x14ac:dyDescent="0.2">
      <c r="A1722" s="23">
        <v>423.75</v>
      </c>
      <c r="B1722" s="20">
        <v>956.06391397843402</v>
      </c>
      <c r="C1722" s="20">
        <v>107.58511314690401</v>
      </c>
      <c r="D1722" s="20">
        <v>322.84616756219401</v>
      </c>
      <c r="E1722" s="20">
        <v>-0.27239008377151802</v>
      </c>
      <c r="F1722" s="20">
        <v>-0.60675434612141799</v>
      </c>
      <c r="G1722" s="20">
        <v>0.66509186904839301</v>
      </c>
      <c r="H1722" s="20">
        <v>1.08437535187121E-2</v>
      </c>
      <c r="I1722" s="20">
        <v>154.21004328662599</v>
      </c>
      <c r="L1722" s="20">
        <f t="shared" si="58"/>
        <v>962.09810527959917</v>
      </c>
      <c r="M1722" s="20">
        <f t="shared" si="59"/>
        <v>-12.218645937099785</v>
      </c>
    </row>
    <row r="1723" spans="1:13" x14ac:dyDescent="0.2">
      <c r="A1723" s="23">
        <v>424</v>
      </c>
      <c r="B1723" s="20">
        <v>956.33708843184604</v>
      </c>
      <c r="C1723" s="20">
        <v>107.647967168481</v>
      </c>
      <c r="D1723" s="20">
        <v>322.81647753694199</v>
      </c>
      <c r="E1723" s="20">
        <v>-0.27217331612685702</v>
      </c>
      <c r="F1723" s="20">
        <v>-0.60516317435963696</v>
      </c>
      <c r="G1723" s="20">
        <v>0.66355164200876104</v>
      </c>
      <c r="H1723" s="20">
        <v>1.0839378583592499E-2</v>
      </c>
      <c r="I1723" s="20">
        <v>154.27476305275999</v>
      </c>
      <c r="L1723" s="20">
        <f t="shared" si="58"/>
        <v>962.37659548942008</v>
      </c>
      <c r="M1723" s="20">
        <f t="shared" si="59"/>
        <v>-12.222182762764525</v>
      </c>
    </row>
    <row r="1724" spans="1:13" x14ac:dyDescent="0.2">
      <c r="A1724" s="23">
        <v>424.25</v>
      </c>
      <c r="B1724" s="20">
        <v>956.60964019871199</v>
      </c>
      <c r="C1724" s="20">
        <v>107.71062992829501</v>
      </c>
      <c r="D1724" s="20">
        <v>322.78677867012402</v>
      </c>
      <c r="E1724" s="20">
        <v>-0.271956498865768</v>
      </c>
      <c r="F1724" s="20">
        <v>-0.60357266952263799</v>
      </c>
      <c r="G1724" s="20">
        <v>0.66201231459090704</v>
      </c>
      <c r="H1724" s="20">
        <v>1.08349215192809E-2</v>
      </c>
      <c r="I1724" s="20">
        <v>154.339575314597</v>
      </c>
      <c r="L1724" s="20">
        <f t="shared" si="58"/>
        <v>962.65444658021465</v>
      </c>
      <c r="M1724" s="20">
        <f t="shared" si="59"/>
        <v>-12.225711471617631</v>
      </c>
    </row>
    <row r="1725" spans="1:13" x14ac:dyDescent="0.2">
      <c r="A1725" s="23">
        <v>424.5</v>
      </c>
      <c r="B1725" s="20">
        <v>956.88156975452796</v>
      </c>
      <c r="C1725" s="20">
        <v>107.773101028563</v>
      </c>
      <c r="D1725" s="20">
        <v>322.75707090353302</v>
      </c>
      <c r="E1725" s="20">
        <v>-0.27173963095968801</v>
      </c>
      <c r="F1725" s="20">
        <v>-0.60198284402498303</v>
      </c>
      <c r="G1725" s="20">
        <v>0.66047389920761801</v>
      </c>
      <c r="H1725" s="20">
        <v>1.08303825358419E-2</v>
      </c>
      <c r="I1725" s="20">
        <v>154.404479732282</v>
      </c>
      <c r="L1725" s="20">
        <f t="shared" si="58"/>
        <v>962.93165896713685</v>
      </c>
      <c r="M1725" s="20">
        <f t="shared" si="59"/>
        <v>-12.229232068931555</v>
      </c>
    </row>
    <row r="1726" spans="1:13" x14ac:dyDescent="0.2">
      <c r="A1726" s="23">
        <v>424.75</v>
      </c>
      <c r="B1726" s="20">
        <v>957.15287757891497</v>
      </c>
      <c r="C1726" s="20">
        <v>107.835380075548</v>
      </c>
      <c r="D1726" s="20">
        <v>322.72735417818899</v>
      </c>
      <c r="E1726" s="20">
        <v>-0.27152271146145002</v>
      </c>
      <c r="F1726" s="20">
        <v>-0.60039371023940602</v>
      </c>
      <c r="G1726" s="20">
        <v>0.658936408262905</v>
      </c>
      <c r="H1726" s="20">
        <v>1.08257618440814E-2</v>
      </c>
      <c r="I1726" s="20">
        <v>154.469475958906</v>
      </c>
      <c r="L1726" s="20">
        <f t="shared" si="58"/>
        <v>963.20823306989814</v>
      </c>
      <c r="M1726" s="20">
        <f t="shared" si="59"/>
        <v>-12.232744560036638</v>
      </c>
    </row>
    <row r="1727" spans="1:13" x14ac:dyDescent="0.2">
      <c r="A1727" s="23">
        <v>425</v>
      </c>
      <c r="B1727" s="20">
        <v>957.42356415562301</v>
      </c>
      <c r="C1727" s="20">
        <v>107.89746667953099</v>
      </c>
      <c r="D1727" s="20">
        <v>322.69762843435399</v>
      </c>
      <c r="E1727" s="20">
        <v>-0.27130573950403902</v>
      </c>
      <c r="F1727" s="20">
        <v>-0.598805280496849</v>
      </c>
      <c r="G1727" s="20">
        <v>0.65739985415175095</v>
      </c>
      <c r="H1727" s="20">
        <v>1.08210596555519E-2</v>
      </c>
      <c r="I1727" s="20">
        <v>154.534563640519</v>
      </c>
      <c r="L1727" s="20">
        <f t="shared" si="58"/>
        <v>963.48416931276915</v>
      </c>
      <c r="M1727" s="20">
        <f t="shared" si="59"/>
        <v>-12.236248950321112</v>
      </c>
    </row>
    <row r="1728" spans="1:13" x14ac:dyDescent="0.2">
      <c r="A1728" s="23">
        <v>425.25</v>
      </c>
      <c r="B1728" s="20">
        <v>957.69362997252699</v>
      </c>
      <c r="C1728" s="20">
        <v>107.959360454785</v>
      </c>
      <c r="D1728" s="20">
        <v>322.66789361153599</v>
      </c>
      <c r="E1728" s="20">
        <v>-0.271088714299346</v>
      </c>
      <c r="F1728" s="20">
        <v>-0.59721756708650797</v>
      </c>
      <c r="G1728" s="20">
        <v>0.65586424925985998</v>
      </c>
      <c r="H1728" s="20">
        <v>1.0816276182557399E-2</v>
      </c>
      <c r="I1728" s="20">
        <v>154.599742416146</v>
      </c>
      <c r="L1728" s="20">
        <f t="shared" si="58"/>
        <v>963.75946812457391</v>
      </c>
      <c r="M1728" s="20">
        <f t="shared" si="59"/>
        <v>-12.239745245231049</v>
      </c>
    </row>
    <row r="1729" spans="1:13" x14ac:dyDescent="0.2">
      <c r="A1729" s="23">
        <v>425.5</v>
      </c>
      <c r="B1729" s="20">
        <v>957.96307552162398</v>
      </c>
      <c r="C1729" s="20">
        <v>108.021061019546</v>
      </c>
      <c r="D1729" s="20">
        <v>322.63814964850002</v>
      </c>
      <c r="E1729" s="20">
        <v>-0.27087163513694501</v>
      </c>
      <c r="F1729" s="20">
        <v>-0.59563058225586796</v>
      </c>
      <c r="G1729" s="20">
        <v>0.65432960596340695</v>
      </c>
      <c r="H1729" s="20">
        <v>1.0811411638158601E-2</v>
      </c>
      <c r="I1729" s="20">
        <v>154.66501191780301</v>
      </c>
      <c r="L1729" s="20">
        <f t="shared" si="58"/>
        <v>964.03412993868483</v>
      </c>
      <c r="M1729" s="20">
        <f t="shared" si="59"/>
        <v>-12.243233450270271</v>
      </c>
    </row>
    <row r="1730" spans="1:13" x14ac:dyDescent="0.2">
      <c r="A1730" s="23">
        <v>425.75</v>
      </c>
      <c r="B1730" s="20">
        <v>958.23190129903605</v>
      </c>
      <c r="C1730" s="20">
        <v>108.082567995985</v>
      </c>
      <c r="D1730" s="20">
        <v>322.60839648327999</v>
      </c>
      <c r="E1730" s="20">
        <v>-0.27065450138286901</v>
      </c>
      <c r="F1730" s="20">
        <v>-0.59404433821073699</v>
      </c>
      <c r="G1730" s="20">
        <v>0.652795936628777</v>
      </c>
      <c r="H1730" s="20">
        <v>1.0806466236178701E-2</v>
      </c>
      <c r="I1730" s="20">
        <v>154.730371770506</v>
      </c>
      <c r="L1730" s="20">
        <f t="shared" si="58"/>
        <v>964.30815519302348</v>
      </c>
      <c r="M1730" s="20">
        <f t="shared" si="59"/>
        <v>-12.246713571000384</v>
      </c>
    </row>
    <row r="1731" spans="1:13" x14ac:dyDescent="0.2">
      <c r="A1731" s="23">
        <v>426</v>
      </c>
      <c r="B1731" s="20">
        <v>958.50010780500497</v>
      </c>
      <c r="C1731" s="20">
        <v>108.143881010184</v>
      </c>
      <c r="D1731" s="20">
        <v>322.57863405318602</v>
      </c>
      <c r="E1731" s="20">
        <v>-0.27043731247840402</v>
      </c>
      <c r="F1731" s="20">
        <v>-0.59245884711527697</v>
      </c>
      <c r="G1731" s="20">
        <v>0.65126325361231996</v>
      </c>
      <c r="H1731" s="20">
        <v>1.0801440191208799E-2</v>
      </c>
      <c r="I1731" s="20">
        <v>154.79582159229599</v>
      </c>
      <c r="L1731" s="20">
        <f t="shared" si="58"/>
        <v>964.58154433005359</v>
      </c>
      <c r="M1731" s="20">
        <f t="shared" si="59"/>
        <v>-12.250185613040681</v>
      </c>
    </row>
    <row r="1732" spans="1:13" x14ac:dyDescent="0.2">
      <c r="A1732" s="23">
        <v>426.25</v>
      </c>
      <c r="B1732" s="20">
        <v>958.76769554389205</v>
      </c>
      <c r="C1732" s="20">
        <v>108.20499969210699</v>
      </c>
      <c r="D1732" s="20">
        <v>322.54886229481298</v>
      </c>
      <c r="E1732" s="20">
        <v>-0.27022006793888897</v>
      </c>
      <c r="F1732" s="20">
        <v>-0.59087412109203497</v>
      </c>
      <c r="G1732" s="20">
        <v>0.64973156926009301</v>
      </c>
      <c r="H1732" s="20">
        <v>1.07963337186135E-2</v>
      </c>
      <c r="I1732" s="20">
        <v>154.86136099425599</v>
      </c>
      <c r="L1732" s="20">
        <f t="shared" si="58"/>
        <v>964.85429779677827</v>
      </c>
      <c r="M1732" s="20">
        <f t="shared" si="59"/>
        <v>-12.2536495820681</v>
      </c>
    </row>
    <row r="1733" spans="1:13" x14ac:dyDescent="0.2">
      <c r="A1733" s="23">
        <v>426.5</v>
      </c>
      <c r="B1733" s="20">
        <v>959.034665024177</v>
      </c>
      <c r="C1733" s="20">
        <v>108.265923675575</v>
      </c>
      <c r="D1733" s="20">
        <v>322.51908114405001</v>
      </c>
      <c r="E1733" s="20">
        <v>-0.27000276735253398</v>
      </c>
      <c r="F1733" s="20">
        <v>-0.589290172221965</v>
      </c>
      <c r="G1733" s="20">
        <v>0.64820089590760299</v>
      </c>
      <c r="H1733" s="20">
        <v>1.0791147034536701E-2</v>
      </c>
      <c r="I1733" s="20">
        <v>154.92698958052799</v>
      </c>
      <c r="L1733" s="20">
        <f t="shared" si="58"/>
        <v>965.12641604473799</v>
      </c>
      <c r="M1733" s="20">
        <f t="shared" si="59"/>
        <v>-12.257105483817202</v>
      </c>
    </row>
    <row r="1734" spans="1:13" x14ac:dyDescent="0.2">
      <c r="A1734" s="23">
        <v>426.75</v>
      </c>
      <c r="B1734" s="20">
        <v>959.30101675845299</v>
      </c>
      <c r="C1734" s="20">
        <v>108.326652598243</v>
      </c>
      <c r="D1734" s="20">
        <v>322.48929053609299</v>
      </c>
      <c r="E1734" s="20">
        <v>-0.26978541037923498</v>
      </c>
      <c r="F1734" s="20">
        <v>-0.58770701254445501</v>
      </c>
      <c r="G1734" s="20">
        <v>0.64667124587955804</v>
      </c>
      <c r="H1734" s="20">
        <v>1.07858803559074E-2</v>
      </c>
      <c r="I1734" s="20">
        <v>154.992706948338</v>
      </c>
      <c r="L1734" s="20">
        <f t="shared" si="58"/>
        <v>965.3978995300032</v>
      </c>
      <c r="M1734" s="20">
        <f t="shared" si="59"/>
        <v>-12.260553324080083</v>
      </c>
    </row>
    <row r="1735" spans="1:13" x14ac:dyDescent="0.2">
      <c r="A1735" s="23">
        <v>427</v>
      </c>
      <c r="B1735" s="20">
        <v>959.56675126342702</v>
      </c>
      <c r="C1735" s="20">
        <v>108.38718610156999</v>
      </c>
      <c r="D1735" s="20">
        <v>322.45949040544701</v>
      </c>
      <c r="E1735" s="20">
        <v>-0.26956799674941401</v>
      </c>
      <c r="F1735" s="20">
        <v>-0.58612465405734404</v>
      </c>
      <c r="G1735" s="20">
        <v>0.64514263148960604</v>
      </c>
      <c r="H1735" s="20">
        <v>1.0780533900445701E-2</v>
      </c>
      <c r="I1735" s="20">
        <v>155.05851268801399</v>
      </c>
      <c r="L1735" s="20">
        <f t="shared" si="58"/>
        <v>965.66874871317236</v>
      </c>
      <c r="M1735" s="20">
        <f t="shared" si="59"/>
        <v>-12.263993108706345</v>
      </c>
    </row>
    <row r="1736" spans="1:13" x14ac:dyDescent="0.2">
      <c r="A1736" s="23">
        <v>427.25</v>
      </c>
      <c r="B1736" s="20">
        <v>959.83186905991499</v>
      </c>
      <c r="C1736" s="20">
        <v>108.44752383079501</v>
      </c>
      <c r="D1736" s="20">
        <v>322.42968068594098</v>
      </c>
      <c r="E1736" s="20">
        <v>-0.26935052626286299</v>
      </c>
      <c r="F1736" s="20">
        <v>-0.58454310871694304</v>
      </c>
      <c r="G1736" s="20">
        <v>0.64361506504008203</v>
      </c>
      <c r="H1736" s="20">
        <v>1.07751078866686E-2</v>
      </c>
      <c r="I1736" s="20">
        <v>155.12440638301501</v>
      </c>
      <c r="L1736" s="20">
        <f t="shared" si="58"/>
        <v>965.93896405936573</v>
      </c>
      <c r="M1736" s="20">
        <f t="shared" si="59"/>
        <v>-12.267424843603013</v>
      </c>
    </row>
    <row r="1737" spans="1:13" x14ac:dyDescent="0.2">
      <c r="A1737" s="23">
        <v>427.5</v>
      </c>
      <c r="B1737" s="20">
        <v>960.09637067284098</v>
      </c>
      <c r="C1737" s="20">
        <v>108.507665434918</v>
      </c>
      <c r="D1737" s="20">
        <v>322.39986131073402</v>
      </c>
      <c r="E1737" s="20">
        <v>-0.269132998787594</v>
      </c>
      <c r="F1737" s="20">
        <v>-0.58296238843804704</v>
      </c>
      <c r="G1737" s="20">
        <v>0.64208855882175198</v>
      </c>
      <c r="H1737" s="20">
        <v>1.07696025338958E-2</v>
      </c>
      <c r="I1737" s="20">
        <v>155.19038760995099</v>
      </c>
      <c r="L1737" s="20">
        <f t="shared" si="58"/>
        <v>966.20854603822329</v>
      </c>
      <c r="M1737" s="20">
        <f t="shared" si="59"/>
        <v>-12.270848534734521</v>
      </c>
    </row>
    <row r="1738" spans="1:13" x14ac:dyDescent="0.2">
      <c r="A1738" s="23">
        <v>427.75</v>
      </c>
      <c r="B1738" s="20">
        <v>960.36025663123496</v>
      </c>
      <c r="C1738" s="20">
        <v>108.567610566666</v>
      </c>
      <c r="D1738" s="20">
        <v>322.37003221232197</v>
      </c>
      <c r="E1738" s="20">
        <v>-0.26891541425870502</v>
      </c>
      <c r="F1738" s="20">
        <v>-0.58138250509394895</v>
      </c>
      <c r="G1738" s="20">
        <v>0.64056312511355695</v>
      </c>
      <c r="H1738" s="20">
        <v>1.07640180622562E-2</v>
      </c>
      <c r="I1738" s="20">
        <v>155.256455938611</v>
      </c>
      <c r="L1738" s="20">
        <f t="shared" si="58"/>
        <v>966.4774951238993</v>
      </c>
      <c r="M1738" s="20">
        <f t="shared" si="59"/>
        <v>-12.274264188122618</v>
      </c>
    </row>
    <row r="1739" spans="1:13" x14ac:dyDescent="0.2">
      <c r="A1739" s="23">
        <v>428</v>
      </c>
      <c r="B1739" s="20">
        <v>960.62352746822398</v>
      </c>
      <c r="C1739" s="20">
        <v>108.62735888247801</v>
      </c>
      <c r="D1739" s="20">
        <v>322.34019332255099</v>
      </c>
      <c r="E1739" s="20">
        <v>-0.26869777267725697</v>
      </c>
      <c r="F1739" s="20">
        <v>-0.57980347051644998</v>
      </c>
      <c r="G1739" s="20">
        <v>0.63903877618235305</v>
      </c>
      <c r="H1739" s="20">
        <v>1.0758354692693499E-2</v>
      </c>
      <c r="I1739" s="20">
        <v>155.322610931989</v>
      </c>
      <c r="L1739" s="20">
        <f t="shared" si="58"/>
        <v>966.7458117950531</v>
      </c>
      <c r="M1739" s="20">
        <f t="shared" si="59"/>
        <v>-12.277671809846286</v>
      </c>
    </row>
    <row r="1740" spans="1:13" x14ac:dyDescent="0.2">
      <c r="A1740" s="23">
        <v>428.25</v>
      </c>
      <c r="B1740" s="20">
        <v>960.88618372103701</v>
      </c>
      <c r="C1740" s="20">
        <v>108.686910042476</v>
      </c>
      <c r="D1740" s="20">
        <v>322.31034457262098</v>
      </c>
      <c r="E1740" s="20">
        <v>-0.26848007410915697</v>
      </c>
      <c r="F1740" s="20">
        <v>-0.57822529649586896</v>
      </c>
      <c r="G1740" s="20">
        <v>0.63751552428265901</v>
      </c>
      <c r="H1740" s="20">
        <v>1.0752612646972101E-2</v>
      </c>
      <c r="I1740" s="20">
        <v>155.38885214631301</v>
      </c>
      <c r="L1740" s="20">
        <f t="shared" si="58"/>
        <v>967.01349653485181</v>
      </c>
      <c r="M1740" s="20">
        <f t="shared" si="59"/>
        <v>-12.281071406041741</v>
      </c>
    </row>
    <row r="1741" spans="1:13" x14ac:dyDescent="0.2">
      <c r="A1741" s="23">
        <v>428.5</v>
      </c>
      <c r="B1741" s="20">
        <v>961.14822593099598</v>
      </c>
      <c r="C1741" s="20">
        <v>108.746263710443</v>
      </c>
      <c r="D1741" s="20">
        <v>322.280485893096</v>
      </c>
      <c r="E1741" s="20">
        <v>-0.26826231868405298</v>
      </c>
      <c r="F1741" s="20">
        <v>-0.57664799478104201</v>
      </c>
      <c r="G1741" s="20">
        <v>0.63599338165639796</v>
      </c>
      <c r="H1741" s="20">
        <v>1.0746792147683801E-2</v>
      </c>
      <c r="I1741" s="20">
        <v>155.45517913107199</v>
      </c>
      <c r="L1741" s="20">
        <f t="shared" si="58"/>
        <v>967.28054983095888</v>
      </c>
      <c r="M1741" s="20">
        <f t="shared" si="59"/>
        <v>-12.284462982902316</v>
      </c>
    </row>
    <row r="1742" spans="1:13" x14ac:dyDescent="0.2">
      <c r="A1742" s="23">
        <v>428.75</v>
      </c>
      <c r="B1742" s="20">
        <v>961.409654643512</v>
      </c>
      <c r="C1742" s="20">
        <v>108.80541955379999</v>
      </c>
      <c r="D1742" s="20">
        <v>322.25061721391501</v>
      </c>
      <c r="E1742" s="20">
        <v>-0.26804450659424001</v>
      </c>
      <c r="F1742" s="20">
        <v>-0.57507157707932999</v>
      </c>
      <c r="G1742" s="20">
        <v>0.634472360532638</v>
      </c>
      <c r="H1742" s="20">
        <v>1.0740893418252901E-2</v>
      </c>
      <c r="I1742" s="20">
        <v>155.52159142904799</v>
      </c>
      <c r="L1742" s="20">
        <f t="shared" si="58"/>
        <v>967.54697217552985</v>
      </c>
      <c r="M1742" s="20">
        <f t="shared" si="59"/>
        <v>-12.287846546678381</v>
      </c>
    </row>
    <row r="1743" spans="1:13" x14ac:dyDescent="0.2">
      <c r="A1743" s="23">
        <v>429</v>
      </c>
      <c r="B1743" s="20">
        <v>961.67047040808495</v>
      </c>
      <c r="C1743" s="20">
        <v>108.864377243582</v>
      </c>
      <c r="D1743" s="20">
        <v>322.220738464394</v>
      </c>
      <c r="E1743" s="20">
        <v>-0.26782663809357399</v>
      </c>
      <c r="F1743" s="20">
        <v>-0.57349605505662105</v>
      </c>
      <c r="G1743" s="20">
        <v>0.63295247312733705</v>
      </c>
      <c r="H1743" s="20">
        <v>1.0734916682943E-2</v>
      </c>
      <c r="I1743" s="20">
        <v>155.58808857634801</v>
      </c>
      <c r="L1743" s="20">
        <f t="shared" si="58"/>
        <v>967.81276406520919</v>
      </c>
      <c r="M1743" s="20">
        <f t="shared" si="59"/>
        <v>-12.291222103677322</v>
      </c>
    </row>
    <row r="1744" spans="1:13" x14ac:dyDescent="0.2">
      <c r="A1744" s="23">
        <v>429.25</v>
      </c>
      <c r="B1744" s="20">
        <v>961.93067377829595</v>
      </c>
      <c r="C1744" s="20">
        <v>108.92313645441899</v>
      </c>
      <c r="D1744" s="20">
        <v>322.19084957323901</v>
      </c>
      <c r="E1744" s="20">
        <v>-0.26760871349639698</v>
      </c>
      <c r="F1744" s="20">
        <v>-0.57192144033731995</v>
      </c>
      <c r="G1744" s="20">
        <v>0.63143373164308503</v>
      </c>
      <c r="H1744" s="20">
        <v>1.07288621668625E-2</v>
      </c>
      <c r="I1744" s="20">
        <v>155.654670102431</v>
      </c>
      <c r="L1744" s="20">
        <f t="shared" si="58"/>
        <v>968.07792600112236</v>
      </c>
      <c r="M1744" s="20">
        <f t="shared" si="59"/>
        <v>-12.294589660263433</v>
      </c>
    </row>
    <row r="1745" spans="1:13" x14ac:dyDescent="0.2">
      <c r="A1745" s="23">
        <v>429.5</v>
      </c>
      <c r="B1745" s="20">
        <v>962.19026531180498</v>
      </c>
      <c r="C1745" s="20">
        <v>108.98169686451</v>
      </c>
      <c r="D1745" s="20">
        <v>322.16095046855298</v>
      </c>
      <c r="E1745" s="20">
        <v>-0.26739073317647399</v>
      </c>
      <c r="F1745" s="20">
        <v>-0.57034774450435399</v>
      </c>
      <c r="G1745" s="20">
        <v>0.62991614826884401</v>
      </c>
      <c r="H1745" s="20">
        <v>1.07227300959704E-2</v>
      </c>
      <c r="I1745" s="20">
        <v>155.721335530148</v>
      </c>
      <c r="L1745" s="20">
        <f t="shared" si="58"/>
        <v>968.34245848887031</v>
      </c>
      <c r="M1745" s="20">
        <f t="shared" si="59"/>
        <v>-12.297949222857845</v>
      </c>
    </row>
    <row r="1746" spans="1:13" x14ac:dyDescent="0.2">
      <c r="A1746" s="23">
        <v>429.75</v>
      </c>
      <c r="B1746" s="20">
        <v>962.44924557034403</v>
      </c>
      <c r="C1746" s="20">
        <v>109.040058155602</v>
      </c>
      <c r="D1746" s="20">
        <v>322.13104107784301</v>
      </c>
      <c r="E1746" s="20">
        <v>-0.26717269756593598</v>
      </c>
      <c r="F1746" s="20">
        <v>-0.56877497909915997</v>
      </c>
      <c r="G1746" s="20">
        <v>0.62839973517969405</v>
      </c>
      <c r="H1746" s="20">
        <v>1.07165206970826E-2</v>
      </c>
      <c r="I1746" s="20">
        <v>155.78808437577001</v>
      </c>
      <c r="L1746" s="20">
        <f t="shared" si="58"/>
        <v>968.60636203852255</v>
      </c>
      <c r="M1746" s="20">
        <f t="shared" si="59"/>
        <v>-12.301300797938442</v>
      </c>
    </row>
    <row r="1747" spans="1:13" x14ac:dyDescent="0.2">
      <c r="A1747" s="23">
        <v>430</v>
      </c>
      <c r="B1747" s="20">
        <v>962.70761511971705</v>
      </c>
      <c r="C1747" s="20">
        <v>109.09822001297</v>
      </c>
      <c r="D1747" s="20">
        <v>322.10112132802698</v>
      </c>
      <c r="E1747" s="20">
        <v>-0.26695460715423502</v>
      </c>
      <c r="F1747" s="20">
        <v>-0.56720315562168</v>
      </c>
      <c r="G1747" s="20">
        <v>0.62688450453657296</v>
      </c>
      <c r="H1747" s="20">
        <v>1.07102341978775E-2</v>
      </c>
      <c r="I1747" s="20">
        <v>155.854916149026</v>
      </c>
      <c r="L1747" s="20">
        <f t="shared" si="58"/>
        <v>968.86963716461446</v>
      </c>
      <c r="M1747" s="20">
        <f t="shared" si="59"/>
        <v>-12.304644392039823</v>
      </c>
    </row>
    <row r="1748" spans="1:13" x14ac:dyDescent="0.2">
      <c r="A1748" s="23">
        <v>430.25</v>
      </c>
      <c r="B1748" s="20">
        <v>962.96537452978896</v>
      </c>
      <c r="C1748" s="20">
        <v>109.15618212539501</v>
      </c>
      <c r="D1748" s="20">
        <v>322.07119114544503</v>
      </c>
      <c r="E1748" s="20">
        <v>-0.26673646248711003</v>
      </c>
      <c r="F1748" s="20">
        <v>-0.56563228553034794</v>
      </c>
      <c r="G1748" s="20">
        <v>0.62537046848601896</v>
      </c>
      <c r="H1748" s="20">
        <v>1.0703870826901499E-2</v>
      </c>
      <c r="I1748" s="20">
        <v>155.92183035313801</v>
      </c>
      <c r="L1748" s="20">
        <f t="shared" si="58"/>
        <v>969.13228438613532</v>
      </c>
      <c r="M1748" s="20">
        <f t="shared" si="59"/>
        <v>-12.307980011753152</v>
      </c>
    </row>
    <row r="1749" spans="1:13" x14ac:dyDescent="0.2">
      <c r="A1749" s="23">
        <v>430.5</v>
      </c>
      <c r="B1749" s="20">
        <v>963.22252437448606</v>
      </c>
      <c r="C1749" s="20">
        <v>109.213944185141</v>
      </c>
      <c r="D1749" s="20">
        <v>322.04125045586102</v>
      </c>
      <c r="E1749" s="20">
        <v>-0.26651826416555902</v>
      </c>
      <c r="F1749" s="20">
        <v>-0.564062380242079</v>
      </c>
      <c r="G1749" s="20">
        <v>0.62385763915991399</v>
      </c>
      <c r="H1749" s="20">
        <v>1.0697430813575E-2</v>
      </c>
      <c r="I1749" s="20">
        <v>155.98882648486</v>
      </c>
      <c r="L1749" s="20">
        <f t="shared" si="58"/>
        <v>969.39430422652708</v>
      </c>
      <c r="M1749" s="20">
        <f t="shared" si="59"/>
        <v>-12.31130766372614</v>
      </c>
    </row>
    <row r="1750" spans="1:13" x14ac:dyDescent="0.2">
      <c r="A1750" s="23">
        <v>430.75</v>
      </c>
      <c r="B1750" s="20">
        <v>963.47906523178699</v>
      </c>
      <c r="C1750" s="20">
        <v>109.271505887936</v>
      </c>
      <c r="D1750" s="20">
        <v>322.011299184476</v>
      </c>
      <c r="E1750" s="20">
        <v>-0.26630001284482602</v>
      </c>
      <c r="F1750" s="20">
        <v>-0.56249345113225102</v>
      </c>
      <c r="G1750" s="20">
        <v>0.62234602867522604</v>
      </c>
      <c r="H1750" s="20">
        <v>1.06909143881981E-2</v>
      </c>
      <c r="I1750" s="20">
        <v>156.05590403450901</v>
      </c>
      <c r="L1750" s="20">
        <f t="shared" si="58"/>
        <v>969.65569721367353</v>
      </c>
      <c r="M1750" s="20">
        <f t="shared" si="59"/>
        <v>-12.314627354662914</v>
      </c>
    </row>
    <row r="1751" spans="1:13" x14ac:dyDescent="0.2">
      <c r="A1751" s="23">
        <v>431</v>
      </c>
      <c r="B1751" s="20">
        <v>963.73499768372005</v>
      </c>
      <c r="C1751" s="20">
        <v>109.328866932952</v>
      </c>
      <c r="D1751" s="20">
        <v>321.98133725593402</v>
      </c>
      <c r="E1751" s="20">
        <v>-0.26608170923339203</v>
      </c>
      <c r="F1751" s="20">
        <v>-0.560925509534696</v>
      </c>
      <c r="G1751" s="20">
        <v>0.620835649133747</v>
      </c>
      <c r="H1751" s="20">
        <v>1.0684321781955599E-2</v>
      </c>
      <c r="I1751" s="20">
        <v>156.123062486013</v>
      </c>
      <c r="L1751" s="20">
        <f t="shared" si="58"/>
        <v>969.9164638798967</v>
      </c>
      <c r="M1751" s="20">
        <f t="shared" si="59"/>
        <v>-12.317939091323959</v>
      </c>
    </row>
    <row r="1752" spans="1:13" x14ac:dyDescent="0.2">
      <c r="A1752" s="23">
        <v>431.25</v>
      </c>
      <c r="B1752" s="20">
        <v>963.99032231635499</v>
      </c>
      <c r="C1752" s="20">
        <v>109.38602702278401</v>
      </c>
      <c r="D1752" s="20">
        <v>321.95136459432598</v>
      </c>
      <c r="E1752" s="20">
        <v>-0.26586335409198097</v>
      </c>
      <c r="F1752" s="20">
        <v>-0.55935856674167095</v>
      </c>
      <c r="G1752" s="20">
        <v>0.61932651262184302</v>
      </c>
      <c r="H1752" s="20">
        <v>1.06776532269228E-2</v>
      </c>
      <c r="I1752" s="20">
        <v>156.190301316942</v>
      </c>
      <c r="L1752" s="20">
        <f t="shared" si="58"/>
        <v>970.17660476194703</v>
      </c>
      <c r="M1752" s="20">
        <f t="shared" si="59"/>
        <v>-12.321242880526013</v>
      </c>
    </row>
    <row r="1753" spans="1:13" x14ac:dyDescent="0.2">
      <c r="A1753" s="23">
        <v>431.5</v>
      </c>
      <c r="B1753" s="20">
        <v>964.24503971980005</v>
      </c>
      <c r="C1753" s="20">
        <v>109.44298586343101</v>
      </c>
      <c r="D1753" s="20">
        <v>321.921381123201</v>
      </c>
      <c r="E1753" s="20">
        <v>-0.26564494823257101</v>
      </c>
      <c r="F1753" s="20">
        <v>-0.55779263400384604</v>
      </c>
      <c r="G1753" s="20">
        <v>0.61781863121019098</v>
      </c>
      <c r="H1753" s="20">
        <v>1.06709089560708E-2</v>
      </c>
      <c r="I1753" s="20">
        <v>156.257619998553</v>
      </c>
      <c r="L1753" s="20">
        <f t="shared" si="58"/>
        <v>970.4361204009989</v>
      </c>
      <c r="M1753" s="20">
        <f t="shared" si="59"/>
        <v>-12.324538729141985</v>
      </c>
    </row>
    <row r="1754" spans="1:13" x14ac:dyDescent="0.2">
      <c r="A1754" s="23">
        <v>431.75</v>
      </c>
      <c r="B1754" s="20">
        <v>964.49915048819196</v>
      </c>
      <c r="C1754" s="20">
        <v>109.499743164272</v>
      </c>
      <c r="D1754" s="20">
        <v>321.89138676557099</v>
      </c>
      <c r="E1754" s="20">
        <v>-0.26542649251741601</v>
      </c>
      <c r="F1754" s="20">
        <v>-0.55622772253027897</v>
      </c>
      <c r="G1754" s="20">
        <v>0.616312016953522</v>
      </c>
      <c r="H1754" s="20">
        <v>1.06640892032717E-2</v>
      </c>
      <c r="I1754" s="20">
        <v>156.325017995829</v>
      </c>
      <c r="L1754" s="20">
        <f t="shared" si="58"/>
        <v>970.69501134263874</v>
      </c>
      <c r="M1754" s="20">
        <f t="shared" si="59"/>
        <v>-12.327826644100824</v>
      </c>
    </row>
    <row r="1755" spans="1:13" x14ac:dyDescent="0.2">
      <c r="A1755" s="23">
        <v>432</v>
      </c>
      <c r="B1755" s="20">
        <v>964.75265521969402</v>
      </c>
      <c r="C1755" s="20">
        <v>109.556298638054</v>
      </c>
      <c r="D1755" s="20">
        <v>321.86138144392203</v>
      </c>
      <c r="E1755" s="20">
        <v>-0.26520798785807997</v>
      </c>
      <c r="F1755" s="20">
        <v>-0.55466384348838904</v>
      </c>
      <c r="G1755" s="20">
        <v>0.61480668189036802</v>
      </c>
      <c r="H1755" s="20">
        <v>1.0657194203303501E-2</v>
      </c>
      <c r="I1755" s="20">
        <v>156.39249476752099</v>
      </c>
      <c r="L1755" s="20">
        <f t="shared" si="58"/>
        <v>970.95327813686299</v>
      </c>
      <c r="M1755" s="20">
        <f t="shared" si="59"/>
        <v>-12.331106632387485</v>
      </c>
    </row>
    <row r="1756" spans="1:13" x14ac:dyDescent="0.2">
      <c r="A1756" s="23">
        <v>432.25</v>
      </c>
      <c r="B1756" s="20">
        <v>965.00555451648802</v>
      </c>
      <c r="C1756" s="20">
        <v>109.612652000867</v>
      </c>
      <c r="D1756" s="20">
        <v>321.83136508021198</v>
      </c>
      <c r="E1756" s="20">
        <v>-0.26498943521447799</v>
      </c>
      <c r="F1756" s="20">
        <v>-0.55310100800393402</v>
      </c>
      <c r="G1756" s="20">
        <v>0.61330263804279905</v>
      </c>
      <c r="H1756" s="20">
        <v>1.0650224191855399E-2</v>
      </c>
      <c r="I1756" s="20">
        <v>156.46004976619199</v>
      </c>
      <c r="L1756" s="20">
        <f t="shared" ref="L1756:L1819" si="60">SQRT(B1756^2+C1756^2)</f>
        <v>971.21092133806735</v>
      </c>
      <c r="M1756" s="20">
        <f t="shared" ref="M1756:M1819" si="61">-L1756/A$25*100</f>
        <v>-12.334378701042793</v>
      </c>
    </row>
    <row r="1757" spans="1:13" x14ac:dyDescent="0.2">
      <c r="A1757" s="23">
        <v>432.5</v>
      </c>
      <c r="B1757" s="20">
        <v>965.25784898476604</v>
      </c>
      <c r="C1757" s="20">
        <v>109.668802972126</v>
      </c>
      <c r="D1757" s="20">
        <v>321.80133759589</v>
      </c>
      <c r="E1757" s="20">
        <v>-0.264770835593925</v>
      </c>
      <c r="F1757" s="20">
        <v>-0.55153922716098103</v>
      </c>
      <c r="G1757" s="20">
        <v>0.61179989741617102</v>
      </c>
      <c r="H1757" s="20">
        <v>1.06431794055323E-2</v>
      </c>
      <c r="I1757" s="20">
        <v>156.52768243825901</v>
      </c>
      <c r="L1757" s="20">
        <f t="shared" si="60"/>
        <v>971.4679415050382</v>
      </c>
      <c r="M1757" s="20">
        <f t="shared" si="61"/>
        <v>-12.337642857163337</v>
      </c>
    </row>
    <row r="1758" spans="1:13" x14ac:dyDescent="0.2">
      <c r="A1758" s="23">
        <v>432.75</v>
      </c>
      <c r="B1758" s="20">
        <v>965.50953923472605</v>
      </c>
      <c r="C1758" s="20">
        <v>109.724751274556</v>
      </c>
      <c r="D1758" s="20">
        <v>321.77129891189099</v>
      </c>
      <c r="E1758" s="20">
        <v>-0.26455219005019898</v>
      </c>
      <c r="F1758" s="20">
        <v>-0.54997851200187797</v>
      </c>
      <c r="G1758" s="20">
        <v>0.61029847199887099</v>
      </c>
      <c r="H1758" s="20">
        <v>1.06360600818601E-2</v>
      </c>
      <c r="I1758" s="20">
        <v>156.59539222403501</v>
      </c>
      <c r="L1758" s="20">
        <f t="shared" si="60"/>
        <v>971.72433920094647</v>
      </c>
      <c r="M1758" s="20">
        <f t="shared" si="61"/>
        <v>-12.340899107901384</v>
      </c>
    </row>
    <row r="1759" spans="1:13" x14ac:dyDescent="0.2">
      <c r="A1759" s="23">
        <v>433</v>
      </c>
      <c r="B1759" s="20">
        <v>965.76062588056595</v>
      </c>
      <c r="C1759" s="20">
        <v>109.780496634168</v>
      </c>
      <c r="D1759" s="20">
        <v>321.74124894865298</v>
      </c>
      <c r="E1759" s="20">
        <v>-0.264333499682607</v>
      </c>
      <c r="F1759" s="20">
        <v>-0.54841887352721996</v>
      </c>
      <c r="G1759" s="20">
        <v>0.60879837376205204</v>
      </c>
      <c r="H1759" s="20">
        <v>1.0628866459289701E-2</v>
      </c>
      <c r="I1759" s="20">
        <v>156.66317855777999</v>
      </c>
      <c r="L1759" s="20">
        <f t="shared" si="60"/>
        <v>971.98011499334029</v>
      </c>
      <c r="M1759" s="20">
        <f t="shared" si="61"/>
        <v>-12.344147460464798</v>
      </c>
    </row>
    <row r="1760" spans="1:13" x14ac:dyDescent="0.2">
      <c r="A1760" s="23">
        <v>433.25</v>
      </c>
      <c r="B1760" s="20">
        <v>966.01110954046999</v>
      </c>
      <c r="C1760" s="20">
        <v>109.836038780245</v>
      </c>
      <c r="D1760" s="20">
        <v>321.71118762611502</v>
      </c>
      <c r="E1760" s="20">
        <v>-0.26411476563506803</v>
      </c>
      <c r="F1760" s="20">
        <v>-0.54686032269581997</v>
      </c>
      <c r="G1760" s="20">
        <v>0.60729961465938997</v>
      </c>
      <c r="H1760" s="20">
        <v>1.0621598777201801E-2</v>
      </c>
      <c r="I1760" s="20">
        <v>156.73104086774001</v>
      </c>
      <c r="L1760" s="20">
        <f t="shared" si="60"/>
        <v>972.23526945413039</v>
      </c>
      <c r="M1760" s="20">
        <f t="shared" si="61"/>
        <v>-12.347387922116845</v>
      </c>
    </row>
    <row r="1761" spans="1:13" x14ac:dyDescent="0.2">
      <c r="A1761" s="23">
        <v>433.5</v>
      </c>
      <c r="B1761" s="20">
        <v>966.260990836612</v>
      </c>
      <c r="C1761" s="20">
        <v>109.891377445324</v>
      </c>
      <c r="D1761" s="20">
        <v>321.68111486372999</v>
      </c>
      <c r="E1761" s="20">
        <v>-0.26389598909519602</v>
      </c>
      <c r="F1761" s="20">
        <v>-0.54530287042467296</v>
      </c>
      <c r="G1761" s="20">
        <v>0.60580220662681605</v>
      </c>
      <c r="H1761" s="20">
        <v>1.06142572759111E-2</v>
      </c>
      <c r="I1761" s="20">
        <v>156.79897857619599</v>
      </c>
      <c r="L1761" s="20">
        <f t="shared" si="60"/>
        <v>972.48980315959193</v>
      </c>
      <c r="M1761" s="20">
        <f t="shared" si="61"/>
        <v>-12.350620500176221</v>
      </c>
    </row>
    <row r="1762" spans="1:13" x14ac:dyDescent="0.2">
      <c r="A1762" s="23">
        <v>433.75</v>
      </c>
      <c r="B1762" s="20">
        <v>966.51027039513701</v>
      </c>
      <c r="C1762" s="20">
        <v>109.946512365175</v>
      </c>
      <c r="D1762" s="20">
        <v>321.65103058046702</v>
      </c>
      <c r="E1762" s="20">
        <v>-0.26367717129340301</v>
      </c>
      <c r="F1762" s="20">
        <v>-0.54374652758891795</v>
      </c>
      <c r="G1762" s="20">
        <v>0.60430616158227002</v>
      </c>
      <c r="H1762" s="20">
        <v>1.0606842196670799E-2</v>
      </c>
      <c r="I1762" s="20">
        <v>156.86699109951201</v>
      </c>
      <c r="L1762" s="20">
        <f t="shared" si="60"/>
        <v>972.74371669034508</v>
      </c>
      <c r="M1762" s="20">
        <f t="shared" si="61"/>
        <v>-12.353845202016798</v>
      </c>
    </row>
    <row r="1763" spans="1:13" x14ac:dyDescent="0.2">
      <c r="A1763" s="23">
        <v>434</v>
      </c>
      <c r="B1763" s="20">
        <v>966.75894884616196</v>
      </c>
      <c r="C1763" s="20">
        <v>110.00144327878699</v>
      </c>
      <c r="D1763" s="20">
        <v>321.62093469482102</v>
      </c>
      <c r="E1763" s="20">
        <v>-0.263458313501999</v>
      </c>
      <c r="F1763" s="20">
        <v>-0.54219130502180501</v>
      </c>
      <c r="G1763" s="20">
        <v>0.60281149142544199</v>
      </c>
      <c r="H1763" s="20">
        <v>1.0599353781676099E-2</v>
      </c>
      <c r="I1763" s="20">
        <v>156.93507784818101</v>
      </c>
      <c r="L1763" s="20">
        <f t="shared" si="60"/>
        <v>972.99701063135456</v>
      </c>
      <c r="M1763" s="20">
        <f t="shared" si="61"/>
        <v>-12.357062035067631</v>
      </c>
    </row>
    <row r="1764" spans="1:13" x14ac:dyDescent="0.2">
      <c r="A1764" s="23">
        <v>434.25</v>
      </c>
      <c r="B1764" s="20">
        <v>967.007026823763</v>
      </c>
      <c r="C1764" s="20">
        <v>110.05616992834899</v>
      </c>
      <c r="D1764" s="20">
        <v>321.59082712481597</v>
      </c>
      <c r="E1764" s="20">
        <v>-0.26323941703431297</v>
      </c>
      <c r="F1764" s="20">
        <v>-0.54063721351465399</v>
      </c>
      <c r="G1764" s="20">
        <v>0.60131820803752001</v>
      </c>
      <c r="H1764" s="20">
        <v>1.0591792274068699E-2</v>
      </c>
      <c r="I1764" s="20">
        <v>157.00323822687301</v>
      </c>
      <c r="L1764" s="20">
        <f t="shared" si="60"/>
        <v>973.24968557191505</v>
      </c>
      <c r="M1764" s="20">
        <f t="shared" si="61"/>
        <v>-12.360271006812763</v>
      </c>
    </row>
    <row r="1765" spans="1:13" x14ac:dyDescent="0.2">
      <c r="A1765" s="23">
        <v>434.5</v>
      </c>
      <c r="B1765" s="20">
        <v>967.25450496597102</v>
      </c>
      <c r="C1765" s="20">
        <v>110.110692059233</v>
      </c>
      <c r="D1765" s="20">
        <v>321.560707788012</v>
      </c>
      <c r="E1765" s="20">
        <v>-0.263020483243811</v>
      </c>
      <c r="F1765" s="20">
        <v>-0.53908426381681096</v>
      </c>
      <c r="G1765" s="20">
        <v>0.59982632328093199</v>
      </c>
      <c r="H1765" s="20">
        <v>1.058415791794E-2</v>
      </c>
      <c r="I1765" s="20">
        <v>157.07147163448499</v>
      </c>
      <c r="L1765" s="20">
        <f t="shared" si="60"/>
        <v>973.5017421056466</v>
      </c>
      <c r="M1765" s="20">
        <f t="shared" si="61"/>
        <v>-12.363472124791167</v>
      </c>
    </row>
    <row r="1766" spans="1:13" x14ac:dyDescent="0.2">
      <c r="A1766" s="23">
        <v>434.75</v>
      </c>
      <c r="B1766" s="20">
        <v>967.50138391475798</v>
      </c>
      <c r="C1766" s="20">
        <v>110.165009419979</v>
      </c>
      <c r="D1766" s="20">
        <v>321.53057660151597</v>
      </c>
      <c r="E1766" s="20">
        <v>-0.262801513523238</v>
      </c>
      <c r="F1766" s="20">
        <v>-0.53753246663561405</v>
      </c>
      <c r="G1766" s="20">
        <v>0.59833584899909797</v>
      </c>
      <c r="H1766" s="20">
        <v>1.0576450958334999E-2</v>
      </c>
      <c r="I1766" s="20">
        <v>157.13977746419201</v>
      </c>
      <c r="L1766" s="20">
        <f t="shared" si="60"/>
        <v>973.75318083047921</v>
      </c>
      <c r="M1766" s="20">
        <f t="shared" si="61"/>
        <v>-12.366665396596552</v>
      </c>
    </row>
    <row r="1767" spans="1:13" x14ac:dyDescent="0.2">
      <c r="A1767" s="23">
        <v>435</v>
      </c>
      <c r="B1767" s="20">
        <v>967.74766431603598</v>
      </c>
      <c r="C1767" s="20">
        <v>110.219121762276</v>
      </c>
      <c r="D1767" s="20">
        <v>321.50043348198</v>
      </c>
      <c r="E1767" s="20">
        <v>-0.26258250930375199</v>
      </c>
      <c r="F1767" s="20">
        <v>-0.53598183263634203</v>
      </c>
      <c r="G1767" s="20">
        <v>0.59684679701617405</v>
      </c>
      <c r="H1767" s="20">
        <v>1.0568671641255601E-2</v>
      </c>
      <c r="I1767" s="20">
        <v>157.208155103493</v>
      </c>
      <c r="L1767" s="20">
        <f t="shared" si="60"/>
        <v>974.00400234865083</v>
      </c>
      <c r="M1767" s="20">
        <f t="shared" si="61"/>
        <v>-12.369850829877345</v>
      </c>
    </row>
    <row r="1768" spans="1:13" x14ac:dyDescent="0.2">
      <c r="A1768" s="23">
        <v>435.25</v>
      </c>
      <c r="B1768" s="20">
        <v>967.99334681964206</v>
      </c>
      <c r="C1768" s="20">
        <v>110.273028840949</v>
      </c>
      <c r="D1768" s="20">
        <v>321.47027834561197</v>
      </c>
      <c r="E1768" s="20">
        <v>-0.26236347205408</v>
      </c>
      <c r="F1768" s="20">
        <v>-0.53443237244217601</v>
      </c>
      <c r="G1768" s="20">
        <v>0.59535917913680103</v>
      </c>
      <c r="H1768" s="20">
        <v>1.0560820213664E-2</v>
      </c>
      <c r="I1768" s="20">
        <v>157.27660393426601</v>
      </c>
      <c r="L1768" s="20">
        <f t="shared" si="60"/>
        <v>974.25420726669097</v>
      </c>
      <c r="M1768" s="20">
        <f t="shared" si="61"/>
        <v>-12.373028432336469</v>
      </c>
    </row>
    <row r="1769" spans="1:13" x14ac:dyDescent="0.2">
      <c r="A1769" s="23">
        <v>435.5</v>
      </c>
      <c r="B1769" s="20">
        <v>968.23843207933498</v>
      </c>
      <c r="C1769" s="20">
        <v>110.326730413939</v>
      </c>
      <c r="D1769" s="20">
        <v>321.44011110818201</v>
      </c>
      <c r="E1769" s="20">
        <v>-0.26214440327967597</v>
      </c>
      <c r="F1769" s="20">
        <v>-0.53288409663415304</v>
      </c>
      <c r="G1769" s="20">
        <v>0.59387300714585001</v>
      </c>
      <c r="H1769" s="20">
        <v>1.0552896923485201E-2</v>
      </c>
      <c r="I1769" s="20">
        <v>157.345123332816</v>
      </c>
      <c r="L1769" s="20">
        <f t="shared" si="60"/>
        <v>974.50379619541707</v>
      </c>
      <c r="M1769" s="20">
        <f t="shared" si="61"/>
        <v>-12.376198211731301</v>
      </c>
    </row>
    <row r="1770" spans="1:13" x14ac:dyDescent="0.2">
      <c r="A1770" s="23">
        <v>435.75</v>
      </c>
      <c r="B1770" s="20">
        <v>968.48292075278096</v>
      </c>
      <c r="C1770" s="20">
        <v>110.380226242288</v>
      </c>
      <c r="D1770" s="20">
        <v>321.40993168502501</v>
      </c>
      <c r="E1770" s="20">
        <v>-0.261925304521891</v>
      </c>
      <c r="F1770" s="20">
        <v>-0.53133701575111403</v>
      </c>
      <c r="G1770" s="20">
        <v>0.59238829280817595</v>
      </c>
      <c r="H1770" s="20">
        <v>1.05449020196109E-2</v>
      </c>
      <c r="I1770" s="20">
        <v>157.41371266992999</v>
      </c>
      <c r="L1770" s="20">
        <f t="shared" si="60"/>
        <v>974.75276974991766</v>
      </c>
      <c r="M1770" s="20">
        <f t="shared" si="61"/>
        <v>-12.379360175873472</v>
      </c>
    </row>
    <row r="1771" spans="1:13" x14ac:dyDescent="0.2">
      <c r="A1771" s="23">
        <v>436</v>
      </c>
      <c r="B1771" s="20">
        <v>968.72681350155005</v>
      </c>
      <c r="C1771" s="20">
        <v>110.433516090127</v>
      </c>
      <c r="D1771" s="20">
        <v>321.379739991051</v>
      </c>
      <c r="E1771" s="20">
        <v>-0.26170617735715102</v>
      </c>
      <c r="F1771" s="20">
        <v>-0.52979114028966201</v>
      </c>
      <c r="G1771" s="20">
        <v>0.59090504786836395</v>
      </c>
      <c r="H1771" s="20">
        <v>1.05368357519013E-2</v>
      </c>
      <c r="I1771" s="20">
        <v>157.48237131092699</v>
      </c>
      <c r="L1771" s="20">
        <f t="shared" si="60"/>
        <v>975.00112854954955</v>
      </c>
      <c r="M1771" s="20">
        <f t="shared" si="61"/>
        <v>-12.382514332628809</v>
      </c>
    </row>
    <row r="1772" spans="1:13" x14ac:dyDescent="0.2">
      <c r="A1772" s="23">
        <v>436.25</v>
      </c>
      <c r="B1772" s="20">
        <v>968.97011099110205</v>
      </c>
      <c r="C1772" s="20">
        <v>110.486599724657</v>
      </c>
      <c r="D1772" s="20">
        <v>321.34953594074699</v>
      </c>
      <c r="E1772" s="20">
        <v>-0.26148702339614099</v>
      </c>
      <c r="F1772" s="20">
        <v>-0.52824648070411095</v>
      </c>
      <c r="G1772" s="20">
        <v>0.58942328405047995</v>
      </c>
      <c r="H1772" s="20">
        <v>1.0528698371188101E-2</v>
      </c>
      <c r="I1772" s="20">
        <v>157.55109861571199</v>
      </c>
      <c r="L1772" s="20">
        <f t="shared" si="60"/>
        <v>975.2488732179213</v>
      </c>
      <c r="M1772" s="20">
        <f t="shared" si="61"/>
        <v>-12.385660689917144</v>
      </c>
    </row>
    <row r="1773" spans="1:13" x14ac:dyDescent="0.2">
      <c r="A1773" s="23">
        <v>436.5</v>
      </c>
      <c r="B1773" s="20">
        <v>969.21281389078001</v>
      </c>
      <c r="C1773" s="20">
        <v>110.53947691613401</v>
      </c>
      <c r="D1773" s="20">
        <v>321.319319448182</v>
      </c>
      <c r="E1773" s="20">
        <v>-0.26126784428300398</v>
      </c>
      <c r="F1773" s="20">
        <v>-0.52670304740643104</v>
      </c>
      <c r="G1773" s="20">
        <v>0.58794301305782104</v>
      </c>
      <c r="H1773" s="20">
        <v>1.05204901292768E-2</v>
      </c>
      <c r="I1773" s="20">
        <v>157.61989393883101</v>
      </c>
      <c r="L1773" s="20">
        <f t="shared" si="60"/>
        <v>975.49600438288633</v>
      </c>
      <c r="M1773" s="20">
        <f t="shared" si="61"/>
        <v>-12.388799255712211</v>
      </c>
    </row>
    <row r="1774" spans="1:13" x14ac:dyDescent="0.2">
      <c r="A1774" s="23">
        <v>436.75</v>
      </c>
      <c r="B1774" s="20">
        <v>969.45492287380102</v>
      </c>
      <c r="C1774" s="20">
        <v>110.592147437855</v>
      </c>
      <c r="D1774" s="20">
        <v>321.28909042701798</v>
      </c>
      <c r="E1774" s="20">
        <v>-0.26104864169454101</v>
      </c>
      <c r="F1774" s="20">
        <v>-0.525160850766203</v>
      </c>
      <c r="G1774" s="20">
        <v>0.58646424657266805</v>
      </c>
      <c r="H1774" s="20">
        <v>1.0512211278949E-2</v>
      </c>
      <c r="I1774" s="20">
        <v>157.688756629523</v>
      </c>
      <c r="L1774" s="20">
        <f t="shared" si="60"/>
        <v>975.74252267653264</v>
      </c>
      <c r="M1774" s="20">
        <f t="shared" si="61"/>
        <v>-12.391930038041533</v>
      </c>
    </row>
    <row r="1775" spans="1:13" x14ac:dyDescent="0.2">
      <c r="A1775" s="23">
        <v>437</v>
      </c>
      <c r="B1775" s="20">
        <v>969.69643861724398</v>
      </c>
      <c r="C1775" s="20">
        <v>110.644611066141</v>
      </c>
      <c r="D1775" s="20">
        <v>321.25884879051102</v>
      </c>
      <c r="E1775" s="20">
        <v>-0.260829417339424</v>
      </c>
      <c r="F1775" s="20">
        <v>-0.523619901110563</v>
      </c>
      <c r="G1775" s="20">
        <v>0.58498699625603501</v>
      </c>
      <c r="H1775" s="20">
        <v>1.05038620739642E-2</v>
      </c>
      <c r="I1775" s="20">
        <v>157.75768603177499</v>
      </c>
      <c r="L1775" s="20">
        <f t="shared" si="60"/>
        <v>975.98842873516901</v>
      </c>
      <c r="M1775" s="20">
        <f t="shared" si="61"/>
        <v>-12.395053044986227</v>
      </c>
    </row>
    <row r="1776" spans="1:13" x14ac:dyDescent="0.2">
      <c r="A1776" s="23">
        <v>437.25</v>
      </c>
      <c r="B1776" s="20">
        <v>969.93736180204201</v>
      </c>
      <c r="C1776" s="20">
        <v>110.696867580329</v>
      </c>
      <c r="D1776" s="20">
        <v>321.22859445151403</v>
      </c>
      <c r="E1776" s="20">
        <v>-0.26061017295741901</v>
      </c>
      <c r="F1776" s="20">
        <v>-0.52208020872414695</v>
      </c>
      <c r="G1776" s="20">
        <v>0.58351127374742695</v>
      </c>
      <c r="H1776" s="20">
        <v>1.04954427690617E-2</v>
      </c>
      <c r="I1776" s="20">
        <v>157.82668148438</v>
      </c>
      <c r="L1776" s="20">
        <f t="shared" si="60"/>
        <v>976.23372319931775</v>
      </c>
      <c r="M1776" s="20">
        <f t="shared" si="61"/>
        <v>-12.398168284680928</v>
      </c>
    </row>
    <row r="1777" spans="1:13" x14ac:dyDescent="0.2">
      <c r="A1777" s="23">
        <v>437.5</v>
      </c>
      <c r="B1777" s="20">
        <v>970.17769311297195</v>
      </c>
      <c r="C1777" s="20">
        <v>110.74891676274601</v>
      </c>
      <c r="D1777" s="20">
        <v>321.19832732249102</v>
      </c>
      <c r="E1777" s="20">
        <v>-0.260390910318614</v>
      </c>
      <c r="F1777" s="20">
        <v>-0.52054178384904104</v>
      </c>
      <c r="G1777" s="20">
        <v>0.58203709066458797</v>
      </c>
      <c r="H1777" s="20">
        <v>1.04869536199625E-2</v>
      </c>
      <c r="I1777" s="20">
        <v>157.89574232098801</v>
      </c>
      <c r="L1777" s="20">
        <f t="shared" si="60"/>
        <v>976.47840671370182</v>
      </c>
      <c r="M1777" s="20">
        <f t="shared" si="61"/>
        <v>-12.401275765313619</v>
      </c>
    </row>
    <row r="1778" spans="1:13" x14ac:dyDescent="0.2">
      <c r="A1778" s="23">
        <v>437.75</v>
      </c>
      <c r="B1778" s="20">
        <v>970.41743323864296</v>
      </c>
      <c r="C1778" s="20">
        <v>110.800758398708</v>
      </c>
      <c r="D1778" s="20">
        <v>321.16804731551298</v>
      </c>
      <c r="E1778" s="20">
        <v>-0.26017163122265502</v>
      </c>
      <c r="F1778" s="20">
        <v>-0.51900463668471897</v>
      </c>
      <c r="G1778" s="20">
        <v>0.580564458603259</v>
      </c>
      <c r="H1778" s="20">
        <v>1.04783948833702E-2</v>
      </c>
      <c r="I1778" s="20">
        <v>157.96486787016499</v>
      </c>
      <c r="L1778" s="20">
        <f t="shared" si="60"/>
        <v>976.72247992723339</v>
      </c>
      <c r="M1778" s="20">
        <f t="shared" si="61"/>
        <v>-12.404375495125482</v>
      </c>
    </row>
    <row r="1779" spans="1:13" x14ac:dyDescent="0.2">
      <c r="A1779" s="23">
        <v>438</v>
      </c>
      <c r="B1779" s="20">
        <v>970.65658287148699</v>
      </c>
      <c r="C1779" s="20">
        <v>110.852392276494</v>
      </c>
      <c r="D1779" s="20">
        <v>321.13775434227</v>
      </c>
      <c r="E1779" s="20">
        <v>-0.25995233749799501</v>
      </c>
      <c r="F1779" s="20">
        <v>-0.51746877738799302</v>
      </c>
      <c r="G1779" s="20">
        <v>0.57909338913692998</v>
      </c>
      <c r="H1779" s="20">
        <v>1.04697668169727E-2</v>
      </c>
      <c r="I1779" s="20">
        <v>158.03405745544899</v>
      </c>
      <c r="L1779" s="20">
        <f t="shared" si="60"/>
        <v>976.96594349300312</v>
      </c>
      <c r="M1779" s="20">
        <f t="shared" si="61"/>
        <v>-12.40746748241077</v>
      </c>
    </row>
    <row r="1780" spans="1:13" x14ac:dyDescent="0.2">
      <c r="A1780" s="23">
        <v>438.25</v>
      </c>
      <c r="B1780" s="20">
        <v>970.89514270774805</v>
      </c>
      <c r="C1780" s="20">
        <v>110.90381818733999</v>
      </c>
      <c r="D1780" s="20">
        <v>321.10744831406998</v>
      </c>
      <c r="E1780" s="20">
        <v>-0.25973303100114697</v>
      </c>
      <c r="F1780" s="20">
        <v>-0.51593421607294998</v>
      </c>
      <c r="G1780" s="20">
        <v>0.57762389381660095</v>
      </c>
      <c r="H1780" s="20">
        <v>1.0461069679443401E-2</v>
      </c>
      <c r="I1780" s="20">
        <v>158.10331039540901</v>
      </c>
      <c r="L1780" s="20">
        <f t="shared" si="60"/>
        <v>977.20879806826804</v>
      </c>
      <c r="M1780" s="20">
        <f t="shared" si="61"/>
        <v>-12.410551735516647</v>
      </c>
    </row>
    <row r="1781" spans="1:13" x14ac:dyDescent="0.2">
      <c r="A1781" s="23">
        <v>438.5</v>
      </c>
      <c r="B1781" s="20">
        <v>971.13311344747206</v>
      </c>
      <c r="C1781" s="20">
        <v>110.955035925424</v>
      </c>
      <c r="D1781" s="20">
        <v>321.07712914185203</v>
      </c>
      <c r="E1781" s="20">
        <v>-0.25951371361594699</v>
      </c>
      <c r="F1781" s="20">
        <v>-0.51440096281089598</v>
      </c>
      <c r="G1781" s="20">
        <v>0.57615598417053404</v>
      </c>
      <c r="H1781" s="20">
        <v>1.04523037304415E-2</v>
      </c>
      <c r="I1781" s="20">
        <v>158.17262600369801</v>
      </c>
      <c r="L1781" s="20">
        <f t="shared" si="60"/>
        <v>977.45104431444179</v>
      </c>
      <c r="M1781" s="20">
        <f t="shared" si="61"/>
        <v>-12.413628262843066</v>
      </c>
    </row>
    <row r="1782" spans="1:13" x14ac:dyDescent="0.2">
      <c r="A1782" s="23">
        <v>438.75</v>
      </c>
      <c r="B1782" s="20">
        <v>971.37049579449604</v>
      </c>
      <c r="C1782" s="20">
        <v>111.006045287848</v>
      </c>
      <c r="D1782" s="20">
        <v>321.04679673618199</v>
      </c>
      <c r="E1782" s="20">
        <v>-0.259294387252828</v>
      </c>
      <c r="F1782" s="20">
        <v>-0.51286902763029796</v>
      </c>
      <c r="G1782" s="20">
        <v>0.57468967170401297</v>
      </c>
      <c r="H1782" s="20">
        <v>1.04434692306134E-2</v>
      </c>
      <c r="I1782" s="20">
        <v>158.24200358911401</v>
      </c>
      <c r="L1782" s="20">
        <f t="shared" si="60"/>
        <v>977.69268289708134</v>
      </c>
      <c r="M1782" s="20">
        <f t="shared" si="61"/>
        <v>-12.4166970728426</v>
      </c>
    </row>
    <row r="1783" spans="1:13" x14ac:dyDescent="0.2">
      <c r="A1783" s="23">
        <v>439</v>
      </c>
      <c r="B1783" s="20">
        <v>971.60729045643495</v>
      </c>
      <c r="C1783" s="20">
        <v>111.05684607463</v>
      </c>
      <c r="D1783" s="20">
        <v>321.01645100726398</v>
      </c>
      <c r="E1783" s="20">
        <v>-0.25907505384809199</v>
      </c>
      <c r="F1783" s="20">
        <v>-0.51133842051672196</v>
      </c>
      <c r="G1783" s="20">
        <v>0.57322496789910304</v>
      </c>
      <c r="H1783" s="20">
        <v>1.04345664415925E-2</v>
      </c>
      <c r="I1783" s="20">
        <v>158.31144245566099</v>
      </c>
      <c r="L1783" s="20">
        <f t="shared" si="60"/>
        <v>977.93371448587413</v>
      </c>
      <c r="M1783" s="20">
        <f t="shared" si="61"/>
        <v>-12.419758174020281</v>
      </c>
    </row>
    <row r="1784" spans="1:13" x14ac:dyDescent="0.2">
      <c r="A1784" s="23">
        <v>439.25</v>
      </c>
      <c r="B1784" s="20">
        <v>971.84349814467396</v>
      </c>
      <c r="C1784" s="20">
        <v>111.107438088688</v>
      </c>
      <c r="D1784" s="20">
        <v>320.98609186494599</v>
      </c>
      <c r="E1784" s="20">
        <v>-0.25885571536320701</v>
      </c>
      <c r="F1784" s="20">
        <v>-0.50980915141277305</v>
      </c>
      <c r="G1784" s="20">
        <v>0.57176188421440699</v>
      </c>
      <c r="H1784" s="20">
        <v>1.0425595625999999E-2</v>
      </c>
      <c r="I1784" s="20">
        <v>158.3809419026</v>
      </c>
      <c r="L1784" s="20">
        <f t="shared" si="60"/>
        <v>978.1741397546291</v>
      </c>
      <c r="M1784" s="20">
        <f t="shared" si="61"/>
        <v>-12.422811574933482</v>
      </c>
    </row>
    <row r="1785" spans="1:13" x14ac:dyDescent="0.2">
      <c r="A1785" s="23">
        <v>439.5</v>
      </c>
      <c r="B1785" s="20">
        <v>972.07911957435397</v>
      </c>
      <c r="C1785" s="20">
        <v>111.157821135828</v>
      </c>
      <c r="D1785" s="20">
        <v>320.955719218718</v>
      </c>
      <c r="E1785" s="20">
        <v>-0.25863637378409599</v>
      </c>
      <c r="F1785" s="20">
        <v>-0.50828123021803295</v>
      </c>
      <c r="G1785" s="20">
        <v>0.57030043208482994</v>
      </c>
      <c r="H1785" s="20">
        <v>1.04165570474449E-2</v>
      </c>
      <c r="I1785" s="20">
        <v>158.45050122451701</v>
      </c>
      <c r="L1785" s="20">
        <f t="shared" si="60"/>
        <v>978.41395938126107</v>
      </c>
      <c r="M1785" s="20">
        <f t="shared" si="61"/>
        <v>-12.425857284191718</v>
      </c>
    </row>
    <row r="1786" spans="1:13" x14ac:dyDescent="0.2">
      <c r="A1786" s="23">
        <v>439.75</v>
      </c>
      <c r="B1786" s="20">
        <v>972.31415546436199</v>
      </c>
      <c r="C1786" s="20">
        <v>111.207995024732</v>
      </c>
      <c r="D1786" s="20">
        <v>320.92533297772297</v>
      </c>
      <c r="E1786" s="20">
        <v>-0.25841703112044301</v>
      </c>
      <c r="F1786" s="20">
        <v>-0.50675466678900205</v>
      </c>
      <c r="G1786" s="20">
        <v>0.56884062292133897</v>
      </c>
      <c r="H1786" s="20">
        <v>1.0407450970523801E-2</v>
      </c>
      <c r="I1786" s="20">
        <v>158.520119711376</v>
      </c>
      <c r="L1786" s="20">
        <f t="shared" si="60"/>
        <v>978.65317404778102</v>
      </c>
      <c r="M1786" s="20">
        <f t="shared" si="61"/>
        <v>-12.428895310456536</v>
      </c>
    </row>
    <row r="1787" spans="1:13" x14ac:dyDescent="0.2">
      <c r="A1787" s="23">
        <v>440</v>
      </c>
      <c r="B1787" s="20">
        <v>972.54860653731805</v>
      </c>
      <c r="C1787" s="20">
        <v>111.257959566941</v>
      </c>
      <c r="D1787" s="20">
        <v>320.89493305075899</v>
      </c>
      <c r="E1787" s="20">
        <v>-0.25819768940500498</v>
      </c>
      <c r="F1787" s="20">
        <v>-0.50522947093903003</v>
      </c>
      <c r="G1787" s="20">
        <v>0.56738246811072302</v>
      </c>
      <c r="H1787" s="20">
        <v>1.0398277660820699E-2</v>
      </c>
      <c r="I1787" s="20">
        <v>158.589796648581</v>
      </c>
      <c r="L1787" s="20">
        <f t="shared" si="60"/>
        <v>978.8917844402813</v>
      </c>
      <c r="M1787" s="20">
        <f t="shared" si="61"/>
        <v>-12.431925662441301</v>
      </c>
    </row>
    <row r="1788" spans="1:13" x14ac:dyDescent="0.2">
      <c r="A1788" s="23">
        <v>440.25</v>
      </c>
      <c r="B1788" s="20">
        <v>972.78247351956497</v>
      </c>
      <c r="C1788" s="20">
        <v>111.30771457684899</v>
      </c>
      <c r="D1788" s="20">
        <v>320.86451934628502</v>
      </c>
      <c r="E1788" s="20">
        <v>-0.25797835069293201</v>
      </c>
      <c r="F1788" s="20">
        <v>-0.50370565243825705</v>
      </c>
      <c r="G1788" s="20">
        <v>0.56592597901536201</v>
      </c>
      <c r="H1788" s="20">
        <v>1.03890373849066E-2</v>
      </c>
      <c r="I1788" s="20">
        <v>158.65953131703901</v>
      </c>
      <c r="L1788" s="20">
        <f t="shared" si="60"/>
        <v>979.12979124892547</v>
      </c>
      <c r="M1788" s="20">
        <f t="shared" si="61"/>
        <v>-12.434948348911092</v>
      </c>
    </row>
    <row r="1789" spans="1:13" x14ac:dyDescent="0.2">
      <c r="A1789" s="23">
        <v>440.5</v>
      </c>
      <c r="B1789" s="20">
        <v>973.01575714115495</v>
      </c>
      <c r="C1789" s="20">
        <v>111.35725987168701</v>
      </c>
      <c r="D1789" s="20">
        <v>320.83409177242299</v>
      </c>
      <c r="E1789" s="20">
        <v>-0.257759017061095</v>
      </c>
      <c r="F1789" s="20">
        <v>-0.50218322101354795</v>
      </c>
      <c r="G1789" s="20">
        <v>0.56447116697298505</v>
      </c>
      <c r="H1789" s="20">
        <v>1.0379730410338499E-2</v>
      </c>
      <c r="I1789" s="20">
        <v>158.72932299321599</v>
      </c>
      <c r="L1789" s="20">
        <f t="shared" si="60"/>
        <v>979.36719516793369</v>
      </c>
      <c r="M1789" s="20">
        <f t="shared" si="61"/>
        <v>-12.437963378682509</v>
      </c>
    </row>
    <row r="1790" spans="1:13" x14ac:dyDescent="0.2">
      <c r="A1790" s="23">
        <v>440.75</v>
      </c>
      <c r="B1790" s="20">
        <v>973.24845813583795</v>
      </c>
      <c r="C1790" s="20">
        <v>111.406595271508</v>
      </c>
      <c r="D1790" s="20">
        <v>320.80365023696601</v>
      </c>
      <c r="E1790" s="20">
        <v>-0.25753969060741999</v>
      </c>
      <c r="F1790" s="20">
        <v>-0.50066218634842796</v>
      </c>
      <c r="G1790" s="20">
        <v>0.56301804329644101</v>
      </c>
      <c r="H1790" s="20">
        <v>1.0370357005658999E-2</v>
      </c>
      <c r="I1790" s="20">
        <v>158.799170949201</v>
      </c>
      <c r="L1790" s="20">
        <f t="shared" si="60"/>
        <v>979.60399689556982</v>
      </c>
      <c r="M1790" s="20">
        <f t="shared" si="61"/>
        <v>-12.440970760623502</v>
      </c>
    </row>
    <row r="1791" spans="1:13" x14ac:dyDescent="0.2">
      <c r="A1791" s="23">
        <v>441</v>
      </c>
      <c r="B1791" s="20">
        <v>973.48057724105104</v>
      </c>
      <c r="C1791" s="20">
        <v>111.455720599182</v>
      </c>
      <c r="D1791" s="20">
        <v>320.773194647379</v>
      </c>
      <c r="E1791" s="20">
        <v>-0.25732037345023501</v>
      </c>
      <c r="F1791" s="20">
        <v>-0.499142558083018</v>
      </c>
      <c r="G1791" s="20">
        <v>0.56156661927346396</v>
      </c>
      <c r="H1791" s="20">
        <v>1.0360917440394799E-2</v>
      </c>
      <c r="I1791" s="20">
        <v>158.86907445276799</v>
      </c>
      <c r="L1791" s="20">
        <f t="shared" si="60"/>
        <v>979.84019713413113</v>
      </c>
      <c r="M1791" s="20">
        <f t="shared" si="61"/>
        <v>-12.443970503653242</v>
      </c>
    </row>
    <row r="1792" spans="1:13" x14ac:dyDescent="0.2">
      <c r="A1792" s="23">
        <v>441.25</v>
      </c>
      <c r="B1792" s="20">
        <v>973.71211519790302</v>
      </c>
      <c r="C1792" s="20">
        <v>111.504635680379</v>
      </c>
      <c r="D1792" s="20">
        <v>320.74272491080802</v>
      </c>
      <c r="E1792" s="20">
        <v>-0.25710106772761898</v>
      </c>
      <c r="F1792" s="20">
        <v>-0.49762434581396903</v>
      </c>
      <c r="G1792" s="20">
        <v>0.56011690616643794</v>
      </c>
      <c r="H1792" s="20">
        <v>1.0351411985055899E-2</v>
      </c>
      <c r="I1792" s="20">
        <v>158.93903276743299</v>
      </c>
      <c r="L1792" s="20">
        <f t="shared" si="60"/>
        <v>980.07579658993131</v>
      </c>
      <c r="M1792" s="20">
        <f t="shared" si="61"/>
        <v>-12.446962616741915</v>
      </c>
    </row>
    <row r="1793" spans="1:13" x14ac:dyDescent="0.2">
      <c r="A1793" s="23">
        <v>441.5</v>
      </c>
      <c r="B1793" s="20">
        <v>973.94307275116296</v>
      </c>
      <c r="C1793" s="20">
        <v>111.553340343557</v>
      </c>
      <c r="D1793" s="20">
        <v>320.71224093407699</v>
      </c>
      <c r="E1793" s="20">
        <v>-0.25688177559676001</v>
      </c>
      <c r="F1793" s="20">
        <v>-0.49610755909439402</v>
      </c>
      <c r="G1793" s="20">
        <v>0.55866891521216899</v>
      </c>
      <c r="H1793" s="20">
        <v>1.0341840911133601E-2</v>
      </c>
      <c r="I1793" s="20">
        <v>159.00904515252299</v>
      </c>
      <c r="L1793" s="20">
        <f t="shared" si="60"/>
        <v>980.31079597328846</v>
      </c>
      <c r="M1793" s="20">
        <f t="shared" si="61"/>
        <v>-12.449947108910564</v>
      </c>
    </row>
    <row r="1794" spans="1:13" x14ac:dyDescent="0.2">
      <c r="A1794" s="23">
        <v>441.75</v>
      </c>
      <c r="B1794" s="20">
        <v>974.17345064924905</v>
      </c>
      <c r="C1794" s="20">
        <v>111.601834419955</v>
      </c>
      <c r="D1794" s="20">
        <v>320.68174262370002</v>
      </c>
      <c r="E1794" s="20">
        <v>-0.25666249923332801</v>
      </c>
      <c r="F1794" s="20">
        <v>-0.494592207433804</v>
      </c>
      <c r="G1794" s="20">
        <v>0.55722265762165601</v>
      </c>
      <c r="H1794" s="20">
        <v>1.03322044910994E-2</v>
      </c>
      <c r="I1794" s="20">
        <v>159.07911086323301</v>
      </c>
      <c r="L1794" s="20">
        <f t="shared" si="60"/>
        <v>980.5451959985138</v>
      </c>
      <c r="M1794" s="20">
        <f t="shared" si="61"/>
        <v>-12.452923989230937</v>
      </c>
    </row>
    <row r="1795" spans="1:13" x14ac:dyDescent="0.2">
      <c r="A1795" s="23">
        <v>442</v>
      </c>
      <c r="B1795" s="20">
        <v>974.40324964421302</v>
      </c>
      <c r="C1795" s="20">
        <v>111.650117743575</v>
      </c>
      <c r="D1795" s="20">
        <v>320.65122988588098</v>
      </c>
      <c r="E1795" s="20">
        <v>-0.25644324083084102</v>
      </c>
      <c r="F1795" s="20">
        <v>-0.49307830029804101</v>
      </c>
      <c r="G1795" s="20">
        <v>0.55577814457985797</v>
      </c>
      <c r="H1795" s="20">
        <v>1.03225029984028E-2</v>
      </c>
      <c r="I1795" s="20">
        <v>159.149229150688</v>
      </c>
      <c r="L1795" s="20">
        <f t="shared" si="60"/>
        <v>980.77899738389408</v>
      </c>
      <c r="M1795" s="20">
        <f t="shared" si="61"/>
        <v>-12.455893266825278</v>
      </c>
    </row>
    <row r="1796" spans="1:13" x14ac:dyDescent="0.2">
      <c r="A1796" s="23">
        <v>442.25</v>
      </c>
      <c r="B1796" s="20">
        <v>974.63247049173106</v>
      </c>
      <c r="C1796" s="20">
        <v>111.698190151177</v>
      </c>
      <c r="D1796" s="20">
        <v>320.62070262651901</v>
      </c>
      <c r="E1796" s="20">
        <v>-0.25622400260005701</v>
      </c>
      <c r="F1796" s="20">
        <v>-0.49156584710920598</v>
      </c>
      <c r="G1796" s="20">
        <v>0.55433538724547105</v>
      </c>
      <c r="H1796" s="20">
        <v>1.03127367074691E-2</v>
      </c>
      <c r="I1796" s="20">
        <v>159.21939926201199</v>
      </c>
      <c r="L1796" s="20">
        <f t="shared" si="60"/>
        <v>981.01220085168336</v>
      </c>
      <c r="M1796" s="20">
        <f t="shared" si="61"/>
        <v>-12.458854950866215</v>
      </c>
    </row>
    <row r="1797" spans="1:13" x14ac:dyDescent="0.2">
      <c r="A1797" s="23">
        <v>442.5</v>
      </c>
      <c r="B1797" s="20">
        <v>974.86111395108401</v>
      </c>
      <c r="C1797" s="20">
        <v>111.74605148226399</v>
      </c>
      <c r="D1797" s="20">
        <v>320.59016075121002</v>
      </c>
      <c r="E1797" s="20">
        <v>-0.25600478676835597</v>
      </c>
      <c r="F1797" s="20">
        <v>-0.4900548572456</v>
      </c>
      <c r="G1797" s="20">
        <v>0.55289439675069596</v>
      </c>
      <c r="H1797" s="20">
        <v>1.03029058936977E-2</v>
      </c>
      <c r="I1797" s="20">
        <v>159.28962044038499</v>
      </c>
      <c r="L1797" s="20">
        <f t="shared" si="60"/>
        <v>981.24480712808122</v>
      </c>
      <c r="M1797" s="20">
        <f t="shared" si="61"/>
        <v>-12.461809050576479</v>
      </c>
    </row>
    <row r="1798" spans="1:13" x14ac:dyDescent="0.2">
      <c r="A1798" s="23">
        <v>442.75</v>
      </c>
      <c r="B1798" s="20">
        <v>975.08918078515103</v>
      </c>
      <c r="C1798" s="20">
        <v>111.793701579073</v>
      </c>
      <c r="D1798" s="20">
        <v>320.55960416525801</v>
      </c>
      <c r="E1798" s="20">
        <v>-0.25578559557914199</v>
      </c>
      <c r="F1798" s="20">
        <v>-0.48854534004164502</v>
      </c>
      <c r="G1798" s="20">
        <v>0.55145518420102202</v>
      </c>
      <c r="H1798" s="20">
        <v>1.02930108334593E-2</v>
      </c>
      <c r="I1798" s="20">
        <v>159.359891925108</v>
      </c>
      <c r="L1798" s="20">
        <f t="shared" si="60"/>
        <v>981.47681694322648</v>
      </c>
      <c r="M1798" s="20">
        <f t="shared" si="61"/>
        <v>-12.464755575228835</v>
      </c>
    </row>
    <row r="1799" spans="1:13" x14ac:dyDescent="0.2">
      <c r="A1799" s="23">
        <v>443</v>
      </c>
      <c r="B1799" s="20">
        <v>975.316671760394</v>
      </c>
      <c r="C1799" s="20">
        <v>111.841140286561</v>
      </c>
      <c r="D1799" s="20">
        <v>320.52903277366801</v>
      </c>
      <c r="E1799" s="20">
        <v>-0.25556643129124701</v>
      </c>
      <c r="F1799" s="20">
        <v>-0.48703730478782598</v>
      </c>
      <c r="G1799" s="20">
        <v>0.55001776067499297</v>
      </c>
      <c r="H1799" s="20">
        <v>1.0283051804093399E-2</v>
      </c>
      <c r="I1799" s="20">
        <v>159.43021295166801</v>
      </c>
      <c r="L1799" s="20">
        <f t="shared" si="60"/>
        <v>981.70823103118084</v>
      </c>
      <c r="M1799" s="20">
        <f t="shared" si="61"/>
        <v>-12.467694534145867</v>
      </c>
    </row>
    <row r="1800" spans="1:13" x14ac:dyDescent="0.2">
      <c r="A1800" s="23">
        <v>443.25</v>
      </c>
      <c r="B1800" s="20">
        <v>975.54358764684105</v>
      </c>
      <c r="C1800" s="20">
        <v>111.888367452399</v>
      </c>
      <c r="D1800" s="20">
        <v>320.49844648115999</v>
      </c>
      <c r="E1800" s="20">
        <v>-0.25534729617834401</v>
      </c>
      <c r="F1800" s="20">
        <v>-0.48553076073061602</v>
      </c>
      <c r="G1800" s="20">
        <v>0.54858213722399096</v>
      </c>
      <c r="H1800" s="20">
        <v>1.0273029083905301E-2</v>
      </c>
      <c r="I1800" s="20">
        <v>159.50058275180101</v>
      </c>
      <c r="L1800" s="20">
        <f t="shared" si="60"/>
        <v>981.93905012991149</v>
      </c>
      <c r="M1800" s="20">
        <f t="shared" si="61"/>
        <v>-12.470625936699758</v>
      </c>
    </row>
    <row r="1801" spans="1:13" x14ac:dyDescent="0.2">
      <c r="A1801" s="23">
        <v>443.5</v>
      </c>
      <c r="B1801" s="20">
        <v>975.76992921807505</v>
      </c>
      <c r="C1801" s="20">
        <v>111.935382926957</v>
      </c>
      <c r="D1801" s="20">
        <v>320.46784519216902</v>
      </c>
      <c r="E1801" s="20">
        <v>-0.25512819252836599</v>
      </c>
      <c r="F1801" s="20">
        <v>-0.48402571707240799</v>
      </c>
      <c r="G1801" s="20">
        <v>0.54714832487201304</v>
      </c>
      <c r="H1801" s="20">
        <v>1.02629429521633E-2</v>
      </c>
      <c r="I1801" s="20">
        <v>159.57100055355801</v>
      </c>
      <c r="L1801" s="20">
        <f t="shared" si="60"/>
        <v>982.16927498127927</v>
      </c>
      <c r="M1801" s="20">
        <f t="shared" si="61"/>
        <v>-12.473549792312141</v>
      </c>
    </row>
    <row r="1802" spans="1:13" x14ac:dyDescent="0.2">
      <c r="A1802" s="23">
        <v>443.75</v>
      </c>
      <c r="B1802" s="20">
        <v>975.99569725122205</v>
      </c>
      <c r="C1802" s="20">
        <v>111.98218656329701</v>
      </c>
      <c r="D1802" s="20">
        <v>320.43722881084602</v>
      </c>
      <c r="E1802" s="20">
        <v>-0.25490912264293603</v>
      </c>
      <c r="F1802" s="20">
        <v>-0.482522182971449</v>
      </c>
      <c r="G1802" s="20">
        <v>0.54571633461545199</v>
      </c>
      <c r="H1802" s="20">
        <v>1.0252793689095501E-2</v>
      </c>
      <c r="I1802" s="20">
        <v>159.64146558136599</v>
      </c>
      <c r="L1802" s="20">
        <f t="shared" si="60"/>
        <v>982.39890633102618</v>
      </c>
      <c r="M1802" s="20">
        <f t="shared" si="61"/>
        <v>-12.47646611045394</v>
      </c>
    </row>
    <row r="1803" spans="1:13" x14ac:dyDescent="0.2">
      <c r="A1803" s="23">
        <v>444</v>
      </c>
      <c r="B1803" s="20">
        <v>976.22089252693195</v>
      </c>
      <c r="C1803" s="20">
        <v>112.02877821716</v>
      </c>
      <c r="D1803" s="20">
        <v>320.40659724106501</v>
      </c>
      <c r="E1803" s="20">
        <v>-0.254690088836798</v>
      </c>
      <c r="F1803" s="20">
        <v>-0.48102016754176702</v>
      </c>
      <c r="G1803" s="20">
        <v>0.54428617742287499</v>
      </c>
      <c r="H1803" s="20">
        <v>1.0242581575886299E-2</v>
      </c>
      <c r="I1803" s="20">
        <v>159.71197705609401</v>
      </c>
      <c r="L1803" s="20">
        <f t="shared" si="60"/>
        <v>982.62794492875537</v>
      </c>
      <c r="M1803" s="20">
        <f t="shared" si="61"/>
        <v>-12.47937490064511</v>
      </c>
    </row>
    <row r="1804" spans="1:13" x14ac:dyDescent="0.2">
      <c r="A1804" s="23">
        <v>444.25</v>
      </c>
      <c r="B1804" s="20">
        <v>976.44551582937004</v>
      </c>
      <c r="C1804" s="20">
        <v>112.07515774695599</v>
      </c>
      <c r="D1804" s="20">
        <v>320.375950386429</v>
      </c>
      <c r="E1804" s="20">
        <v>-0.25447109343726299</v>
      </c>
      <c r="F1804" s="20">
        <v>-0.47951967985310401</v>
      </c>
      <c r="G1804" s="20">
        <v>0.54285786423480997</v>
      </c>
      <c r="H1804" s="20">
        <v>1.02323068946729E-2</v>
      </c>
      <c r="I1804" s="20">
        <v>159.78253419511901</v>
      </c>
      <c r="L1804" s="20">
        <f t="shared" si="60"/>
        <v>982.85639152792282</v>
      </c>
      <c r="M1804" s="20">
        <f t="shared" si="61"/>
        <v>-12.482276172454549</v>
      </c>
    </row>
    <row r="1805" spans="1:13" x14ac:dyDescent="0.2">
      <c r="A1805" s="23">
        <v>444.5</v>
      </c>
      <c r="B1805" s="20">
        <v>976.66956794619705</v>
      </c>
      <c r="C1805" s="20">
        <v>112.121325013757</v>
      </c>
      <c r="D1805" s="20">
        <v>320.345288150268</v>
      </c>
      <c r="E1805" s="20">
        <v>-0.25425213878365599</v>
      </c>
      <c r="F1805" s="20">
        <v>-0.47802072893084702</v>
      </c>
      <c r="G1805" s="20">
        <v>0.54143140596352701</v>
      </c>
      <c r="H1805" s="20">
        <v>1.02219699285415E-2</v>
      </c>
      <c r="I1805" s="20">
        <v>159.85313621239101</v>
      </c>
      <c r="L1805" s="20">
        <f t="shared" si="60"/>
        <v>983.0842468858159</v>
      </c>
      <c r="M1805" s="20">
        <f t="shared" si="61"/>
        <v>-12.485169935499803</v>
      </c>
    </row>
    <row r="1806" spans="1:13" x14ac:dyDescent="0.2">
      <c r="A1806" s="23">
        <v>444.75</v>
      </c>
      <c r="B1806" s="20">
        <v>976.893049668559</v>
      </c>
      <c r="C1806" s="20">
        <v>112.167279881281</v>
      </c>
      <c r="D1806" s="20">
        <v>320.31461043564502</v>
      </c>
      <c r="E1806" s="20">
        <v>-0.25403322722677601</v>
      </c>
      <c r="F1806" s="20">
        <v>-0.47652332375595402</v>
      </c>
      <c r="G1806" s="20">
        <v>0.54000681349282298</v>
      </c>
      <c r="H1806" s="20">
        <v>1.02115709615233E-2</v>
      </c>
      <c r="I1806" s="20">
        <v>159.92378231849699</v>
      </c>
      <c r="L1806" s="20">
        <f t="shared" si="60"/>
        <v>983.3115117635424</v>
      </c>
      <c r="M1806" s="20">
        <f t="shared" si="61"/>
        <v>-12.488056199446941</v>
      </c>
    </row>
    <row r="1807" spans="1:13" x14ac:dyDescent="0.2">
      <c r="A1807" s="23">
        <v>445</v>
      </c>
      <c r="B1807" s="20">
        <v>977.11596179107198</v>
      </c>
      <c r="C1807" s="20">
        <v>112.21302221589001</v>
      </c>
      <c r="D1807" s="20">
        <v>320.28391714536099</v>
      </c>
      <c r="E1807" s="20">
        <v>-0.25381436112835298</v>
      </c>
      <c r="F1807" s="20">
        <v>-0.47502747326488998</v>
      </c>
      <c r="G1807" s="20">
        <v>0.53858409767781001</v>
      </c>
      <c r="H1807" s="20">
        <v>1.02011102785906E-2</v>
      </c>
      <c r="I1807" s="20">
        <v>159.99447172072701</v>
      </c>
      <c r="L1807" s="20">
        <f t="shared" si="60"/>
        <v>983.53818692601635</v>
      </c>
      <c r="M1807" s="20">
        <f t="shared" si="61"/>
        <v>-12.490934974010372</v>
      </c>
    </row>
    <row r="1808" spans="1:13" x14ac:dyDescent="0.2">
      <c r="A1808" s="23">
        <v>445.25</v>
      </c>
      <c r="B1808" s="20">
        <v>977.33830511180599</v>
      </c>
      <c r="C1808" s="20">
        <v>112.258551886573</v>
      </c>
      <c r="D1808" s="20">
        <v>320.25320818195797</v>
      </c>
      <c r="E1808" s="20">
        <v>-0.25359554286052799</v>
      </c>
      <c r="F1808" s="20">
        <v>-0.47353318634955599</v>
      </c>
      <c r="G1808" s="20">
        <v>0.53716326934470204</v>
      </c>
      <c r="H1808" s="20">
        <v>1.01905881656521E-2</v>
      </c>
      <c r="I1808" s="20">
        <v>160.06520362313799</v>
      </c>
      <c r="L1808" s="20">
        <f t="shared" si="60"/>
        <v>983.76427314193916</v>
      </c>
      <c r="M1808" s="20">
        <f t="shared" si="61"/>
        <v>-12.493806268952602</v>
      </c>
    </row>
    <row r="1809" spans="1:13" x14ac:dyDescent="0.2">
      <c r="A1809" s="23">
        <v>445.5</v>
      </c>
      <c r="B1809" s="20">
        <v>977.56008043227098</v>
      </c>
      <c r="C1809" s="20">
        <v>112.30386876494001</v>
      </c>
      <c r="D1809" s="20">
        <v>320.22248344771998</v>
      </c>
      <c r="E1809" s="20">
        <v>-0.253376774805324</v>
      </c>
      <c r="F1809" s="20">
        <v>-0.47204047185721398</v>
      </c>
      <c r="G1809" s="20">
        <v>0.53574433929060805</v>
      </c>
      <c r="H1809" s="20">
        <v>1.0180004909548899E-2</v>
      </c>
      <c r="I1809" s="20">
        <v>160.13597722662499</v>
      </c>
      <c r="L1809" s="20">
        <f t="shared" si="60"/>
        <v>983.98977118378673</v>
      </c>
      <c r="M1809" s="20">
        <f t="shared" si="61"/>
        <v>-12.496670094084077</v>
      </c>
    </row>
    <row r="1810" spans="1:13" x14ac:dyDescent="0.2">
      <c r="A1810" s="23">
        <v>445.75</v>
      </c>
      <c r="B1810" s="20">
        <v>977.78128855740204</v>
      </c>
      <c r="C1810" s="20">
        <v>112.348972725211</v>
      </c>
      <c r="D1810" s="20">
        <v>320.19174284467999</v>
      </c>
      <c r="E1810" s="20">
        <v>-0.25315805935413499</v>
      </c>
      <c r="F1810" s="20">
        <v>-0.47054933859042603</v>
      </c>
      <c r="G1810" s="20">
        <v>0.53432731828331503</v>
      </c>
      <c r="H1810" s="20">
        <v>1.01693607980492E-2</v>
      </c>
      <c r="I1810" s="20">
        <v>160.20679172897999</v>
      </c>
      <c r="L1810" s="20">
        <f t="shared" si="60"/>
        <v>984.21468182779302</v>
      </c>
      <c r="M1810" s="20">
        <f t="shared" si="61"/>
        <v>-12.49952645926297</v>
      </c>
    </row>
    <row r="1811" spans="1:13" x14ac:dyDescent="0.2">
      <c r="A1811" s="23">
        <v>446</v>
      </c>
      <c r="B1811" s="20">
        <v>978.00193029554396</v>
      </c>
      <c r="C1811" s="20">
        <v>112.393863644211</v>
      </c>
      <c r="D1811" s="20">
        <v>320.16098627461997</v>
      </c>
      <c r="E1811" s="20">
        <v>-0.25293939890721601</v>
      </c>
      <c r="F1811" s="20">
        <v>-0.469059795306977</v>
      </c>
      <c r="G1811" s="20">
        <v>0.53291221706109104</v>
      </c>
      <c r="H1811" s="20">
        <v>1.0158656119844E-2</v>
      </c>
      <c r="I1811" s="20">
        <v>160.277646324963</v>
      </c>
      <c r="L1811" s="20">
        <f t="shared" si="60"/>
        <v>984.43900585393487</v>
      </c>
      <c r="M1811" s="20">
        <f t="shared" si="61"/>
        <v>-12.502375374394983</v>
      </c>
    </row>
    <row r="1812" spans="1:13" x14ac:dyDescent="0.2">
      <c r="A1812" s="23">
        <v>446.25</v>
      </c>
      <c r="B1812" s="20">
        <v>978.222006458436</v>
      </c>
      <c r="C1812" s="20">
        <v>112.438541401351</v>
      </c>
      <c r="D1812" s="20">
        <v>320.13021363907598</v>
      </c>
      <c r="E1812" s="20">
        <v>-0.25272079587318502</v>
      </c>
      <c r="F1812" s="20">
        <v>-0.467571850719809</v>
      </c>
      <c r="G1812" s="20">
        <v>0.53149904633246803</v>
      </c>
      <c r="H1812" s="20">
        <v>1.01478911645419E-2</v>
      </c>
      <c r="I1812" s="20">
        <v>160.34854020636701</v>
      </c>
      <c r="L1812" s="20">
        <f t="shared" si="60"/>
        <v>984.66274404591536</v>
      </c>
      <c r="M1812" s="20">
        <f t="shared" si="61"/>
        <v>-12.505216849433145</v>
      </c>
    </row>
    <row r="1813" spans="1:13" x14ac:dyDescent="0.2">
      <c r="A1813" s="23">
        <v>446.5</v>
      </c>
      <c r="B1813" s="20">
        <v>978.44151786119698</v>
      </c>
      <c r="C1813" s="20">
        <v>112.483005878631</v>
      </c>
      <c r="D1813" s="20">
        <v>320.09942483934202</v>
      </c>
      <c r="E1813" s="20">
        <v>-0.25250225266852599</v>
      </c>
      <c r="F1813" s="20">
        <v>-0.46608551349694999</v>
      </c>
      <c r="G1813" s="20">
        <v>0.53008781677604699</v>
      </c>
      <c r="H1813" s="20">
        <v>1.0137066222663599E-2</v>
      </c>
      <c r="I1813" s="20">
        <v>160.419472562083</v>
      </c>
      <c r="L1813" s="20">
        <f t="shared" si="60"/>
        <v>984.8858971911493</v>
      </c>
      <c r="M1813" s="20">
        <f t="shared" si="61"/>
        <v>-12.508050894377629</v>
      </c>
    </row>
    <row r="1814" spans="1:13" x14ac:dyDescent="0.2">
      <c r="A1814" s="23">
        <v>446.75</v>
      </c>
      <c r="B1814" s="20">
        <v>978.66046532230996</v>
      </c>
      <c r="C1814" s="20">
        <v>112.527256960619</v>
      </c>
      <c r="D1814" s="20">
        <v>320.06861977647202</v>
      </c>
      <c r="E1814" s="20">
        <v>-0.25228377171710398</v>
      </c>
      <c r="F1814" s="20">
        <v>-0.46460079226144702</v>
      </c>
      <c r="G1814" s="20">
        <v>0.52867853904028705</v>
      </c>
      <c r="H1814" s="20">
        <v>1.01261815856369E-2</v>
      </c>
      <c r="I1814" s="20">
        <v>160.490442578168</v>
      </c>
      <c r="L1814" s="20">
        <f t="shared" si="60"/>
        <v>985.10846608074655</v>
      </c>
      <c r="M1814" s="20">
        <f t="shared" si="61"/>
        <v>-12.510877519275526</v>
      </c>
    </row>
    <row r="1815" spans="1:13" x14ac:dyDescent="0.2">
      <c r="A1815" s="23">
        <v>447</v>
      </c>
      <c r="B1815" s="20">
        <v>978.87884966360605</v>
      </c>
      <c r="C1815" s="20">
        <v>112.571294534451</v>
      </c>
      <c r="D1815" s="20">
        <v>320.03779835128199</v>
      </c>
      <c r="E1815" s="20">
        <v>-0.252065355449684</v>
      </c>
      <c r="F1815" s="20">
        <v>-0.46311769559129401</v>
      </c>
      <c r="G1815" s="20">
        <v>0.52727122374330804</v>
      </c>
      <c r="H1815" s="20">
        <v>1.0115237545790801E-2</v>
      </c>
      <c r="I1815" s="20">
        <v>160.56144943791301</v>
      </c>
      <c r="L1815" s="20">
        <f t="shared" si="60"/>
        <v>985.33045150949579</v>
      </c>
      <c r="M1815" s="20">
        <f t="shared" si="61"/>
        <v>-12.513696734220654</v>
      </c>
    </row>
    <row r="1816" spans="1:13" x14ac:dyDescent="0.2">
      <c r="A1816" s="23">
        <v>447.25</v>
      </c>
      <c r="B1816" s="20">
        <v>979.09667171025001</v>
      </c>
      <c r="C1816" s="20">
        <v>112.615118489818</v>
      </c>
      <c r="D1816" s="20">
        <v>320.00696046435598</v>
      </c>
      <c r="E1816" s="20">
        <v>-0.25184700630345902</v>
      </c>
      <c r="F1816" s="20">
        <v>-0.46163623201936299</v>
      </c>
      <c r="G1816" s="20">
        <v>0.52586588147269098</v>
      </c>
      <c r="H1816" s="20">
        <v>1.01042343963501E-2</v>
      </c>
      <c r="I1816" s="20">
        <v>160.632492321905</v>
      </c>
      <c r="L1816" s="20">
        <f t="shared" si="60"/>
        <v>985.55185427584922</v>
      </c>
      <c r="M1816" s="20">
        <f t="shared" si="61"/>
        <v>-12.51650854935335</v>
      </c>
    </row>
    <row r="1817" spans="1:13" x14ac:dyDescent="0.2">
      <c r="A1817" s="23">
        <v>447.5</v>
      </c>
      <c r="B1817" s="20">
        <v>979.31393229072103</v>
      </c>
      <c r="C1817" s="20">
        <v>112.658728718958</v>
      </c>
      <c r="D1817" s="20">
        <v>319.976106016046</v>
      </c>
      <c r="E1817" s="20">
        <v>-0.25162872672158199</v>
      </c>
      <c r="F1817" s="20">
        <v>-0.46015641003333901</v>
      </c>
      <c r="G1817" s="20">
        <v>0.52446252278527505</v>
      </c>
      <c r="H1817" s="20">
        <v>1.0093172431429299E-2</v>
      </c>
      <c r="I1817" s="20">
        <v>160.70357040810001</v>
      </c>
      <c r="L1817" s="20">
        <f t="shared" si="60"/>
        <v>985.77267518190354</v>
      </c>
      <c r="M1817" s="20">
        <f t="shared" si="61"/>
        <v>-12.519312974860252</v>
      </c>
    </row>
    <row r="1818" spans="1:13" x14ac:dyDescent="0.2">
      <c r="A1818" s="23">
        <v>447.75</v>
      </c>
      <c r="B1818" s="20">
        <v>979.53063223680203</v>
      </c>
      <c r="C1818" s="20">
        <v>112.702125116646</v>
      </c>
      <c r="D1818" s="20">
        <v>319.94523490647902</v>
      </c>
      <c r="E1818" s="20">
        <v>-0.25141051915270601</v>
      </c>
      <c r="F1818" s="20">
        <v>-0.45867823807564601</v>
      </c>
      <c r="G1818" s="20">
        <v>0.52306115820696497</v>
      </c>
      <c r="H1818" s="20">
        <v>1.0082051946026399E-2</v>
      </c>
      <c r="I1818" s="20">
        <v>160.774682871886</v>
      </c>
      <c r="L1818" s="20">
        <f t="shared" si="60"/>
        <v>985.9929150333877</v>
      </c>
      <c r="M1818" s="20">
        <f t="shared" si="61"/>
        <v>-12.522110020974111</v>
      </c>
    </row>
    <row r="1819" spans="1:13" x14ac:dyDescent="0.2">
      <c r="A1819" s="23">
        <v>448</v>
      </c>
      <c r="B1819" s="20">
        <v>979.746772383559</v>
      </c>
      <c r="C1819" s="20">
        <v>112.74530758018599</v>
      </c>
      <c r="D1819" s="20">
        <v>319.91434703555399</v>
      </c>
      <c r="E1819" s="20">
        <v>-0.25119238605053201</v>
      </c>
      <c r="F1819" s="20">
        <v>-0.45720172454338198</v>
      </c>
      <c r="G1819" s="20">
        <v>0.521661798232535</v>
      </c>
      <c r="H1819" s="20">
        <v>1.00708732360169E-2</v>
      </c>
      <c r="I1819" s="20">
        <v>160.84582888615</v>
      </c>
      <c r="L1819" s="20">
        <f t="shared" si="60"/>
        <v>986.2125746396423</v>
      </c>
      <c r="M1819" s="20">
        <f t="shared" si="61"/>
        <v>-12.524899697973558</v>
      </c>
    </row>
    <row r="1820" spans="1:13" x14ac:dyDescent="0.2">
      <c r="A1820" s="23">
        <v>448.25</v>
      </c>
      <c r="B1820" s="20">
        <v>979.962353569328</v>
      </c>
      <c r="C1820" s="20">
        <v>112.788276009405</v>
      </c>
      <c r="D1820" s="20">
        <v>319.88344230295201</v>
      </c>
      <c r="E1820" s="20">
        <v>-0.25097432987336299</v>
      </c>
      <c r="F1820" s="20">
        <v>-0.455726877788249</v>
      </c>
      <c r="G1820" s="20">
        <v>0.52026445332543103</v>
      </c>
      <c r="H1820" s="20">
        <v>1.00596365981472E-2</v>
      </c>
      <c r="I1820" s="20">
        <v>160.91700762134801</v>
      </c>
      <c r="L1820" s="20">
        <f t="shared" ref="L1820:L1883" si="62">SQRT(B1820^2+C1820^2)</f>
        <v>986.43165481360654</v>
      </c>
      <c r="M1820" s="20">
        <f t="shared" ref="M1820:M1883" si="63">-L1820/A$25*100</f>
        <v>-12.527682016182915</v>
      </c>
    </row>
    <row r="1821" spans="1:13" x14ac:dyDescent="0.2">
      <c r="A1821" s="23">
        <v>448.5</v>
      </c>
      <c r="B1821" s="20">
        <v>980.17737663569699</v>
      </c>
      <c r="C1821" s="20">
        <v>112.83103030663899</v>
      </c>
      <c r="D1821" s="20">
        <v>319.85252060813201</v>
      </c>
      <c r="E1821" s="20">
        <v>-0.25075635308366301</v>
      </c>
      <c r="F1821" s="20">
        <v>-0.45425370611648802</v>
      </c>
      <c r="G1821" s="20">
        <v>0.51886913391758405</v>
      </c>
      <c r="H1821" s="20">
        <v>1.00483423300283E-2</v>
      </c>
      <c r="I1821" s="20">
        <v>160.98821824556799</v>
      </c>
      <c r="L1821" s="20">
        <f t="shared" si="62"/>
        <v>986.65015637179863</v>
      </c>
      <c r="M1821" s="20">
        <f t="shared" si="63"/>
        <v>-12.530456985971966</v>
      </c>
    </row>
    <row r="1822" spans="1:13" x14ac:dyDescent="0.2">
      <c r="A1822" s="23">
        <v>448.75</v>
      </c>
      <c r="B1822" s="20">
        <v>980.39184242749002</v>
      </c>
      <c r="C1822" s="20">
        <v>112.873570376732</v>
      </c>
      <c r="D1822" s="20">
        <v>319.82158185033802</v>
      </c>
      <c r="E1822" s="20">
        <v>-0.25053845814762199</v>
      </c>
      <c r="F1822" s="20">
        <v>-0.452782217788809</v>
      </c>
      <c r="G1822" s="20">
        <v>0.51747585040921495</v>
      </c>
      <c r="H1822" s="20">
        <v>1.00369907301287E-2</v>
      </c>
      <c r="I1822" s="20">
        <v>161.059459924603</v>
      </c>
      <c r="L1822" s="20">
        <f t="shared" si="62"/>
        <v>986.86808013430016</v>
      </c>
      <c r="M1822" s="20">
        <f t="shared" si="63"/>
        <v>-12.533224617755746</v>
      </c>
    </row>
    <row r="1823" spans="1:13" x14ac:dyDescent="0.2">
      <c r="A1823" s="23">
        <v>449</v>
      </c>
      <c r="B1823" s="20">
        <v>980.60575179275099</v>
      </c>
      <c r="C1823" s="20">
        <v>112.91589612702001</v>
      </c>
      <c r="D1823" s="20">
        <v>319.79062592860203</v>
      </c>
      <c r="E1823" s="20">
        <v>-0.25032064753473399</v>
      </c>
      <c r="F1823" s="20">
        <v>-0.45131242102032298</v>
      </c>
      <c r="G1823" s="20">
        <v>0.51608461316864895</v>
      </c>
      <c r="H1823" s="20">
        <v>1.0025582097767801E-2</v>
      </c>
      <c r="I1823" s="20">
        <v>161.13073182201299</v>
      </c>
      <c r="L1823" s="20">
        <f t="shared" si="62"/>
        <v>987.08542692473907</v>
      </c>
      <c r="M1823" s="20">
        <f t="shared" si="63"/>
        <v>-12.535984921994331</v>
      </c>
    </row>
    <row r="1824" spans="1:13" x14ac:dyDescent="0.2">
      <c r="A1824" s="23">
        <v>449.25</v>
      </c>
      <c r="B1824" s="20">
        <v>980.81910558272705</v>
      </c>
      <c r="C1824" s="20">
        <v>112.95800746732699</v>
      </c>
      <c r="D1824" s="20">
        <v>319.75965274174399</v>
      </c>
      <c r="E1824" s="20">
        <v>-0.25010292371737097</v>
      </c>
      <c r="F1824" s="20">
        <v>-0.44984432398047802</v>
      </c>
      <c r="G1824" s="20">
        <v>0.51469543253212402</v>
      </c>
      <c r="H1824" s="20">
        <v>1.00141167331087E-2</v>
      </c>
      <c r="I1824" s="20">
        <v>161.202033099196</v>
      </c>
      <c r="L1824" s="20">
        <f t="shared" si="62"/>
        <v>987.30219757027248</v>
      </c>
      <c r="M1824" s="20">
        <f t="shared" si="63"/>
        <v>-12.538737909192616</v>
      </c>
    </row>
    <row r="1825" spans="1:13" x14ac:dyDescent="0.2">
      <c r="A1825" s="23">
        <v>449.5</v>
      </c>
      <c r="B1825" s="20">
        <v>981.03190465185196</v>
      </c>
      <c r="C1825" s="20">
        <v>112.999904309958</v>
      </c>
      <c r="D1825" s="20">
        <v>319.728662188378</v>
      </c>
      <c r="E1825" s="20">
        <v>-0.249885289170374</v>
      </c>
      <c r="F1825" s="20">
        <v>-0.44837793479299098</v>
      </c>
      <c r="G1825" s="20">
        <v>0.51330831880361005</v>
      </c>
      <c r="H1825" s="20">
        <v>1.00025949371509E-2</v>
      </c>
      <c r="I1825" s="20">
        <v>161.27336291545299</v>
      </c>
      <c r="L1825" s="20">
        <f t="shared" si="62"/>
        <v>987.51839290157022</v>
      </c>
      <c r="M1825" s="20">
        <f t="shared" si="63"/>
        <v>-12.541483589900107</v>
      </c>
    </row>
    <row r="1826" spans="1:13" x14ac:dyDescent="0.2">
      <c r="A1826" s="23">
        <v>449.75</v>
      </c>
      <c r="B1826" s="20">
        <v>981.24414985772796</v>
      </c>
      <c r="C1826" s="20">
        <v>113.041586569686</v>
      </c>
      <c r="D1826" s="20">
        <v>319.69765416690899</v>
      </c>
      <c r="E1826" s="20">
        <v>-0.24966774637064201</v>
      </c>
      <c r="F1826" s="20">
        <v>-0.44691326153577998</v>
      </c>
      <c r="G1826" s="20">
        <v>0.51192328225462003</v>
      </c>
      <c r="H1826" s="20">
        <v>9.9910170117231394E-3</v>
      </c>
      <c r="I1826" s="20">
        <v>161.344720428057</v>
      </c>
      <c r="L1826" s="20">
        <f t="shared" si="62"/>
        <v>987.73401375279525</v>
      </c>
      <c r="M1826" s="20">
        <f t="shared" si="63"/>
        <v>-12.544221974710675</v>
      </c>
    </row>
    <row r="1827" spans="1:13" x14ac:dyDescent="0.2">
      <c r="A1827" s="23">
        <v>450</v>
      </c>
      <c r="B1827" s="20">
        <v>981.45584206111198</v>
      </c>
      <c r="C1827" s="20">
        <v>113.08305416375001</v>
      </c>
      <c r="D1827" s="20">
        <v>319.666628575544</v>
      </c>
      <c r="E1827" s="20">
        <v>-0.249450297796733</v>
      </c>
      <c r="F1827" s="20">
        <v>-0.44545031224090398</v>
      </c>
      <c r="G1827" s="20">
        <v>0.51054033312403202</v>
      </c>
      <c r="H1827" s="20">
        <v>9.9793832594758693E-3</v>
      </c>
      <c r="I1827" s="20">
        <v>161.41610479232199</v>
      </c>
      <c r="L1827" s="20">
        <f t="shared" si="62"/>
        <v>987.94906096159025</v>
      </c>
      <c r="M1827" s="20">
        <f t="shared" si="63"/>
        <v>-12.546953074262385</v>
      </c>
    </row>
    <row r="1828" spans="1:13" x14ac:dyDescent="0.2">
      <c r="A1828" s="23">
        <v>450.25</v>
      </c>
      <c r="B1828" s="20">
        <v>981.66698212589495</v>
      </c>
      <c r="C1828" s="20">
        <v>113.124307011841</v>
      </c>
      <c r="D1828" s="20">
        <v>319.63558531228801</v>
      </c>
      <c r="E1828" s="20">
        <v>-0.24923294592846701</v>
      </c>
      <c r="F1828" s="20">
        <v>-0.44398909489449001</v>
      </c>
      <c r="G1828" s="20">
        <v>0.50915948161790203</v>
      </c>
      <c r="H1828" s="20">
        <v>9.9676939838734702E-3</v>
      </c>
      <c r="I1828" s="20">
        <v>161.48751516166601</v>
      </c>
      <c r="L1828" s="20">
        <f t="shared" si="62"/>
        <v>988.16353536905592</v>
      </c>
      <c r="M1828" s="20">
        <f t="shared" si="63"/>
        <v>-12.549676899237209</v>
      </c>
    </row>
    <row r="1829" spans="1:13" x14ac:dyDescent="0.2">
      <c r="A1829" s="23">
        <v>450.5</v>
      </c>
      <c r="B1829" s="20">
        <v>981.877570919086</v>
      </c>
      <c r="C1829" s="20">
        <v>113.16534503610001</v>
      </c>
      <c r="D1829" s="20">
        <v>319.60452427494602</v>
      </c>
      <c r="E1829" s="20">
        <v>-0.24901569324654099</v>
      </c>
      <c r="F1829" s="20">
        <v>-0.44252961743667701</v>
      </c>
      <c r="G1829" s="20">
        <v>0.50778073790929401</v>
      </c>
      <c r="H1829" s="20">
        <v>9.9559494891864296E-3</v>
      </c>
      <c r="I1829" s="20">
        <v>161.55895068768399</v>
      </c>
      <c r="L1829" s="20">
        <f t="shared" si="62"/>
        <v>988.37743781973506</v>
      </c>
      <c r="M1829" s="20">
        <f t="shared" si="63"/>
        <v>-12.552393460360845</v>
      </c>
    </row>
    <row r="1830" spans="1:13" x14ac:dyDescent="0.2">
      <c r="A1830" s="23">
        <v>450.75</v>
      </c>
      <c r="B1830" s="20">
        <v>982.08760931079803</v>
      </c>
      <c r="C1830" s="20">
        <v>113.20616816110601</v>
      </c>
      <c r="D1830" s="20">
        <v>319.573445361133</v>
      </c>
      <c r="E1830" s="20">
        <v>-0.24879854223214301</v>
      </c>
      <c r="F1830" s="20">
        <v>-0.44107188776154399</v>
      </c>
      <c r="G1830" s="20">
        <v>0.506404112138094</v>
      </c>
      <c r="H1830" s="20">
        <v>9.9441500804834798E-3</v>
      </c>
      <c r="I1830" s="20">
        <v>161.630410520212</v>
      </c>
      <c r="L1830" s="20">
        <f t="shared" si="62"/>
        <v>988.59076916159768</v>
      </c>
      <c r="M1830" s="20">
        <f t="shared" si="63"/>
        <v>-12.555102768402513</v>
      </c>
    </row>
    <row r="1831" spans="1:13" x14ac:dyDescent="0.2">
      <c r="A1831" s="23">
        <v>451</v>
      </c>
      <c r="B1831" s="20">
        <v>982.29709817422497</v>
      </c>
      <c r="C1831" s="20">
        <v>113.246776313868</v>
      </c>
      <c r="D1831" s="20">
        <v>319.54234846826699</v>
      </c>
      <c r="E1831" s="20">
        <v>-0.248581495366577</v>
      </c>
      <c r="F1831" s="20">
        <v>-0.439615913717051</v>
      </c>
      <c r="G1831" s="20">
        <v>0.50502961441083905</v>
      </c>
      <c r="H1831" s="20">
        <v>9.9322960636234105E-3</v>
      </c>
      <c r="I1831" s="20">
        <v>161.701893807397</v>
      </c>
      <c r="L1831" s="20">
        <f t="shared" si="62"/>
        <v>988.8035302460172</v>
      </c>
      <c r="M1831" s="20">
        <f t="shared" si="63"/>
        <v>-12.557804834174648</v>
      </c>
    </row>
    <row r="1832" spans="1:13" x14ac:dyDescent="0.2">
      <c r="A1832" s="23">
        <v>451.25</v>
      </c>
      <c r="B1832" s="20">
        <v>982.50603838562995</v>
      </c>
      <c r="C1832" s="20">
        <v>113.287169423823</v>
      </c>
      <c r="D1832" s="20">
        <v>319.511233493578</v>
      </c>
      <c r="E1832" s="20">
        <v>-0.248364555130895</v>
      </c>
      <c r="F1832" s="20">
        <v>-0.43816170310497299</v>
      </c>
      <c r="G1832" s="20">
        <v>0.50365725480054202</v>
      </c>
      <c r="H1832" s="20">
        <v>9.9203877452468496E-3</v>
      </c>
      <c r="I1832" s="20">
        <v>161.77339969576201</v>
      </c>
      <c r="L1832" s="20">
        <f t="shared" si="62"/>
        <v>989.01572192775927</v>
      </c>
      <c r="M1832" s="20">
        <f t="shared" si="63"/>
        <v>-12.560499668532785</v>
      </c>
    </row>
    <row r="1833" spans="1:13" x14ac:dyDescent="0.2">
      <c r="A1833" s="23">
        <v>451.5</v>
      </c>
      <c r="B1833" s="20">
        <v>982.71443082432302</v>
      </c>
      <c r="C1833" s="20">
        <v>113.327347422819</v>
      </c>
      <c r="D1833" s="20">
        <v>319.48010033410702</v>
      </c>
      <c r="E1833" s="20">
        <v>-0.24814772400552901</v>
      </c>
      <c r="F1833" s="20">
        <v>-0.43670926368084201</v>
      </c>
      <c r="G1833" s="20">
        <v>0.50228704334651797</v>
      </c>
      <c r="H1833" s="20">
        <v>9.9084254327679606E-3</v>
      </c>
      <c r="I1833" s="20">
        <v>161.84492733027699</v>
      </c>
      <c r="L1833" s="20">
        <f t="shared" si="62"/>
        <v>989.22734506495794</v>
      </c>
      <c r="M1833" s="20">
        <f t="shared" si="63"/>
        <v>-12.563187282375218</v>
      </c>
    </row>
    <row r="1834" spans="1:13" x14ac:dyDescent="0.2">
      <c r="A1834" s="23">
        <v>451.75</v>
      </c>
      <c r="B1834" s="20">
        <v>982.92227637264705</v>
      </c>
      <c r="C1834" s="20">
        <v>113.36731024511801</v>
      </c>
      <c r="D1834" s="20">
        <v>319.44894888671001</v>
      </c>
      <c r="E1834" s="20">
        <v>-0.24793100446993699</v>
      </c>
      <c r="F1834" s="20">
        <v>-0.43525860315387899</v>
      </c>
      <c r="G1834" s="20">
        <v>0.50091899005421803</v>
      </c>
      <c r="H1834" s="20">
        <v>9.8964094343656998E-3</v>
      </c>
      <c r="I1834" s="20">
        <v>161.91647585442499</v>
      </c>
      <c r="L1834" s="20">
        <f t="shared" si="62"/>
        <v>989.43840051910206</v>
      </c>
      <c r="M1834" s="20">
        <f t="shared" si="63"/>
        <v>-12.565867686642859</v>
      </c>
    </row>
    <row r="1835" spans="1:13" x14ac:dyDescent="0.2">
      <c r="A1835" s="23">
        <v>452</v>
      </c>
      <c r="B1835" s="20">
        <v>983.12957591595898</v>
      </c>
      <c r="C1835" s="20">
        <v>113.40705782737901</v>
      </c>
      <c r="D1835" s="20">
        <v>319.41777904806003</v>
      </c>
      <c r="E1835" s="20">
        <v>-0.24771439900225001</v>
      </c>
      <c r="F1835" s="20">
        <v>-0.433809729186935</v>
      </c>
      <c r="G1835" s="20">
        <v>0.499553104895053</v>
      </c>
      <c r="H1835" s="20">
        <v>9.8843400589753508E-3</v>
      </c>
      <c r="I1835" s="20">
        <v>161.98804441026701</v>
      </c>
      <c r="L1835" s="20">
        <f t="shared" si="62"/>
        <v>989.64888915501535</v>
      </c>
      <c r="M1835" s="20">
        <f t="shared" si="63"/>
        <v>-12.568540892318969</v>
      </c>
    </row>
    <row r="1836" spans="1:13" x14ac:dyDescent="0.2">
      <c r="A1836" s="23">
        <v>452.25</v>
      </c>
      <c r="B1836" s="20">
        <v>983.33633034261095</v>
      </c>
      <c r="C1836" s="20">
        <v>113.446590108656</v>
      </c>
      <c r="D1836" s="20">
        <v>319.38659071464701</v>
      </c>
      <c r="E1836" s="20">
        <v>-0.24749791007892599</v>
      </c>
      <c r="F1836" s="20">
        <v>-0.43236264939643398</v>
      </c>
      <c r="G1836" s="20">
        <v>0.498189397806236</v>
      </c>
      <c r="H1836" s="20">
        <v>9.8722176162796306E-3</v>
      </c>
      <c r="I1836" s="20">
        <v>162.05963213851501</v>
      </c>
      <c r="L1836" s="20">
        <f t="shared" si="62"/>
        <v>989.85881184083712</v>
      </c>
      <c r="M1836" s="20">
        <f t="shared" si="63"/>
        <v>-12.571206910428916</v>
      </c>
    </row>
    <row r="1837" spans="1:13" x14ac:dyDescent="0.2">
      <c r="A1837" s="23">
        <v>452.5</v>
      </c>
      <c r="B1837" s="20">
        <v>983.54254054393402</v>
      </c>
      <c r="C1837" s="20">
        <v>113.485907030391</v>
      </c>
      <c r="D1837" s="20">
        <v>319.35538378278397</v>
      </c>
      <c r="E1837" s="20">
        <v>-0.24728154017440801</v>
      </c>
      <c r="F1837" s="20">
        <v>-0.43091737135230601</v>
      </c>
      <c r="G1837" s="20">
        <v>0.49682787869060802</v>
      </c>
      <c r="H1837" s="20">
        <v>9.8600424166998893E-3</v>
      </c>
      <c r="I1837" s="20">
        <v>162.13123817859699</v>
      </c>
      <c r="L1837" s="20">
        <f t="shared" si="62"/>
        <v>990.06816944800653</v>
      </c>
      <c r="M1837" s="20">
        <f t="shared" si="63"/>
        <v>-12.573865752039978</v>
      </c>
    </row>
    <row r="1838" spans="1:13" x14ac:dyDescent="0.2">
      <c r="A1838" s="23">
        <v>452.75</v>
      </c>
      <c r="B1838" s="20">
        <v>983.74820741421797</v>
      </c>
      <c r="C1838" s="20">
        <v>113.525008536404</v>
      </c>
      <c r="D1838" s="20">
        <v>319.32415814860599</v>
      </c>
      <c r="E1838" s="20">
        <v>-0.247065291760796</v>
      </c>
      <c r="F1838" s="20">
        <v>-0.429473902577933</v>
      </c>
      <c r="G1838" s="20">
        <v>0.49546855741647899</v>
      </c>
      <c r="H1838" s="20">
        <v>9.8478147713867599E-3</v>
      </c>
      <c r="I1838" s="20">
        <v>162.20286166872199</v>
      </c>
      <c r="L1838" s="20">
        <f t="shared" si="62"/>
        <v>990.2769628512408</v>
      </c>
      <c r="M1838" s="20">
        <f t="shared" si="63"/>
        <v>-12.576517428261063</v>
      </c>
    </row>
    <row r="1839" spans="1:13" x14ac:dyDescent="0.2">
      <c r="A1839" s="23">
        <v>453</v>
      </c>
      <c r="B1839" s="20">
        <v>983.95333185069705</v>
      </c>
      <c r="C1839" s="20">
        <v>113.563894572885</v>
      </c>
      <c r="D1839" s="20">
        <v>319.29291370807499</v>
      </c>
      <c r="E1839" s="20">
        <v>-0.246849167307511</v>
      </c>
      <c r="F1839" s="20">
        <v>-0.42803225055008698</v>
      </c>
      <c r="G1839" s="20">
        <v>0.49411144381746902</v>
      </c>
      <c r="H1839" s="20">
        <v>9.8355349922112905E-3</v>
      </c>
      <c r="I1839" s="20">
        <v>162.27450174595199</v>
      </c>
      <c r="L1839" s="20">
        <f t="shared" si="62"/>
        <v>990.48519292852097</v>
      </c>
      <c r="M1839" s="20">
        <f t="shared" si="63"/>
        <v>-12.579161950242534</v>
      </c>
    </row>
    <row r="1840" spans="1:13" x14ac:dyDescent="0.2">
      <c r="A1840" s="23">
        <v>453.25</v>
      </c>
      <c r="B1840" s="20">
        <v>984.15791475352705</v>
      </c>
      <c r="C1840" s="20">
        <v>113.602565088391</v>
      </c>
      <c r="D1840" s="20">
        <v>319.26165035697801</v>
      </c>
      <c r="E1840" s="20">
        <v>-0.246633169280979</v>
      </c>
      <c r="F1840" s="20">
        <v>-0.42659242269887199</v>
      </c>
      <c r="G1840" s="20">
        <v>0.49275654769234001</v>
      </c>
      <c r="H1840" s="20">
        <v>9.8232033917554397E-3</v>
      </c>
      <c r="I1840" s="20">
        <v>162.34615754626699</v>
      </c>
      <c r="L1840" s="20">
        <f t="shared" si="62"/>
        <v>990.69286056106853</v>
      </c>
      <c r="M1840" s="20">
        <f t="shared" si="63"/>
        <v>-12.581799329175897</v>
      </c>
    </row>
    <row r="1841" spans="1:13" x14ac:dyDescent="0.2">
      <c r="A1841" s="23">
        <v>453.5</v>
      </c>
      <c r="B1841" s="20">
        <v>984.36195702577095</v>
      </c>
      <c r="C1841" s="20">
        <v>113.64102003383501</v>
      </c>
      <c r="D1841" s="20">
        <v>319.23036799093398</v>
      </c>
      <c r="E1841" s="20">
        <v>-0.24641730014431201</v>
      </c>
      <c r="F1841" s="20">
        <v>-0.42515442640766998</v>
      </c>
      <c r="G1841" s="20">
        <v>0.49140387880484498</v>
      </c>
      <c r="H1841" s="20">
        <v>9.8108202833027802E-3</v>
      </c>
      <c r="I1841" s="20">
        <v>162.41782820463399</v>
      </c>
      <c r="L1841" s="20">
        <f t="shared" si="62"/>
        <v>990.89996663333091</v>
      </c>
      <c r="M1841" s="20">
        <f t="shared" si="63"/>
        <v>-12.58442957629364</v>
      </c>
    </row>
    <row r="1842" spans="1:13" x14ac:dyDescent="0.2">
      <c r="A1842" s="23">
        <v>453.75</v>
      </c>
      <c r="B1842" s="20">
        <v>984.56545957338005</v>
      </c>
      <c r="C1842" s="20">
        <v>113.67925936248101</v>
      </c>
      <c r="D1842" s="20">
        <v>319.19906650539002</v>
      </c>
      <c r="E1842" s="20">
        <v>-0.246201562356997</v>
      </c>
      <c r="F1842" s="20">
        <v>-0.42371826901307902</v>
      </c>
      <c r="G1842" s="20">
        <v>0.490053446883569</v>
      </c>
      <c r="H1842" s="20">
        <v>9.7983859808286906E-3</v>
      </c>
      <c r="I1842" s="20">
        <v>162.48951285506999</v>
      </c>
      <c r="L1842" s="20">
        <f t="shared" si="62"/>
        <v>991.10651203296175</v>
      </c>
      <c r="M1842" s="20">
        <f t="shared" si="63"/>
        <v>-12.587052702868961</v>
      </c>
    </row>
    <row r="1843" spans="1:13" x14ac:dyDescent="0.2">
      <c r="A1843" s="23">
        <v>454</v>
      </c>
      <c r="B1843" s="20">
        <v>984.76842330517297</v>
      </c>
      <c r="C1843" s="20">
        <v>113.717283029936</v>
      </c>
      <c r="D1843" s="20">
        <v>319.16774579563003</v>
      </c>
      <c r="E1843" s="20">
        <v>-0.245985958374593</v>
      </c>
      <c r="F1843" s="20">
        <v>-0.422283957804863</v>
      </c>
      <c r="G1843" s="20">
        <v>0.48870526162177302</v>
      </c>
      <c r="H1843" s="20">
        <v>9.7859007989909794E-3</v>
      </c>
      <c r="I1843" s="20">
        <v>162.561210630717</v>
      </c>
      <c r="L1843" s="20">
        <f t="shared" si="62"/>
        <v>991.31249765079974</v>
      </c>
      <c r="M1843" s="20">
        <f t="shared" si="63"/>
        <v>-12.589668720215515</v>
      </c>
    </row>
    <row r="1844" spans="1:13" x14ac:dyDescent="0.2">
      <c r="A1844" s="23">
        <v>454.25</v>
      </c>
      <c r="B1844" s="20">
        <v>984.97084913281799</v>
      </c>
      <c r="C1844" s="20">
        <v>113.755090994141</v>
      </c>
      <c r="D1844" s="20">
        <v>319.13640575677101</v>
      </c>
      <c r="E1844" s="20">
        <v>-0.24577049064842699</v>
      </c>
      <c r="F1844" s="20">
        <v>-0.420851500025889</v>
      </c>
      <c r="G1844" s="20">
        <v>0.48735933267724502</v>
      </c>
      <c r="H1844" s="20">
        <v>9.7733650531199E-3</v>
      </c>
      <c r="I1844" s="20">
        <v>162.63292066390201</v>
      </c>
      <c r="L1844" s="20">
        <f t="shared" si="62"/>
        <v>991.51792438085045</v>
      </c>
      <c r="M1844" s="20">
        <f t="shared" si="63"/>
        <v>-12.592277639687168</v>
      </c>
    </row>
    <row r="1845" spans="1:13" x14ac:dyDescent="0.2">
      <c r="A1845" s="23">
        <v>454.5</v>
      </c>
      <c r="B1845" s="20">
        <v>985.17273797081998</v>
      </c>
      <c r="C1845" s="20">
        <v>113.792683215369</v>
      </c>
      <c r="D1845" s="20">
        <v>319.10504628376799</v>
      </c>
      <c r="E1845" s="20">
        <v>-0.24555516162530699</v>
      </c>
      <c r="F1845" s="20">
        <v>-0.419420902872082</v>
      </c>
      <c r="G1845" s="20">
        <v>0.48601566967214499</v>
      </c>
      <c r="H1845" s="20">
        <v>9.76077905920829E-3</v>
      </c>
      <c r="I1845" s="20">
        <v>162.704642086208</v>
      </c>
      <c r="L1845" s="20">
        <f t="shared" si="62"/>
        <v>991.72279312027274</v>
      </c>
      <c r="M1845" s="20">
        <f t="shared" si="63"/>
        <v>-12.594879472677844</v>
      </c>
    </row>
    <row r="1846" spans="1:13" x14ac:dyDescent="0.2">
      <c r="A1846" s="23">
        <v>454.75</v>
      </c>
      <c r="B1846" s="20">
        <v>985.37409073649201</v>
      </c>
      <c r="C1846" s="20">
        <v>113.830059656214</v>
      </c>
      <c r="D1846" s="20">
        <v>319.07366727141402</v>
      </c>
      <c r="E1846" s="20">
        <v>-0.24533997374722799</v>
      </c>
      <c r="F1846" s="20">
        <v>-0.41799217349236301</v>
      </c>
      <c r="G1846" s="20">
        <v>0.48467428219285602</v>
      </c>
      <c r="H1846" s="20">
        <v>9.7481431339014601E-3</v>
      </c>
      <c r="I1846" s="20">
        <v>162.77637402854</v>
      </c>
      <c r="L1846" s="20">
        <f t="shared" si="62"/>
        <v>991.92710476935031</v>
      </c>
      <c r="M1846" s="20">
        <f t="shared" si="63"/>
        <v>-12.597474230621138</v>
      </c>
    </row>
    <row r="1847" spans="1:13" x14ac:dyDescent="0.2">
      <c r="A1847" s="23">
        <v>455</v>
      </c>
      <c r="B1847" s="20">
        <v>985.57490834994599</v>
      </c>
      <c r="C1847" s="20">
        <v>113.86722028158501</v>
      </c>
      <c r="D1847" s="20">
        <v>319.04226861434501</v>
      </c>
      <c r="E1847" s="20">
        <v>-0.24512492945109299</v>
      </c>
      <c r="F1847" s="20">
        <v>-0.416565318988602</v>
      </c>
      <c r="G1847" s="20">
        <v>0.48333517978984197</v>
      </c>
      <c r="H1847" s="20">
        <v>9.7354575944872904E-3</v>
      </c>
      <c r="I1847" s="20">
        <v>162.84811562119401</v>
      </c>
      <c r="L1847" s="20">
        <f t="shared" si="62"/>
        <v>992.13086023148151</v>
      </c>
      <c r="M1847" s="20">
        <f t="shared" si="63"/>
        <v>-12.600061924990216</v>
      </c>
    </row>
    <row r="1848" spans="1:13" x14ac:dyDescent="0.2">
      <c r="A1848" s="23">
        <v>455.25</v>
      </c>
      <c r="B1848" s="20">
        <v>985.77519173406597</v>
      </c>
      <c r="C1848" s="20">
        <v>113.904165058698</v>
      </c>
      <c r="D1848" s="20">
        <v>319.01085020703698</v>
      </c>
      <c r="E1848" s="20">
        <v>-0.24491003116843199</v>
      </c>
      <c r="F1848" s="20">
        <v>-0.41514034641556202</v>
      </c>
      <c r="G1848" s="20">
        <v>0.48199837197749501</v>
      </c>
      <c r="H1848" s="20">
        <v>9.7227227588857594E-3</v>
      </c>
      <c r="I1848" s="20">
        <v>162.91986599392001</v>
      </c>
      <c r="L1848" s="20">
        <f t="shared" si="62"/>
        <v>992.3340604131522</v>
      </c>
      <c r="M1848" s="20">
        <f t="shared" si="63"/>
        <v>-12.602642567297446</v>
      </c>
    </row>
    <row r="1849" spans="1:13" x14ac:dyDescent="0.2">
      <c r="A1849" s="23">
        <v>455.5</v>
      </c>
      <c r="B1849" s="20">
        <v>985.97494181449702</v>
      </c>
      <c r="C1849" s="20">
        <v>113.94089395707201</v>
      </c>
      <c r="D1849" s="20">
        <v>318.97941194381201</v>
      </c>
      <c r="E1849" s="20">
        <v>-0.24469528132513599</v>
      </c>
      <c r="F1849" s="20">
        <v>-0.41371726278085103</v>
      </c>
      <c r="G1849" s="20">
        <v>0.48066386823399498</v>
      </c>
      <c r="H1849" s="20">
        <v>9.7099389456386104E-3</v>
      </c>
      <c r="I1849" s="20">
        <v>162.991624275992</v>
      </c>
      <c r="L1849" s="20">
        <f t="shared" si="62"/>
        <v>992.53670622392474</v>
      </c>
      <c r="M1849" s="20">
        <f t="shared" si="63"/>
        <v>-12.605216169094266</v>
      </c>
    </row>
    <row r="1850" spans="1:13" x14ac:dyDescent="0.2">
      <c r="A1850" s="23">
        <v>455.75</v>
      </c>
      <c r="B1850" s="20">
        <v>986.17415951962005</v>
      </c>
      <c r="C1850" s="20">
        <v>113.97740694852099</v>
      </c>
      <c r="D1850" s="20">
        <v>318.94795371883703</v>
      </c>
      <c r="E1850" s="20">
        <v>-0.244480682341186</v>
      </c>
      <c r="F1850" s="20">
        <v>-0.41229607504486998</v>
      </c>
      <c r="G1850" s="20">
        <v>0.47933167800116899</v>
      </c>
      <c r="H1850" s="20">
        <v>9.6971064738990299E-3</v>
      </c>
      <c r="I1850" s="20">
        <v>163.063389596273</v>
      </c>
      <c r="L1850" s="20">
        <f t="shared" si="62"/>
        <v>992.73879857641191</v>
      </c>
      <c r="M1850" s="20">
        <f t="shared" si="63"/>
        <v>-12.607782741970864</v>
      </c>
    </row>
    <row r="1851" spans="1:13" x14ac:dyDescent="0.2">
      <c r="A1851" s="23">
        <v>456</v>
      </c>
      <c r="B1851" s="20">
        <v>986.37284578053504</v>
      </c>
      <c r="C1851" s="20">
        <v>114.01370400714499</v>
      </c>
      <c r="D1851" s="20">
        <v>318.91647542612901</v>
      </c>
      <c r="E1851" s="20">
        <v>-0.24426623663039301</v>
      </c>
      <c r="F1851" s="20">
        <v>-0.410876790120764</v>
      </c>
      <c r="G1851" s="20">
        <v>0.47800181068435099</v>
      </c>
      <c r="H1851" s="20">
        <v>9.6842256634210207E-3</v>
      </c>
      <c r="I1851" s="20">
        <v>163.135161083284</v>
      </c>
      <c r="L1851" s="20">
        <f t="shared" si="62"/>
        <v>992.94033838625978</v>
      </c>
      <c r="M1851" s="20">
        <f t="shared" si="63"/>
        <v>-12.61034229755594</v>
      </c>
    </row>
    <row r="1852" spans="1:13" x14ac:dyDescent="0.2">
      <c r="A1852" s="23">
        <v>456.25</v>
      </c>
      <c r="B1852" s="20">
        <v>986.57100153104398</v>
      </c>
      <c r="C1852" s="20">
        <v>114.049785109326</v>
      </c>
      <c r="D1852" s="20">
        <v>318.88497695955101</v>
      </c>
      <c r="E1852" s="20">
        <v>-0.24405194660014701</v>
      </c>
      <c r="F1852" s="20">
        <v>-0.40945941487437398</v>
      </c>
      <c r="G1852" s="20">
        <v>0.47667427565223802</v>
      </c>
      <c r="H1852" s="20">
        <v>9.6712968345487003E-3</v>
      </c>
      <c r="I1852" s="20">
        <v>163.206937865268</v>
      </c>
      <c r="L1852" s="20">
        <f t="shared" si="62"/>
        <v>993.1413265721302</v>
      </c>
      <c r="M1852" s="20">
        <f t="shared" si="63"/>
        <v>-12.612894847516506</v>
      </c>
    </row>
    <row r="1853" spans="1:13" x14ac:dyDescent="0.2">
      <c r="A1853" s="23">
        <v>456.5</v>
      </c>
      <c r="B1853" s="20">
        <v>986.76862770762796</v>
      </c>
      <c r="C1853" s="20">
        <v>114.08565023372201</v>
      </c>
      <c r="D1853" s="20">
        <v>318.85345821281902</v>
      </c>
      <c r="E1853" s="20">
        <v>-0.243837814651159</v>
      </c>
      <c r="F1853" s="20">
        <v>-0.40804395612418798</v>
      </c>
      <c r="G1853" s="20">
        <v>0.47534908223676098</v>
      </c>
      <c r="H1853" s="20">
        <v>9.6583203090395697E-3</v>
      </c>
      <c r="I1853" s="20">
        <v>163.27871907025801</v>
      </c>
      <c r="L1853" s="20">
        <f t="shared" si="62"/>
        <v>993.34176405567814</v>
      </c>
      <c r="M1853" s="20">
        <f t="shared" si="63"/>
        <v>-12.615440403557573</v>
      </c>
    </row>
    <row r="1854" spans="1:13" x14ac:dyDescent="0.2">
      <c r="A1854" s="23">
        <v>456.75</v>
      </c>
      <c r="B1854" s="20">
        <v>986.96572524943201</v>
      </c>
      <c r="C1854" s="20">
        <v>114.121299361255</v>
      </c>
      <c r="D1854" s="20">
        <v>318.82191907950198</v>
      </c>
      <c r="E1854" s="20">
        <v>-0.24362384317722299</v>
      </c>
      <c r="F1854" s="20">
        <v>-0.40663042064110999</v>
      </c>
      <c r="G1854" s="20">
        <v>0.47402623973278701</v>
      </c>
      <c r="H1854" s="20">
        <v>9.6452964603028005E-3</v>
      </c>
      <c r="I1854" s="20">
        <v>163.35050382614199</v>
      </c>
      <c r="L1854" s="20">
        <f t="shared" si="62"/>
        <v>993.54165176153458</v>
      </c>
      <c r="M1854" s="20">
        <f t="shared" si="63"/>
        <v>-12.617978977421963</v>
      </c>
    </row>
    <row r="1855" spans="1:13" x14ac:dyDescent="0.2">
      <c r="A1855" s="23">
        <v>457</v>
      </c>
      <c r="B1855" s="20">
        <v>987.16229509823904</v>
      </c>
      <c r="C1855" s="20">
        <v>114.156732475109</v>
      </c>
      <c r="D1855" s="20">
        <v>318.79035945302201</v>
      </c>
      <c r="E1855" s="20">
        <v>-0.24341003456497301</v>
      </c>
      <c r="F1855" s="20">
        <v>-0.40521881513699398</v>
      </c>
      <c r="G1855" s="20">
        <v>0.47270575738819798</v>
      </c>
      <c r="H1855" s="20">
        <v>9.6322257397152E-3</v>
      </c>
      <c r="I1855" s="20">
        <v>163.42229126073801</v>
      </c>
      <c r="L1855" s="20">
        <f t="shared" si="62"/>
        <v>993.74099061728168</v>
      </c>
      <c r="M1855" s="20">
        <f t="shared" si="63"/>
        <v>-12.62051058088996</v>
      </c>
    </row>
    <row r="1856" spans="1:13" x14ac:dyDescent="0.2">
      <c r="A1856" s="23">
        <v>457.25</v>
      </c>
      <c r="B1856" s="20">
        <v>987.35833819845095</v>
      </c>
      <c r="C1856" s="20">
        <v>114.191949560715</v>
      </c>
      <c r="D1856" s="20">
        <v>318.758779226657</v>
      </c>
      <c r="E1856" s="20">
        <v>-0.243196391193649</v>
      </c>
      <c r="F1856" s="20">
        <v>-0.40380914625103198</v>
      </c>
      <c r="G1856" s="20">
        <v>0.47138764439217301</v>
      </c>
      <c r="H1856" s="20">
        <v>9.6191086020265097E-3</v>
      </c>
      <c r="I1856" s="20">
        <v>163.49408050235499</v>
      </c>
      <c r="L1856" s="20">
        <f t="shared" si="62"/>
        <v>993.93978155343166</v>
      </c>
      <c r="M1856" s="20">
        <f t="shared" si="63"/>
        <v>-12.623035225779075</v>
      </c>
    </row>
    <row r="1857" spans="1:13" x14ac:dyDescent="0.2">
      <c r="A1857" s="23">
        <v>457.5</v>
      </c>
      <c r="B1857" s="20">
        <v>987.55385549705704</v>
      </c>
      <c r="C1857" s="20">
        <v>114.22695060573901</v>
      </c>
      <c r="D1857" s="20">
        <v>318.72717829354201</v>
      </c>
      <c r="E1857" s="20">
        <v>-0.24298291543487599</v>
      </c>
      <c r="F1857" s="20">
        <v>-0.40240142055487099</v>
      </c>
      <c r="G1857" s="20">
        <v>0.470071909879553</v>
      </c>
      <c r="H1857" s="20">
        <v>9.6059455012118995E-3</v>
      </c>
      <c r="I1857" s="20">
        <v>163.56587068044999</v>
      </c>
      <c r="L1857" s="20">
        <f t="shared" si="62"/>
        <v>994.1380255033946</v>
      </c>
      <c r="M1857" s="20">
        <f t="shared" si="63"/>
        <v>-12.625552923943614</v>
      </c>
    </row>
    <row r="1858" spans="1:13" x14ac:dyDescent="0.2">
      <c r="A1858" s="23">
        <v>457.75</v>
      </c>
      <c r="B1858" s="20">
        <v>987.74884794361003</v>
      </c>
      <c r="C1858" s="20">
        <v>114.261735600069</v>
      </c>
      <c r="D1858" s="20">
        <v>318.69555654667101</v>
      </c>
      <c r="E1858" s="20">
        <v>-0.24276960965244801</v>
      </c>
      <c r="F1858" s="20">
        <v>-0.40099564455307402</v>
      </c>
      <c r="G1858" s="20">
        <v>0.46875856293121498</v>
      </c>
      <c r="H1858" s="20">
        <v>9.5927368907129107E-3</v>
      </c>
      <c r="I1858" s="20">
        <v>163.63766092547999</v>
      </c>
      <c r="L1858" s="20">
        <f t="shared" si="62"/>
        <v>994.33572340345336</v>
      </c>
      <c r="M1858" s="20">
        <f t="shared" si="63"/>
        <v>-12.628063687274372</v>
      </c>
    </row>
    <row r="1859" spans="1:13" x14ac:dyDescent="0.2">
      <c r="A1859" s="23">
        <v>458</v>
      </c>
      <c r="B1859" s="20">
        <v>987.94331649020103</v>
      </c>
      <c r="C1859" s="20">
        <v>114.29630453580501</v>
      </c>
      <c r="D1859" s="20">
        <v>318.66391387889598</v>
      </c>
      <c r="E1859" s="20">
        <v>-0.24255647620211801</v>
      </c>
      <c r="F1859" s="20">
        <v>-0.39959182468321403</v>
      </c>
      <c r="G1859" s="20">
        <v>0.46744761257412498</v>
      </c>
      <c r="H1859" s="20">
        <v>9.57948322341492E-3</v>
      </c>
      <c r="I1859" s="20">
        <v>163.709450368951</v>
      </c>
      <c r="L1859" s="20">
        <f t="shared" si="62"/>
        <v>994.5328761927376</v>
      </c>
      <c r="M1859" s="20">
        <f t="shared" si="63"/>
        <v>-12.630567527698291</v>
      </c>
    </row>
    <row r="1860" spans="1:13" x14ac:dyDescent="0.2">
      <c r="A1860" s="23">
        <v>458.25</v>
      </c>
      <c r="B1860" s="20">
        <v>988.13726209143397</v>
      </c>
      <c r="C1860" s="20">
        <v>114.330657407243</v>
      </c>
      <c r="D1860" s="20">
        <v>318.632250182934</v>
      </c>
      <c r="E1860" s="20">
        <v>-0.24234351743138899</v>
      </c>
      <c r="F1860" s="20">
        <v>-0.39818996731599399</v>
      </c>
      <c r="G1860" s="20">
        <v>0.46613906778142</v>
      </c>
      <c r="H1860" s="20">
        <v>9.5661849516293102E-3</v>
      </c>
      <c r="I1860" s="20">
        <v>163.78123814348899</v>
      </c>
      <c r="L1860" s="20">
        <f t="shared" si="62"/>
        <v>994.72948481319668</v>
      </c>
      <c r="M1860" s="20">
        <f t="shared" si="63"/>
        <v>-12.633064457178131</v>
      </c>
    </row>
    <row r="1861" spans="1:13" x14ac:dyDescent="0.2">
      <c r="A1861" s="23">
        <v>458.5</v>
      </c>
      <c r="B1861" s="20">
        <v>988.33068570439798</v>
      </c>
      <c r="C1861" s="20">
        <v>114.36479421086599</v>
      </c>
      <c r="D1861" s="20">
        <v>318.60056535135999</v>
      </c>
      <c r="E1861" s="20">
        <v>-0.24213073567931501</v>
      </c>
      <c r="F1861" s="20">
        <v>-0.39679007875536698</v>
      </c>
      <c r="G1861" s="20">
        <v>0.464832937472482</v>
      </c>
      <c r="H1861" s="20">
        <v>9.5528425270757396E-3</v>
      </c>
      <c r="I1861" s="20">
        <v>163.853023382901</v>
      </c>
      <c r="L1861" s="20">
        <f t="shared" si="62"/>
        <v>994.92555020957184</v>
      </c>
      <c r="M1861" s="20">
        <f t="shared" si="63"/>
        <v>-12.635554487712106</v>
      </c>
    </row>
    <row r="1862" spans="1:13" x14ac:dyDescent="0.2">
      <c r="A1862" s="23">
        <v>458.75</v>
      </c>
      <c r="B1862" s="20">
        <v>988.52358828864396</v>
      </c>
      <c r="C1862" s="20">
        <v>114.398714945333</v>
      </c>
      <c r="D1862" s="20">
        <v>318.56885927661801</v>
      </c>
      <c r="E1862" s="20">
        <v>-0.24191813327629899</v>
      </c>
      <c r="F1862" s="20">
        <v>-0.395392165238656</v>
      </c>
      <c r="G1862" s="20">
        <v>0.46352923051303002</v>
      </c>
      <c r="H1862" s="20">
        <v>9.5394564008646002E-3</v>
      </c>
      <c r="I1862" s="20">
        <v>163.92480522224301</v>
      </c>
      <c r="L1862" s="20">
        <f t="shared" si="62"/>
        <v>995.12107332937126</v>
      </c>
      <c r="M1862" s="20">
        <f t="shared" si="63"/>
        <v>-12.638037631333567</v>
      </c>
    </row>
    <row r="1863" spans="1:13" x14ac:dyDescent="0.2">
      <c r="A1863" s="23">
        <v>459</v>
      </c>
      <c r="B1863" s="20">
        <v>988.715970806158</v>
      </c>
      <c r="C1863" s="20">
        <v>114.432419611466</v>
      </c>
      <c r="D1863" s="20">
        <v>318.53713185101202</v>
      </c>
      <c r="E1863" s="20">
        <v>-0.24170571254390799</v>
      </c>
      <c r="F1863" s="20">
        <v>-0.39399623293668101</v>
      </c>
      <c r="G1863" s="20">
        <v>0.46222795571520098</v>
      </c>
      <c r="H1863" s="20">
        <v>9.5260270234792405E-3</v>
      </c>
      <c r="I1863" s="20">
        <v>163.996582797884</v>
      </c>
      <c r="L1863" s="20">
        <f t="shared" si="62"/>
        <v>995.31605512284295</v>
      </c>
      <c r="M1863" s="20">
        <f t="shared" si="63"/>
        <v>-12.640513900110667</v>
      </c>
    </row>
    <row r="1864" spans="1:13" x14ac:dyDescent="0.2">
      <c r="A1864" s="23">
        <v>459.25</v>
      </c>
      <c r="B1864" s="20">
        <v>988.90783422133597</v>
      </c>
      <c r="C1864" s="20">
        <v>114.465908212234</v>
      </c>
      <c r="D1864" s="20">
        <v>318.505382966718</v>
      </c>
      <c r="E1864" s="20">
        <v>-0.24149347579468</v>
      </c>
      <c r="F1864" s="20">
        <v>-0.39260228795388102</v>
      </c>
      <c r="G1864" s="20">
        <v>0.46092912183764001</v>
      </c>
      <c r="H1864" s="20">
        <v>9.5125548447588196E-3</v>
      </c>
      <c r="I1864" s="20">
        <v>164.06835524756801</v>
      </c>
      <c r="L1864" s="20">
        <f t="shared" si="62"/>
        <v>995.51049654294707</v>
      </c>
      <c r="M1864" s="20">
        <f t="shared" si="63"/>
        <v>-12.642983306146</v>
      </c>
    </row>
    <row r="1865" spans="1:13" x14ac:dyDescent="0.2">
      <c r="A1865" s="23">
        <v>459.5</v>
      </c>
      <c r="B1865" s="20">
        <v>989.09917950095996</v>
      </c>
      <c r="C1865" s="20">
        <v>114.499180752751</v>
      </c>
      <c r="D1865" s="20">
        <v>318.47361251577399</v>
      </c>
      <c r="E1865" s="20">
        <v>-0.24128142533194599</v>
      </c>
      <c r="F1865" s="20">
        <v>-0.39121033632844499</v>
      </c>
      <c r="G1865" s="20">
        <v>0.45963273758559697</v>
      </c>
      <c r="H1865" s="20">
        <v>9.4990403138806596E-3</v>
      </c>
      <c r="I1865" s="20">
        <v>164.14012171048199</v>
      </c>
      <c r="L1865" s="20">
        <f t="shared" si="62"/>
        <v>995.70439854533299</v>
      </c>
      <c r="M1865" s="20">
        <f t="shared" si="63"/>
        <v>-12.645445861576309</v>
      </c>
    </row>
    <row r="1866" spans="1:13" x14ac:dyDescent="0.2">
      <c r="A1866" s="23">
        <v>459.75</v>
      </c>
      <c r="B1866" s="20">
        <v>989.29000761416899</v>
      </c>
      <c r="C1866" s="20">
        <v>114.532237240253</v>
      </c>
      <c r="D1866" s="20">
        <v>318.44182039009098</v>
      </c>
      <c r="E1866" s="20">
        <v>-0.241069563449651</v>
      </c>
      <c r="F1866" s="20">
        <v>-0.38982038403244101</v>
      </c>
      <c r="G1866" s="20">
        <v>0.45833881161102302</v>
      </c>
      <c r="H1866" s="20">
        <v>9.4854838793430093E-3</v>
      </c>
      <c r="I1866" s="20">
        <v>164.211881327318</v>
      </c>
      <c r="L1866" s="20">
        <f t="shared" si="62"/>
        <v>995.89776208830801</v>
      </c>
      <c r="M1866" s="20">
        <f t="shared" si="63"/>
        <v>-12.647901578572105</v>
      </c>
    </row>
    <row r="1867" spans="1:13" x14ac:dyDescent="0.2">
      <c r="A1867" s="23">
        <v>460</v>
      </c>
      <c r="B1867" s="20">
        <v>989.48031953243606</v>
      </c>
      <c r="C1867" s="20">
        <v>114.56507768409401</v>
      </c>
      <c r="D1867" s="20">
        <v>318.41000648144899</v>
      </c>
      <c r="E1867" s="20">
        <v>-0.240857892432182</v>
      </c>
      <c r="F1867" s="20">
        <v>-0.38843243697194602</v>
      </c>
      <c r="G1867" s="20">
        <v>0.45704735251266698</v>
      </c>
      <c r="H1867" s="20">
        <v>9.4718859889477893E-3</v>
      </c>
      <c r="I1867" s="20">
        <v>164.28363324033501</v>
      </c>
      <c r="L1867" s="20">
        <f t="shared" si="62"/>
        <v>996.09058813281342</v>
      </c>
      <c r="M1867" s="20">
        <f t="shared" si="63"/>
        <v>-12.650350469337331</v>
      </c>
    </row>
    <row r="1868" spans="1:13" x14ac:dyDescent="0.2">
      <c r="A1868" s="23">
        <v>460.25</v>
      </c>
      <c r="B1868" s="20">
        <v>989.67011622954396</v>
      </c>
      <c r="C1868" s="20">
        <v>114.597702095732</v>
      </c>
      <c r="D1868" s="20">
        <v>318.37817068149798</v>
      </c>
      <c r="E1868" s="20">
        <v>-0.24064641455420199</v>
      </c>
      <c r="F1868" s="20">
        <v>-0.38704650098718202</v>
      </c>
      <c r="G1868" s="20">
        <v>0.45575836883617799</v>
      </c>
      <c r="H1868" s="20">
        <v>9.45824708978351E-3</v>
      </c>
      <c r="I1868" s="20">
        <v>164.35537659342501</v>
      </c>
      <c r="L1868" s="20">
        <f t="shared" si="62"/>
        <v>996.28287764239997</v>
      </c>
      <c r="M1868" s="20">
        <f t="shared" si="63"/>
        <v>-12.65279254610909</v>
      </c>
    </row>
    <row r="1869" spans="1:13" x14ac:dyDescent="0.2">
      <c r="A1869" s="23">
        <v>460.5</v>
      </c>
      <c r="B1869" s="20">
        <v>989.85939868155504</v>
      </c>
      <c r="C1869" s="20">
        <v>114.630110488718</v>
      </c>
      <c r="D1869" s="20">
        <v>318.34631288176098</v>
      </c>
      <c r="E1869" s="20">
        <v>-0.240435132080485</v>
      </c>
      <c r="F1869" s="20">
        <v>-0.38566258185265001</v>
      </c>
      <c r="G1869" s="20">
        <v>0.45447186907421699</v>
      </c>
      <c r="H1869" s="20">
        <v>9.4445676282081496E-3</v>
      </c>
      <c r="I1869" s="20">
        <v>164.427110532174</v>
      </c>
      <c r="L1869" s="20">
        <f t="shared" si="62"/>
        <v>996.47463158319556</v>
      </c>
      <c r="M1869" s="20">
        <f t="shared" si="63"/>
        <v>-12.655227821157206</v>
      </c>
    </row>
    <row r="1870" spans="1:13" x14ac:dyDescent="0.2">
      <c r="A1870" s="23">
        <v>460.75</v>
      </c>
      <c r="B1870" s="20">
        <v>990.04816786679203</v>
      </c>
      <c r="C1870" s="20">
        <v>114.66230287868299</v>
      </c>
      <c r="D1870" s="20">
        <v>318.31443297363398</v>
      </c>
      <c r="E1870" s="20">
        <v>-0.24022404726575899</v>
      </c>
      <c r="F1870" s="20">
        <v>-0.384280685277267</v>
      </c>
      <c r="G1870" s="20">
        <v>0.453187861666558</v>
      </c>
      <c r="H1870" s="20">
        <v>9.4308480498321197E-3</v>
      </c>
      <c r="I1870" s="20">
        <v>164.498834203922</v>
      </c>
      <c r="L1870" s="20">
        <f t="shared" si="62"/>
        <v>996.6658509238863</v>
      </c>
      <c r="M1870" s="20">
        <f t="shared" si="63"/>
        <v>-12.657656306783988</v>
      </c>
    </row>
    <row r="1871" spans="1:13" x14ac:dyDescent="0.2">
      <c r="A1871" s="23">
        <v>461</v>
      </c>
      <c r="B1871" s="20">
        <v>990.23642476580699</v>
      </c>
      <c r="C1871" s="20">
        <v>114.694279283325</v>
      </c>
      <c r="D1871" s="20">
        <v>318.282530848389</v>
      </c>
      <c r="E1871" s="20">
        <v>-0.240013162354554</v>
      </c>
      <c r="F1871" s="20">
        <v>-0.382900816904507</v>
      </c>
      <c r="G1871" s="20">
        <v>0.45190635500020598</v>
      </c>
      <c r="H1871" s="20">
        <v>9.4170887995014101E-3</v>
      </c>
      <c r="I1871" s="20">
        <v>164.57054675783101</v>
      </c>
      <c r="L1871" s="20">
        <f t="shared" si="62"/>
        <v>996.85653663568314</v>
      </c>
      <c r="M1871" s="20">
        <f t="shared" si="63"/>
        <v>-12.660078015323817</v>
      </c>
    </row>
    <row r="1872" spans="1:13" x14ac:dyDescent="0.2">
      <c r="A1872" s="23">
        <v>461.25</v>
      </c>
      <c r="B1872" s="20">
        <v>990.42417036136203</v>
      </c>
      <c r="C1872" s="20">
        <v>114.726039722404</v>
      </c>
      <c r="D1872" s="20">
        <v>318.250606397171</v>
      </c>
      <c r="E1872" s="20">
        <v>-0.239802479581051</v>
      </c>
      <c r="F1872" s="20">
        <v>-0.381522982312541</v>
      </c>
      <c r="G1872" s="20">
        <v>0.45062735740950699</v>
      </c>
      <c r="H1872" s="20">
        <v>9.4032903212807693E-3</v>
      </c>
      <c r="I1872" s="20">
        <v>164.64224734494101</v>
      </c>
      <c r="L1872" s="20">
        <f t="shared" si="62"/>
        <v>997.04668969230261</v>
      </c>
      <c r="M1872" s="20">
        <f t="shared" si="63"/>
        <v>-12.662492959142893</v>
      </c>
    </row>
    <row r="1873" spans="1:13" x14ac:dyDescent="0.2">
      <c r="A1873" s="23">
        <v>461.5</v>
      </c>
      <c r="B1873" s="20">
        <v>990.61140563839695</v>
      </c>
      <c r="C1873" s="20">
        <v>114.75758421772299</v>
      </c>
      <c r="D1873" s="20">
        <v>318.21865951100102</v>
      </c>
      <c r="E1873" s="20">
        <v>-0.239592001168939</v>
      </c>
      <c r="F1873" s="20">
        <v>-0.38014718701437999</v>
      </c>
      <c r="G1873" s="20">
        <v>0.44935087717626898</v>
      </c>
      <c r="H1873" s="20">
        <v>9.3894530584370597E-3</v>
      </c>
      <c r="I1873" s="20">
        <v>164.713935118233</v>
      </c>
      <c r="L1873" s="20">
        <f t="shared" si="62"/>
        <v>997.23631106993309</v>
      </c>
      <c r="M1873" s="20">
        <f t="shared" si="63"/>
        <v>-12.66490115063881</v>
      </c>
    </row>
    <row r="1874" spans="1:13" x14ac:dyDescent="0.2">
      <c r="A1874" s="23">
        <v>461.75</v>
      </c>
      <c r="B1874" s="20">
        <v>990.79813158400998</v>
      </c>
      <c r="C1874" s="20">
        <v>114.78891279312001</v>
      </c>
      <c r="D1874" s="20">
        <v>318.18669008077899</v>
      </c>
      <c r="E1874" s="20">
        <v>-0.23938172933127499</v>
      </c>
      <c r="F1874" s="20">
        <v>-0.37877343645802197</v>
      </c>
      <c r="G1874" s="20">
        <v>0.44807692252988301</v>
      </c>
      <c r="H1874" s="20">
        <v>9.37557745342249E-3</v>
      </c>
      <c r="I1874" s="20">
        <v>164.785609232691</v>
      </c>
      <c r="L1874" s="20">
        <f t="shared" si="62"/>
        <v>997.42540174721421</v>
      </c>
      <c r="M1874" s="20">
        <f t="shared" si="63"/>
        <v>-12.667302602240291</v>
      </c>
    </row>
    <row r="1875" spans="1:13" x14ac:dyDescent="0.2">
      <c r="A1875" s="23">
        <v>462</v>
      </c>
      <c r="B1875" s="20">
        <v>990.98434918742896</v>
      </c>
      <c r="C1875" s="20">
        <v>114.82002547445801</v>
      </c>
      <c r="D1875" s="20">
        <v>318.15469799728299</v>
      </c>
      <c r="E1875" s="20">
        <v>-0.239171666270351</v>
      </c>
      <c r="F1875" s="20">
        <v>-0.37740173602659499</v>
      </c>
      <c r="G1875" s="20">
        <v>0.44680550164744398</v>
      </c>
      <c r="H1875" s="20">
        <v>9.3616639478581697E-3</v>
      </c>
      <c r="I1875" s="20">
        <v>164.85726884536101</v>
      </c>
      <c r="L1875" s="20">
        <f t="shared" si="62"/>
        <v>997.61396270520754</v>
      </c>
      <c r="M1875" s="20">
        <f t="shared" si="63"/>
        <v>-12.669697326406816</v>
      </c>
    </row>
    <row r="1876" spans="1:13" x14ac:dyDescent="0.2">
      <c r="A1876" s="23">
        <v>462.25</v>
      </c>
      <c r="B1876" s="20">
        <v>991.17005943998799</v>
      </c>
      <c r="C1876" s="20">
        <v>114.85092228961101</v>
      </c>
      <c r="D1876" s="20">
        <v>318.12268315116802</v>
      </c>
      <c r="E1876" s="20">
        <v>-0.23896181417756099</v>
      </c>
      <c r="F1876" s="20">
        <v>-0.37603209103851098</v>
      </c>
      <c r="G1876" s="20">
        <v>0.44553662265388</v>
      </c>
      <c r="H1876" s="20">
        <v>9.3477129825175406E-3</v>
      </c>
      <c r="I1876" s="20">
        <v>164.92891311541101</v>
      </c>
      <c r="L1876" s="20">
        <f t="shared" si="62"/>
        <v>997.80199492737222</v>
      </c>
      <c r="M1876" s="20">
        <f t="shared" si="63"/>
        <v>-12.672085335628317</v>
      </c>
    </row>
    <row r="1877" spans="1:13" x14ac:dyDescent="0.2">
      <c r="A1877" s="23">
        <v>462.5</v>
      </c>
      <c r="B1877" s="20">
        <v>991.35526333510199</v>
      </c>
      <c r="C1877" s="20">
        <v>114.88160326845301</v>
      </c>
      <c r="D1877" s="20">
        <v>318.09064543297097</v>
      </c>
      <c r="E1877" s="20">
        <v>-0.23875217523327599</v>
      </c>
      <c r="F1877" s="20">
        <v>-0.37466450674760898</v>
      </c>
      <c r="G1877" s="20">
        <v>0.44427029362208098</v>
      </c>
      <c r="H1877" s="20">
        <v>9.3337249973102498E-3</v>
      </c>
      <c r="I1877" s="20">
        <v>165.00054120419099</v>
      </c>
      <c r="L1877" s="20">
        <f t="shared" si="62"/>
        <v>997.98949939953752</v>
      </c>
      <c r="M1877" s="20">
        <f t="shared" si="63"/>
        <v>-12.674466642424825</v>
      </c>
    </row>
    <row r="1878" spans="1:13" x14ac:dyDescent="0.2">
      <c r="A1878" s="23">
        <v>462.75</v>
      </c>
      <c r="B1878" s="20">
        <v>991.53996186824202</v>
      </c>
      <c r="C1878" s="20">
        <v>114.912068442848</v>
      </c>
      <c r="D1878" s="20">
        <v>318.058584733109</v>
      </c>
      <c r="E1878" s="20">
        <v>-0.23854275160672</v>
      </c>
      <c r="F1878" s="20">
        <v>-0.37329898834331499</v>
      </c>
      <c r="G1878" s="20">
        <v>0.44300652257302903</v>
      </c>
      <c r="H1878" s="20">
        <v>9.3197004312656397E-3</v>
      </c>
      <c r="I1878" s="20">
        <v>165.072152275295</v>
      </c>
      <c r="L1878" s="20">
        <f t="shared" si="62"/>
        <v>998.17647710987899</v>
      </c>
      <c r="M1878" s="20">
        <f t="shared" si="63"/>
        <v>-12.676841259346173</v>
      </c>
    </row>
    <row r="1879" spans="1:13" x14ac:dyDescent="0.2">
      <c r="A1879" s="23">
        <v>463</v>
      </c>
      <c r="B1879" s="20">
        <v>991.72415603690695</v>
      </c>
      <c r="C1879" s="20">
        <v>114.942317846637</v>
      </c>
      <c r="D1879" s="20">
        <v>318.02650094187902</v>
      </c>
      <c r="E1879" s="20">
        <v>-0.238333545455857</v>
      </c>
      <c r="F1879" s="20">
        <v>-0.37193554095079201</v>
      </c>
      <c r="G1879" s="20">
        <v>0.44174531747593798</v>
      </c>
      <c r="H1879" s="20">
        <v>9.3056397225167297E-3</v>
      </c>
      <c r="I1879" s="20">
        <v>165.143745494614</v>
      </c>
      <c r="L1879" s="20">
        <f t="shared" si="62"/>
        <v>998.36292904888683</v>
      </c>
      <c r="M1879" s="20">
        <f t="shared" si="63"/>
        <v>-12.679209198971581</v>
      </c>
    </row>
    <row r="1880" spans="1:13" x14ac:dyDescent="0.2">
      <c r="A1880" s="23">
        <v>463.25</v>
      </c>
      <c r="B1880" s="20">
        <v>991.90784684060395</v>
      </c>
      <c r="C1880" s="20">
        <v>114.972351515629</v>
      </c>
      <c r="D1880" s="20">
        <v>317.99439394946103</v>
      </c>
      <c r="E1880" s="20">
        <v>-0.23812455892727599</v>
      </c>
      <c r="F1880" s="20">
        <v>-0.37057416963109602</v>
      </c>
      <c r="G1880" s="20">
        <v>0.44048668624838899</v>
      </c>
      <c r="H1880" s="20">
        <v>9.2915433082841892E-3</v>
      </c>
      <c r="I1880" s="20">
        <v>165.21532003039999</v>
      </c>
      <c r="L1880" s="20">
        <f t="shared" si="62"/>
        <v>998.5488562093476</v>
      </c>
      <c r="M1880" s="20">
        <f t="shared" si="63"/>
        <v>-12.68157047390944</v>
      </c>
    </row>
    <row r="1881" spans="1:13" x14ac:dyDescent="0.2">
      <c r="A1881" s="23">
        <v>463.5</v>
      </c>
      <c r="B1881" s="20">
        <v>992.09103528082005</v>
      </c>
      <c r="C1881" s="20">
        <v>115.00216948758801</v>
      </c>
      <c r="D1881" s="20">
        <v>317.96226364592002</v>
      </c>
      <c r="E1881" s="20">
        <v>-0.23791579415608</v>
      </c>
      <c r="F1881" s="20">
        <v>-0.36921487938133601</v>
      </c>
      <c r="G1881" s="20">
        <v>0.43923063675646801</v>
      </c>
      <c r="H1881" s="20">
        <v>9.2774116248601907E-3</v>
      </c>
      <c r="I1881" s="20">
        <v>165.28687505332101</v>
      </c>
      <c r="L1881" s="20">
        <f t="shared" si="62"/>
        <v>998.73425958631321</v>
      </c>
      <c r="M1881" s="20">
        <f t="shared" si="63"/>
        <v>-12.683925096796914</v>
      </c>
    </row>
    <row r="1882" spans="1:13" x14ac:dyDescent="0.2">
      <c r="A1882" s="23">
        <v>463.75</v>
      </c>
      <c r="B1882" s="20">
        <v>992.27372236099598</v>
      </c>
      <c r="C1882" s="20">
        <v>115.031771802222</v>
      </c>
      <c r="D1882" s="20">
        <v>317.93010992120099</v>
      </c>
      <c r="E1882" s="20">
        <v>-0.23770725326578501</v>
      </c>
      <c r="F1882" s="20">
        <v>-0.36785767513482898</v>
      </c>
      <c r="G1882" s="20">
        <v>0.43797717681491699</v>
      </c>
      <c r="H1882" s="20">
        <v>9.2632451075927401E-3</v>
      </c>
      <c r="I1882" s="20">
        <v>165.35840973651901</v>
      </c>
      <c r="L1882" s="20">
        <f t="shared" si="62"/>
        <v>998.91914017707427</v>
      </c>
      <c r="M1882" s="20">
        <f t="shared" si="63"/>
        <v>-12.686273080299589</v>
      </c>
    </row>
    <row r="1883" spans="1:13" x14ac:dyDescent="0.2">
      <c r="A1883" s="23">
        <v>464</v>
      </c>
      <c r="B1883" s="20">
        <v>992.45590908650502</v>
      </c>
      <c r="C1883" s="20">
        <v>115.061158501172</v>
      </c>
      <c r="D1883" s="20">
        <v>317.89793266513698</v>
      </c>
      <c r="E1883" s="20">
        <v>-0.23749893836821601</v>
      </c>
      <c r="F1883" s="20">
        <v>-0.366502561761267</v>
      </c>
      <c r="G1883" s="20">
        <v>0.43672631418727398</v>
      </c>
      <c r="H1883" s="20">
        <v>9.2490441908698092E-3</v>
      </c>
      <c r="I1883" s="20">
        <v>165.42992325567101</v>
      </c>
      <c r="L1883" s="20">
        <f t="shared" si="62"/>
        <v>999.10349898113805</v>
      </c>
      <c r="M1883" s="20">
        <f t="shared" si="63"/>
        <v>-12.688614437111209</v>
      </c>
    </row>
    <row r="1884" spans="1:13" x14ac:dyDescent="0.2">
      <c r="A1884" s="23">
        <v>464.25</v>
      </c>
      <c r="B1884" s="20">
        <v>992.63759646462699</v>
      </c>
      <c r="C1884" s="20">
        <v>115.090329628001</v>
      </c>
      <c r="D1884" s="20">
        <v>317.86573176744201</v>
      </c>
      <c r="E1884" s="20">
        <v>-0.23729085156341601</v>
      </c>
      <c r="F1884" s="20">
        <v>-0.365149544066876</v>
      </c>
      <c r="G1884" s="20">
        <v>0.43547805658602201</v>
      </c>
      <c r="H1884" s="20">
        <v>9.2348093081037405E-3</v>
      </c>
      <c r="I1884" s="20">
        <v>165.501414789037</v>
      </c>
      <c r="L1884" s="20">
        <f t="shared" ref="L1884:L1947" si="64">SQRT(B1884^2+C1884^2)</f>
        <v>999.28733700020121</v>
      </c>
      <c r="M1884" s="20">
        <f t="shared" ref="M1884:M1947" si="65">-L1884/A$25*100</f>
        <v>-12.69094917995332</v>
      </c>
    </row>
    <row r="1885" spans="1:13" x14ac:dyDescent="0.2">
      <c r="A1885" s="23">
        <v>464.5</v>
      </c>
      <c r="B1885" s="20">
        <v>992.81878550452097</v>
      </c>
      <c r="C1885" s="20">
        <v>115.119285228183</v>
      </c>
      <c r="D1885" s="20">
        <v>317.833507117718</v>
      </c>
      <c r="E1885" s="20">
        <v>-0.23708299493954699</v>
      </c>
      <c r="F1885" s="20">
        <v>-0.36379862679458203</v>
      </c>
      <c r="G1885" s="20">
        <v>0.43423241167274501</v>
      </c>
      <c r="H1885" s="20">
        <v>9.2205408917156399E-3</v>
      </c>
      <c r="I1885" s="20">
        <v>165.572883517528</v>
      </c>
      <c r="L1885" s="20">
        <f t="shared" si="64"/>
        <v>999.47065523812148</v>
      </c>
      <c r="M1885" s="20">
        <f t="shared" si="65"/>
        <v>-12.693277321574916</v>
      </c>
    </row>
    <row r="1886" spans="1:13" x14ac:dyDescent="0.2">
      <c r="A1886" s="23">
        <v>464.75</v>
      </c>
      <c r="B1886" s="20">
        <v>992.99947721720196</v>
      </c>
      <c r="C1886" s="20">
        <v>115.148025349091</v>
      </c>
      <c r="D1886" s="20">
        <v>317.801258605454</v>
      </c>
      <c r="E1886" s="20">
        <v>-0.23687537057281</v>
      </c>
      <c r="F1886" s="20">
        <v>-0.36244981462417603</v>
      </c>
      <c r="G1886" s="20">
        <v>0.43298938705828</v>
      </c>
      <c r="H1886" s="20">
        <v>9.2062393731199097E-3</v>
      </c>
      <c r="I1886" s="20">
        <v>165.644328624753</v>
      </c>
      <c r="L1886" s="20">
        <f t="shared" si="64"/>
        <v>999.65345470089346</v>
      </c>
      <c r="M1886" s="20">
        <f t="shared" si="65"/>
        <v>-12.695598874752129</v>
      </c>
    </row>
    <row r="1887" spans="1:13" x14ac:dyDescent="0.2">
      <c r="A1887" s="23">
        <v>465</v>
      </c>
      <c r="B1887" s="20">
        <v>993.17967261552099</v>
      </c>
      <c r="C1887" s="20">
        <v>115.176550039988</v>
      </c>
      <c r="D1887" s="20">
        <v>317.76898612002401</v>
      </c>
      <c r="E1887" s="20">
        <v>-0.23666798052735399</v>
      </c>
      <c r="F1887" s="20">
        <v>-0.36110311217248497</v>
      </c>
      <c r="G1887" s="20">
        <v>0.431748990302873</v>
      </c>
      <c r="H1887" s="20">
        <v>9.1919051827089992E-3</v>
      </c>
      <c r="I1887" s="20">
        <v>165.715749297077</v>
      </c>
      <c r="L1887" s="20">
        <f t="shared" si="64"/>
        <v>999.83573639662802</v>
      </c>
      <c r="M1887" s="20">
        <f t="shared" si="65"/>
        <v>-12.697913852287968</v>
      </c>
    </row>
    <row r="1888" spans="1:13" x14ac:dyDescent="0.2">
      <c r="A1888" s="23">
        <v>465.25</v>
      </c>
      <c r="B1888" s="20">
        <v>993.35937271413104</v>
      </c>
      <c r="C1888" s="20">
        <v>115.204859352014</v>
      </c>
      <c r="D1888" s="20">
        <v>317.73668955068899</v>
      </c>
      <c r="E1888" s="20">
        <v>-0.23646082685520101</v>
      </c>
      <c r="F1888" s="20">
        <v>-0.35975852399354002</v>
      </c>
      <c r="G1888" s="20">
        <v>0.43051122891633797</v>
      </c>
      <c r="H1888" s="20">
        <v>9.1775387498380708E-3</v>
      </c>
      <c r="I1888" s="20">
        <v>165.78714472368</v>
      </c>
      <c r="L1888" s="20">
        <f t="shared" si="64"/>
        <v>1000.0175013355163</v>
      </c>
      <c r="M1888" s="20">
        <f t="shared" si="65"/>
        <v>-12.700222267011856</v>
      </c>
    </row>
    <row r="1889" spans="1:13" x14ac:dyDescent="0.2">
      <c r="A1889" s="23">
        <v>465.5</v>
      </c>
      <c r="B1889" s="20">
        <v>993.53857852946999</v>
      </c>
      <c r="C1889" s="20">
        <v>115.23295333817499</v>
      </c>
      <c r="D1889" s="20">
        <v>317.70436878659899</v>
      </c>
      <c r="E1889" s="20">
        <v>-0.23625391159616699</v>
      </c>
      <c r="F1889" s="20">
        <v>-0.35841605457874698</v>
      </c>
      <c r="G1889" s="20">
        <v>0.429276110358222</v>
      </c>
      <c r="H1889" s="20">
        <v>9.1631405028099692E-3</v>
      </c>
      <c r="I1889" s="20">
        <v>165.85851409660501</v>
      </c>
      <c r="L1889" s="20">
        <f t="shared" si="64"/>
        <v>1000.1987505298124</v>
      </c>
      <c r="M1889" s="20">
        <f t="shared" si="65"/>
        <v>-12.702524131779427</v>
      </c>
    </row>
    <row r="1890" spans="1:13" x14ac:dyDescent="0.2">
      <c r="A1890" s="23">
        <v>465.75</v>
      </c>
      <c r="B1890" s="20">
        <v>993.71729107973601</v>
      </c>
      <c r="C1890" s="20">
        <v>115.260832053334</v>
      </c>
      <c r="D1890" s="20">
        <v>317.67202371679298</v>
      </c>
      <c r="E1890" s="20">
        <v>-0.23604723677779099</v>
      </c>
      <c r="F1890" s="20">
        <v>-0.35707570835706298</v>
      </c>
      <c r="G1890" s="20">
        <v>0.42804364203796902</v>
      </c>
      <c r="H1890" s="20">
        <v>9.1487108688600594E-3</v>
      </c>
      <c r="I1890" s="20">
        <v>165.92985661081801</v>
      </c>
      <c r="L1890" s="20">
        <f t="shared" si="64"/>
        <v>1000.3794849938075</v>
      </c>
      <c r="M1890" s="20">
        <f t="shared" si="65"/>
        <v>-12.704819459472175</v>
      </c>
    </row>
    <row r="1891" spans="1:13" x14ac:dyDescent="0.2">
      <c r="A1891" s="23">
        <v>466</v>
      </c>
      <c r="B1891" s="20">
        <v>993.89551138485797</v>
      </c>
      <c r="C1891" s="20">
        <v>115.28849555419499</v>
      </c>
      <c r="D1891" s="20">
        <v>317.63965423019698</v>
      </c>
      <c r="E1891" s="20">
        <v>-0.235840804415268</v>
      </c>
      <c r="F1891" s="20">
        <v>-0.355737489695167</v>
      </c>
      <c r="G1891" s="20">
        <v>0.42681383131508199</v>
      </c>
      <c r="H1891" s="20">
        <v>9.1342502741415203E-3</v>
      </c>
      <c r="I1891" s="20">
        <v>166.00117146426001</v>
      </c>
      <c r="L1891" s="20">
        <f t="shared" si="64"/>
        <v>1000.5597057437992</v>
      </c>
      <c r="M1891" s="20">
        <f t="shared" si="65"/>
        <v>-12.70710826299708</v>
      </c>
    </row>
    <row r="1892" spans="1:13" x14ac:dyDescent="0.2">
      <c r="A1892" s="23">
        <v>466.25</v>
      </c>
      <c r="B1892" s="20">
        <v>994.073240466475</v>
      </c>
      <c r="C1892" s="20">
        <v>115.315943899301</v>
      </c>
      <c r="D1892" s="20">
        <v>317.60726021562601</v>
      </c>
      <c r="E1892" s="20">
        <v>-0.23563461651138301</v>
      </c>
      <c r="F1892" s="20">
        <v>-0.354401402897639</v>
      </c>
      <c r="G1892" s="20">
        <v>0.42558668549930201</v>
      </c>
      <c r="H1892" s="20">
        <v>9.11975914371029E-3</v>
      </c>
      <c r="I1892" s="20">
        <v>166.07245785789999</v>
      </c>
      <c r="L1892" s="20">
        <f t="shared" si="64"/>
        <v>1000.7394137980701</v>
      </c>
      <c r="M1892" s="20">
        <f t="shared" si="65"/>
        <v>-12.70939055528633</v>
      </c>
    </row>
    <row r="1893" spans="1:13" x14ac:dyDescent="0.2">
      <c r="A1893" s="23">
        <v>466.5</v>
      </c>
      <c r="B1893" s="20">
        <v>994.25047934791201</v>
      </c>
      <c r="C1893" s="20">
        <v>115.343177149013</v>
      </c>
      <c r="D1893" s="20">
        <v>317.57484156178703</v>
      </c>
      <c r="E1893" s="20">
        <v>-0.23542867505645301</v>
      </c>
      <c r="F1893" s="20">
        <v>-0.35306745220713898</v>
      </c>
      <c r="G1893" s="20">
        <v>0.42436221185077</v>
      </c>
      <c r="H1893" s="20">
        <v>9.1052379015107102E-3</v>
      </c>
      <c r="I1893" s="20">
        <v>166.14371499578701</v>
      </c>
      <c r="L1893" s="20">
        <f t="shared" si="64"/>
        <v>1000.9186101768622</v>
      </c>
      <c r="M1893" s="20">
        <f t="shared" si="65"/>
        <v>-12.711666349296996</v>
      </c>
    </row>
    <row r="1894" spans="1:13" x14ac:dyDescent="0.2">
      <c r="A1894" s="23">
        <v>466.75</v>
      </c>
      <c r="B1894" s="20">
        <v>994.42722905415599</v>
      </c>
      <c r="C1894" s="20">
        <v>115.37019536550601</v>
      </c>
      <c r="D1894" s="20">
        <v>317.54239815727499</v>
      </c>
      <c r="E1894" s="20">
        <v>-0.235222982028266</v>
      </c>
      <c r="F1894" s="20">
        <v>-0.351735641804585</v>
      </c>
      <c r="G1894" s="20">
        <v>0.42314041758020798</v>
      </c>
      <c r="H1894" s="20">
        <v>9.0906869703605703E-3</v>
      </c>
      <c r="I1894" s="20">
        <v>166.214942085106</v>
      </c>
      <c r="L1894" s="20">
        <f t="shared" si="64"/>
        <v>1001.0972959023522</v>
      </c>
      <c r="M1894" s="20">
        <f t="shared" si="65"/>
        <v>-12.71393565801073</v>
      </c>
    </row>
    <row r="1895" spans="1:13" x14ac:dyDescent="0.2">
      <c r="A1895" s="23">
        <v>467</v>
      </c>
      <c r="B1895" s="20">
        <v>994.60349061182706</v>
      </c>
      <c r="C1895" s="20">
        <v>115.396998612757</v>
      </c>
      <c r="D1895" s="20">
        <v>317.50992989057499</v>
      </c>
      <c r="E1895" s="20">
        <v>-0.23501753939203099</v>
      </c>
      <c r="F1895" s="20">
        <v>-0.35040597580933303</v>
      </c>
      <c r="G1895" s="20">
        <v>0.42192130984909498</v>
      </c>
      <c r="H1895" s="20">
        <v>9.0761067719370304E-3</v>
      </c>
      <c r="I1895" s="20">
        <v>166.286138336227</v>
      </c>
      <c r="L1895" s="20">
        <f t="shared" si="64"/>
        <v>1001.275471998622</v>
      </c>
      <c r="M1895" s="20">
        <f t="shared" si="65"/>
        <v>-12.716198494433364</v>
      </c>
    </row>
    <row r="1896" spans="1:13" x14ac:dyDescent="0.2">
      <c r="A1896" s="23">
        <v>467.25</v>
      </c>
      <c r="B1896" s="20">
        <v>994.77926504916195</v>
      </c>
      <c r="C1896" s="20">
        <v>115.42358695653</v>
      </c>
      <c r="D1896" s="20">
        <v>317.47743665006601</v>
      </c>
      <c r="E1896" s="20">
        <v>-0.23481234910033</v>
      </c>
      <c r="F1896" s="20">
        <v>-0.34907845827936501</v>
      </c>
      <c r="G1896" s="20">
        <v>0.42070489576984199</v>
      </c>
      <c r="H1896" s="20">
        <v>9.0614977267619405E-3</v>
      </c>
      <c r="I1896" s="20">
        <v>166.35730296275699</v>
      </c>
      <c r="L1896" s="20">
        <f t="shared" si="64"/>
        <v>1001.4531394916402</v>
      </c>
      <c r="M1896" s="20">
        <f t="shared" si="65"/>
        <v>-12.718454871594703</v>
      </c>
    </row>
    <row r="1897" spans="1:13" x14ac:dyDescent="0.2">
      <c r="A1897" s="23">
        <v>467.5</v>
      </c>
      <c r="B1897" s="20">
        <v>994.95455339598402</v>
      </c>
      <c r="C1897" s="20">
        <v>115.449960464371</v>
      </c>
      <c r="D1897" s="20">
        <v>317.444918324014</v>
      </c>
      <c r="E1897" s="20">
        <v>-0.23460741309306901</v>
      </c>
      <c r="F1897" s="20">
        <v>-0.34775309321146902</v>
      </c>
      <c r="G1897" s="20">
        <v>0.41949118240597899</v>
      </c>
      <c r="H1897" s="20">
        <v>9.0468602541879193E-3</v>
      </c>
      <c r="I1897" s="20">
        <v>166.42843518159299</v>
      </c>
      <c r="L1897" s="20">
        <f t="shared" si="64"/>
        <v>1001.6302994092315</v>
      </c>
      <c r="M1897" s="20">
        <f t="shared" si="65"/>
        <v>-12.720704802548125</v>
      </c>
    </row>
    <row r="1898" spans="1:13" x14ac:dyDescent="0.2">
      <c r="A1898" s="23">
        <v>467.75</v>
      </c>
      <c r="B1898" s="20">
        <v>995.129356683683</v>
      </c>
      <c r="C1898" s="20">
        <v>115.47611920559299</v>
      </c>
      <c r="D1898" s="20">
        <v>317.41237480057902</v>
      </c>
      <c r="E1898" s="20">
        <v>-0.23440273329743799</v>
      </c>
      <c r="F1898" s="20">
        <v>-0.34642988454142698</v>
      </c>
      <c r="G1898" s="20">
        <v>0.41828017677233598</v>
      </c>
      <c r="H1898" s="20">
        <v>9.0321947723839904E-3</v>
      </c>
      <c r="I1898" s="20">
        <v>166.49953421297201</v>
      </c>
      <c r="L1898" s="20">
        <f t="shared" si="64"/>
        <v>1001.8069527810561</v>
      </c>
      <c r="M1898" s="20">
        <f t="shared" si="65"/>
        <v>-12.722948300370303</v>
      </c>
    </row>
    <row r="1899" spans="1:13" x14ac:dyDescent="0.2">
      <c r="A1899" s="23">
        <v>468</v>
      </c>
      <c r="B1899" s="20">
        <v>995.30367594518702</v>
      </c>
      <c r="C1899" s="20">
        <v>115.50206325126599</v>
      </c>
      <c r="D1899" s="20">
        <v>317.37980596781102</v>
      </c>
      <c r="E1899" s="20">
        <v>-0.234198311627872</v>
      </c>
      <c r="F1899" s="20">
        <v>-0.34510883614420301</v>
      </c>
      <c r="G1899" s="20">
        <v>0.41707188583522697</v>
      </c>
      <c r="H1899" s="20">
        <v>9.0175016983217293E-3</v>
      </c>
      <c r="I1899" s="20">
        <v>166.57059928052101</v>
      </c>
      <c r="L1899" s="20">
        <f t="shared" si="64"/>
        <v>1001.9831006385793</v>
      </c>
      <c r="M1899" s="20">
        <f t="shared" si="65"/>
        <v>-12.725185378160859</v>
      </c>
    </row>
    <row r="1900" spans="1:13" x14ac:dyDescent="0.2">
      <c r="A1900" s="23">
        <v>468.25</v>
      </c>
      <c r="B1900" s="20">
        <v>995.477512214944</v>
      </c>
      <c r="C1900" s="20">
        <v>115.527792674209</v>
      </c>
      <c r="D1900" s="20">
        <v>317.347211713653</v>
      </c>
      <c r="E1900" s="20">
        <v>-0.233994149986017</v>
      </c>
      <c r="F1900" s="20">
        <v>-0.34378995183413102</v>
      </c>
      <c r="G1900" s="20">
        <v>0.415866316512642</v>
      </c>
      <c r="H1900" s="20">
        <v>9.0027814477613294E-3</v>
      </c>
      <c r="I1900" s="20">
        <v>166.641629611307</v>
      </c>
      <c r="L1900" s="20">
        <f t="shared" si="64"/>
        <v>1002.1587440150532</v>
      </c>
      <c r="M1900" s="20">
        <f t="shared" si="65"/>
        <v>-12.727416049042088</v>
      </c>
    </row>
    <row r="1901" spans="1:13" x14ac:dyDescent="0.2">
      <c r="A1901" s="23">
        <v>468.5</v>
      </c>
      <c r="B1901" s="20">
        <v>995.65086652889397</v>
      </c>
      <c r="C1901" s="20">
        <v>115.553307548975</v>
      </c>
      <c r="D1901" s="20">
        <v>317.31459192594099</v>
      </c>
      <c r="E1901" s="20">
        <v>-0.233790250260696</v>
      </c>
      <c r="F1901" s="20">
        <v>-0.34247323536510799</v>
      </c>
      <c r="G1901" s="20">
        <v>0.41466347567443601</v>
      </c>
      <c r="H1901" s="20">
        <v>8.9880344352379106E-3</v>
      </c>
      <c r="I1901" s="20">
        <v>166.712624435885</v>
      </c>
      <c r="L1901" s="20">
        <f t="shared" si="64"/>
        <v>1002.3338839454872</v>
      </c>
      <c r="M1901" s="20">
        <f t="shared" si="65"/>
        <v>-12.729640326158606</v>
      </c>
    </row>
    <row r="1902" spans="1:13" x14ac:dyDescent="0.2">
      <c r="A1902" s="23">
        <v>468.75</v>
      </c>
      <c r="B1902" s="20">
        <v>995.82373992444604</v>
      </c>
      <c r="C1902" s="20">
        <v>115.578607951842</v>
      </c>
      <c r="D1902" s="20">
        <v>317.28194649239998</v>
      </c>
      <c r="E1902" s="20">
        <v>-0.233586614327884</v>
      </c>
      <c r="F1902" s="20">
        <v>-0.34115869043078401</v>
      </c>
      <c r="G1902" s="20">
        <v>0.41346337014252099</v>
      </c>
      <c r="H1902" s="20">
        <v>8.9732610740477902E-3</v>
      </c>
      <c r="I1902" s="20">
        <v>166.783582988353</v>
      </c>
      <c r="L1902" s="20">
        <f t="shared" si="64"/>
        <v>1002.508521466624</v>
      </c>
      <c r="M1902" s="20">
        <f t="shared" si="65"/>
        <v>-12.731858222677053</v>
      </c>
    </row>
    <row r="1903" spans="1:13" x14ac:dyDescent="0.2">
      <c r="A1903" s="23">
        <v>469</v>
      </c>
      <c r="B1903" s="20">
        <v>995.99613344045804</v>
      </c>
      <c r="C1903" s="20">
        <v>115.603693960806</v>
      </c>
      <c r="D1903" s="20">
        <v>317.24927530065099</v>
      </c>
      <c r="E1903" s="20">
        <v>-0.233383244050681</v>
      </c>
      <c r="F1903" s="20">
        <v>-0.33984632066475801</v>
      </c>
      <c r="G1903" s="20">
        <v>0.41226600669106001</v>
      </c>
      <c r="H1903" s="20">
        <v>8.9584617762350199E-3</v>
      </c>
      <c r="I1903" s="20">
        <v>166.85450450639101</v>
      </c>
      <c r="L1903" s="20">
        <f t="shared" si="64"/>
        <v>1002.6826576169184</v>
      </c>
      <c r="M1903" s="20">
        <f t="shared" si="65"/>
        <v>-12.734069751785801</v>
      </c>
    </row>
    <row r="1904" spans="1:13" x14ac:dyDescent="0.2">
      <c r="A1904" s="23">
        <v>469.25</v>
      </c>
      <c r="B1904" s="20">
        <v>996.16804811720795</v>
      </c>
      <c r="C1904" s="20">
        <v>115.628565655561</v>
      </c>
      <c r="D1904" s="20">
        <v>317.21657823820601</v>
      </c>
      <c r="E1904" s="20">
        <v>-0.23318014127929301</v>
      </c>
      <c r="F1904" s="20">
        <v>-0.33853612964077001</v>
      </c>
      <c r="G1904" s="20">
        <v>0.41107139204666598</v>
      </c>
      <c r="H1904" s="20">
        <v>8.9436369525780508E-3</v>
      </c>
      <c r="I1904" s="20">
        <v>166.925388231319</v>
      </c>
      <c r="L1904" s="20">
        <f t="shared" si="64"/>
        <v>1002.8562934365075</v>
      </c>
      <c r="M1904" s="20">
        <f t="shared" si="65"/>
        <v>-12.736274926694591</v>
      </c>
    </row>
    <row r="1905" spans="1:13" x14ac:dyDescent="0.2">
      <c r="A1905" s="23">
        <v>469.5</v>
      </c>
      <c r="B1905" s="20">
        <v>996.33948499637495</v>
      </c>
      <c r="C1905" s="20">
        <v>115.6532231175</v>
      </c>
      <c r="D1905" s="20">
        <v>317.18385519246999</v>
      </c>
      <c r="E1905" s="20">
        <v>-0.23297730785101201</v>
      </c>
      <c r="F1905" s="20">
        <v>-0.33722812087290299</v>
      </c>
      <c r="G1905" s="20">
        <v>0.40987953288859702</v>
      </c>
      <c r="H1905" s="20">
        <v>8.9287870125762999E-3</v>
      </c>
      <c r="I1905" s="20">
        <v>166.99623340813699</v>
      </c>
      <c r="L1905" s="20">
        <f t="shared" si="64"/>
        <v>1003.0294299671909</v>
      </c>
      <c r="M1905" s="20">
        <f t="shared" si="65"/>
        <v>-12.738473760634278</v>
      </c>
    </row>
    <row r="1906" spans="1:13" x14ac:dyDescent="0.2">
      <c r="A1906" s="23">
        <v>469.75</v>
      </c>
      <c r="B1906" s="20">
        <v>996.51044512101305</v>
      </c>
      <c r="C1906" s="20">
        <v>115.677666429696</v>
      </c>
      <c r="D1906" s="20">
        <v>317.15110605074102</v>
      </c>
      <c r="E1906" s="20">
        <v>-0.232774745590203</v>
      </c>
      <c r="F1906" s="20">
        <v>-0.33592229781577698</v>
      </c>
      <c r="G1906" s="20">
        <v>0.40869043584896297</v>
      </c>
      <c r="H1906" s="20">
        <v>8.9139123644370998E-3</v>
      </c>
      <c r="I1906" s="20">
        <v>167.06703928557599</v>
      </c>
      <c r="L1906" s="20">
        <f t="shared" si="64"/>
        <v>1003.2020682524033</v>
      </c>
      <c r="M1906" s="20">
        <f t="shared" si="65"/>
        <v>-12.740666266856485</v>
      </c>
    </row>
    <row r="1907" spans="1:13" x14ac:dyDescent="0.2">
      <c r="A1907" s="23">
        <v>470</v>
      </c>
      <c r="B1907" s="20">
        <v>996.68092953553003</v>
      </c>
      <c r="C1907" s="20">
        <v>115.701895676891</v>
      </c>
      <c r="D1907" s="20">
        <v>317.11833070020998</v>
      </c>
      <c r="E1907" s="20">
        <v>-0.23257245630829099</v>
      </c>
      <c r="F1907" s="20">
        <v>-0.33461866386474998</v>
      </c>
      <c r="G1907" s="20">
        <v>0.40750410751292199</v>
      </c>
      <c r="H1907" s="20">
        <v>8.8990134150627297E-3</v>
      </c>
      <c r="I1907" s="20">
        <v>167.13780511614399</v>
      </c>
      <c r="L1907" s="20">
        <f t="shared" si="64"/>
        <v>1003.3742093371916</v>
      </c>
      <c r="M1907" s="20">
        <f t="shared" si="65"/>
        <v>-12.742852458633305</v>
      </c>
    </row>
    <row r="1908" spans="1:13" x14ac:dyDescent="0.2">
      <c r="A1908" s="23">
        <v>470.25</v>
      </c>
      <c r="B1908" s="20">
        <v>996.85093928566198</v>
      </c>
      <c r="C1908" s="20">
        <v>115.72591094549399</v>
      </c>
      <c r="D1908" s="20">
        <v>317.08552902795998</v>
      </c>
      <c r="E1908" s="20">
        <v>-0.23237044180375499</v>
      </c>
      <c r="F1908" s="20">
        <v>-0.33331722235611999</v>
      </c>
      <c r="G1908" s="20">
        <v>0.40632055441888698</v>
      </c>
      <c r="H1908" s="20">
        <v>8.8840905700373306E-3</v>
      </c>
      <c r="I1908" s="20">
        <v>167.20853015617399</v>
      </c>
      <c r="L1908" s="20">
        <f t="shared" si="64"/>
        <v>1003.5458542681899</v>
      </c>
      <c r="M1908" s="20">
        <f t="shared" si="65"/>
        <v>-12.745032349256993</v>
      </c>
    </row>
    <row r="1909" spans="1:13" x14ac:dyDescent="0.2">
      <c r="A1909" s="23">
        <v>470.5</v>
      </c>
      <c r="B1909" s="20">
        <v>997.02047541845297</v>
      </c>
      <c r="C1909" s="20">
        <v>115.749712323559</v>
      </c>
      <c r="D1909" s="20">
        <v>317.05270092096902</v>
      </c>
      <c r="E1909" s="20">
        <v>-0.23216870386212299</v>
      </c>
      <c r="F1909" s="20">
        <v>-0.33201797656732701</v>
      </c>
      <c r="G1909" s="20">
        <v>0.40513978305873699</v>
      </c>
      <c r="H1909" s="20">
        <v>8.8691442336143091E-3</v>
      </c>
      <c r="I1909" s="20">
        <v>167.27921366586699</v>
      </c>
      <c r="L1909" s="20">
        <f t="shared" si="64"/>
        <v>1003.7170040935964</v>
      </c>
      <c r="M1909" s="20">
        <f t="shared" si="65"/>
        <v>-12.747205952039664</v>
      </c>
    </row>
    <row r="1910" spans="1:13" x14ac:dyDescent="0.2">
      <c r="A1910" s="23">
        <v>470.75</v>
      </c>
      <c r="B1910" s="20">
        <v>997.18953898223003</v>
      </c>
      <c r="C1910" s="20">
        <v>115.773299900783</v>
      </c>
      <c r="D1910" s="20">
        <v>317.01984626610601</v>
      </c>
      <c r="E1910" s="20">
        <v>-0.23196724425596499</v>
      </c>
      <c r="F1910" s="20">
        <v>-0.330720929717157</v>
      </c>
      <c r="G1910" s="20">
        <v>0.403961799878017</v>
      </c>
      <c r="H1910" s="20">
        <v>8.8541748087035202E-3</v>
      </c>
      <c r="I1910" s="20">
        <v>167.34985490933801</v>
      </c>
      <c r="L1910" s="20">
        <f t="shared" si="64"/>
        <v>1003.8876598631488</v>
      </c>
      <c r="M1910" s="20">
        <f t="shared" si="65"/>
        <v>-12.749373280312987</v>
      </c>
    </row>
    <row r="1911" spans="1:13" x14ac:dyDescent="0.2">
      <c r="A1911" s="23">
        <v>471</v>
      </c>
      <c r="B1911" s="20">
        <v>997.35813102658199</v>
      </c>
      <c r="C1911" s="20">
        <v>115.796673768492</v>
      </c>
      <c r="D1911" s="20">
        <v>316.98696495013598</v>
      </c>
      <c r="E1911" s="20">
        <v>-0.23176606474490499</v>
      </c>
      <c r="F1911" s="20">
        <v>-0.329426084965946</v>
      </c>
      <c r="G1911" s="20">
        <v>0.402786611276157</v>
      </c>
      <c r="H1911" s="20">
        <v>8.8391826968588702E-3</v>
      </c>
      <c r="I1911" s="20">
        <v>167.420453154662</v>
      </c>
      <c r="L1911" s="20">
        <f t="shared" si="64"/>
        <v>1004.057822628101</v>
      </c>
      <c r="M1911" s="20">
        <f t="shared" si="65"/>
        <v>-12.75153434742789</v>
      </c>
    </row>
    <row r="1912" spans="1:13" x14ac:dyDescent="0.2">
      <c r="A1912" s="23">
        <v>471.25</v>
      </c>
      <c r="B1912" s="20">
        <v>997.52625260233299</v>
      </c>
      <c r="C1912" s="20">
        <v>115.81983401962999</v>
      </c>
      <c r="D1912" s="20">
        <v>316.954056859714</v>
      </c>
      <c r="E1912" s="20">
        <v>-0.23156516707561201</v>
      </c>
      <c r="F1912" s="20">
        <v>-0.32813344541578998</v>
      </c>
      <c r="G1912" s="20">
        <v>0.40161422360667698</v>
      </c>
      <c r="H1912" s="20">
        <v>8.8241682982657492E-3</v>
      </c>
      <c r="I1912" s="20">
        <v>167.491007673919</v>
      </c>
      <c r="L1912" s="20">
        <f t="shared" si="64"/>
        <v>1004.2274934411963</v>
      </c>
      <c r="M1912" s="20">
        <f t="shared" si="65"/>
        <v>-12.753689166754208</v>
      </c>
    </row>
    <row r="1913" spans="1:13" x14ac:dyDescent="0.2">
      <c r="A1913" s="23">
        <v>471.5</v>
      </c>
      <c r="B1913" s="20">
        <v>997.69390476152603</v>
      </c>
      <c r="C1913" s="20">
        <v>115.842780748748</v>
      </c>
      <c r="D1913" s="20">
        <v>316.92112188138998</v>
      </c>
      <c r="E1913" s="20">
        <v>-0.23136455298182099</v>
      </c>
      <c r="F1913" s="20">
        <v>-0.32684301411075201</v>
      </c>
      <c r="G1913" s="20">
        <v>0.40044464317740502</v>
      </c>
      <c r="H1913" s="20">
        <v>8.8091320117289797E-3</v>
      </c>
      <c r="I1913" s="20">
        <v>167.561517743237</v>
      </c>
      <c r="L1913" s="20">
        <f t="shared" si="64"/>
        <v>1004.3966733566492</v>
      </c>
      <c r="M1913" s="20">
        <f t="shared" si="65"/>
        <v>-12.755837751680469</v>
      </c>
    </row>
    <row r="1914" spans="1:13" x14ac:dyDescent="0.2">
      <c r="A1914" s="23">
        <v>471.75</v>
      </c>
      <c r="B1914" s="20">
        <v>997.86108855739496</v>
      </c>
      <c r="C1914" s="20">
        <v>115.86551405199801</v>
      </c>
      <c r="D1914" s="20">
        <v>316.888159901606</v>
      </c>
      <c r="E1914" s="20">
        <v>-0.231164224184331</v>
      </c>
      <c r="F1914" s="20">
        <v>-0.32555479403706999</v>
      </c>
      <c r="G1914" s="20">
        <v>0.399277876250692</v>
      </c>
      <c r="H1914" s="20">
        <v>8.7940742346603595E-3</v>
      </c>
      <c r="I1914" s="20">
        <v>167.631982642834</v>
      </c>
      <c r="L1914" s="20">
        <f t="shared" si="64"/>
        <v>1004.5653634301169</v>
      </c>
      <c r="M1914" s="20">
        <f t="shared" si="65"/>
        <v>-12.757980115613519</v>
      </c>
    </row>
    <row r="1915" spans="1:13" x14ac:dyDescent="0.2">
      <c r="A1915" s="23">
        <v>472</v>
      </c>
      <c r="B1915" s="20">
        <v>998.02780504434202</v>
      </c>
      <c r="C1915" s="20">
        <v>115.88803402711601</v>
      </c>
      <c r="D1915" s="20">
        <v>316.855170806697</v>
      </c>
      <c r="E1915" s="20">
        <v>-0.23096418239102701</v>
      </c>
      <c r="F1915" s="20">
        <v>-0.32426878812336901</v>
      </c>
      <c r="G1915" s="20">
        <v>0.39811392904362702</v>
      </c>
      <c r="H1915" s="20">
        <v>8.7789953630669094E-3</v>
      </c>
      <c r="I1915" s="20">
        <v>167.702401657065</v>
      </c>
      <c r="L1915" s="20">
        <f t="shared" si="64"/>
        <v>1004.7335647186757</v>
      </c>
      <c r="M1915" s="20">
        <f t="shared" si="65"/>
        <v>-12.760116271978223</v>
      </c>
    </row>
    <row r="1916" spans="1:13" x14ac:dyDescent="0.2">
      <c r="A1916" s="23">
        <v>472.25</v>
      </c>
      <c r="B1916" s="20">
        <v>998.19405527792003</v>
      </c>
      <c r="C1916" s="20">
        <v>115.910340773416</v>
      </c>
      <c r="D1916" s="20">
        <v>316.82215448289202</v>
      </c>
      <c r="E1916" s="20">
        <v>-0.230764429296894</v>
      </c>
      <c r="F1916" s="20">
        <v>-0.32298499924087198</v>
      </c>
      <c r="G1916" s="20">
        <v>0.39695280772825797</v>
      </c>
      <c r="H1916" s="20">
        <v>8.7638957915387606E-3</v>
      </c>
      <c r="I1916" s="20">
        <v>167.77277407445999</v>
      </c>
      <c r="L1916" s="20">
        <f t="shared" si="64"/>
        <v>1004.9012782808014</v>
      </c>
      <c r="M1916" s="20">
        <f t="shared" si="65"/>
        <v>-12.762246234217228</v>
      </c>
    </row>
    <row r="1917" spans="1:13" x14ac:dyDescent="0.2">
      <c r="A1917" s="23">
        <v>472.5</v>
      </c>
      <c r="B1917" s="20">
        <v>998.359840314807</v>
      </c>
      <c r="C1917" s="20">
        <v>115.932434391776</v>
      </c>
      <c r="D1917" s="20">
        <v>316.78911081631099</v>
      </c>
      <c r="E1917" s="20">
        <v>-0.230564966584035</v>
      </c>
      <c r="F1917" s="20">
        <v>-0.32170343020361902</v>
      </c>
      <c r="G1917" s="20">
        <v>0.39579451843181401</v>
      </c>
      <c r="H1917" s="20">
        <v>8.7487759132374998E-3</v>
      </c>
      <c r="I1917" s="20">
        <v>167.843099187772</v>
      </c>
      <c r="L1917" s="20">
        <f t="shared" si="64"/>
        <v>1005.0685051763438</v>
      </c>
      <c r="M1917" s="20">
        <f t="shared" si="65"/>
        <v>-12.764370015790623</v>
      </c>
    </row>
    <row r="1918" spans="1:13" x14ac:dyDescent="0.2">
      <c r="A1918" s="23">
        <v>472.75</v>
      </c>
      <c r="B1918" s="20">
        <v>998.525161212782</v>
      </c>
      <c r="C1918" s="20">
        <v>115.95431498463201</v>
      </c>
      <c r="D1918" s="20">
        <v>316.75603969296799</v>
      </c>
      <c r="E1918" s="20">
        <v>-0.23036579592169101</v>
      </c>
      <c r="F1918" s="20">
        <v>-0.32042408376867199</v>
      </c>
      <c r="G1918" s="20">
        <v>0.39463906723692099</v>
      </c>
      <c r="H1918" s="20">
        <v>8.7336361198844595E-3</v>
      </c>
      <c r="I1918" s="20">
        <v>167.91337629401201</v>
      </c>
      <c r="L1918" s="20">
        <f t="shared" si="64"/>
        <v>1005.2352464665013</v>
      </c>
      <c r="M1918" s="20">
        <f t="shared" si="65"/>
        <v>-12.766487630175632</v>
      </c>
    </row>
    <row r="1919" spans="1:13" x14ac:dyDescent="0.2">
      <c r="A1919" s="23">
        <v>473</v>
      </c>
      <c r="B1919" s="20">
        <v>998.69001903070603</v>
      </c>
      <c r="C1919" s="20">
        <v>115.975982655964</v>
      </c>
      <c r="D1919" s="20">
        <v>316.72294099876802</v>
      </c>
      <c r="E1919" s="20">
        <v>-0.230166918966272</v>
      </c>
      <c r="F1919" s="20">
        <v>-0.31914696263634001</v>
      </c>
      <c r="G1919" s="20">
        <v>0.39348646018183098</v>
      </c>
      <c r="H1919" s="20">
        <v>8.7184768017492392E-3</v>
      </c>
      <c r="I1919" s="20">
        <v>167.98360469449599</v>
      </c>
      <c r="L1919" s="20">
        <f t="shared" si="64"/>
        <v>1005.4015032137999</v>
      </c>
      <c r="M1919" s="20">
        <f t="shared" si="65"/>
        <v>-12.768599090866333</v>
      </c>
    </row>
    <row r="1920" spans="1:13" x14ac:dyDescent="0.2">
      <c r="A1920" s="23">
        <v>473.25</v>
      </c>
      <c r="B1920" s="20">
        <v>998.85441482850001</v>
      </c>
      <c r="C1920" s="20">
        <v>115.997437511287</v>
      </c>
      <c r="D1920" s="20">
        <v>316.68981461950898</v>
      </c>
      <c r="E1920" s="20">
        <v>-0.229968337361379</v>
      </c>
      <c r="F1920" s="20">
        <v>-0.31787206945039398</v>
      </c>
      <c r="G1920" s="20">
        <v>0.39233670326064701</v>
      </c>
      <c r="H1920" s="20">
        <v>8.7032983476383E-3</v>
      </c>
      <c r="I1920" s="20">
        <v>168.05378369488199</v>
      </c>
      <c r="L1920" s="20">
        <f t="shared" si="64"/>
        <v>1005.5672764820712</v>
      </c>
      <c r="M1920" s="20">
        <f t="shared" si="65"/>
        <v>-12.770704411373387</v>
      </c>
    </row>
    <row r="1921" spans="1:13" x14ac:dyDescent="0.2">
      <c r="A1921" s="23">
        <v>473.5</v>
      </c>
      <c r="B1921" s="20">
        <v>999.01834966711999</v>
      </c>
      <c r="C1921" s="20">
        <v>116.018679657638</v>
      </c>
      <c r="D1921" s="20">
        <v>316.65666044088101</v>
      </c>
      <c r="E1921" s="20">
        <v>-0.22977005273783699</v>
      </c>
      <c r="F1921" s="20">
        <v>-0.31659940679828102</v>
      </c>
      <c r="G1921" s="20">
        <v>0.39118980242354501</v>
      </c>
      <c r="H1921" s="20">
        <v>8.6881011448836105E-3</v>
      </c>
      <c r="I1921" s="20">
        <v>168.12391260521301</v>
      </c>
      <c r="L1921" s="20">
        <f t="shared" si="64"/>
        <v>1005.7325673364255</v>
      </c>
      <c r="M1921" s="20">
        <f t="shared" si="65"/>
        <v>-12.772803605223695</v>
      </c>
    </row>
    <row r="1922" spans="1:13" x14ac:dyDescent="0.2">
      <c r="A1922" s="23">
        <v>473.75</v>
      </c>
      <c r="B1922" s="20">
        <v>999.18182460854098</v>
      </c>
      <c r="C1922" s="20">
        <v>116.03970920357</v>
      </c>
      <c r="D1922" s="20">
        <v>316.62347834846503</v>
      </c>
      <c r="E1922" s="20">
        <v>-0.22957206671372499</v>
      </c>
      <c r="F1922" s="20">
        <v>-0.315328977211352</v>
      </c>
      <c r="G1922" s="20">
        <v>0.39004576357700499</v>
      </c>
      <c r="H1922" s="20">
        <v>8.6728855793316607E-3</v>
      </c>
      <c r="I1922" s="20">
        <v>168.19399073995501</v>
      </c>
      <c r="L1922" s="20">
        <f t="shared" si="64"/>
        <v>1005.8973768432355</v>
      </c>
      <c r="M1922" s="20">
        <f t="shared" si="65"/>
        <v>-12.77489668596019</v>
      </c>
    </row>
    <row r="1923" spans="1:13" x14ac:dyDescent="0.2">
      <c r="A1923" s="23">
        <v>474</v>
      </c>
      <c r="B1923" s="20">
        <v>999.34484071572604</v>
      </c>
      <c r="C1923" s="20">
        <v>116.060526259138</v>
      </c>
      <c r="D1923" s="20">
        <v>316.59026822773399</v>
      </c>
      <c r="E1923" s="20">
        <v>-0.229374380894418</v>
      </c>
      <c r="F1923" s="20">
        <v>-0.31406078316507602</v>
      </c>
      <c r="G1923" s="20">
        <v>0.38890459258403998</v>
      </c>
      <c r="H1923" s="20">
        <v>8.6576520353323499E-3</v>
      </c>
      <c r="I1923" s="20">
        <v>168.26401741803701</v>
      </c>
      <c r="L1923" s="20">
        <f t="shared" si="64"/>
        <v>1006.0617060701038</v>
      </c>
      <c r="M1923" s="20">
        <f t="shared" si="65"/>
        <v>-12.776983667141426</v>
      </c>
    </row>
    <row r="1924" spans="1:13" x14ac:dyDescent="0.2">
      <c r="A1924" s="23">
        <v>474.25</v>
      </c>
      <c r="B1924" s="20">
        <v>999.50739905261503</v>
      </c>
      <c r="C1924" s="20">
        <v>116.08113093589</v>
      </c>
      <c r="D1924" s="20">
        <v>316.55702996405302</v>
      </c>
      <c r="E1924" s="20">
        <v>-0.229176996872616</v>
      </c>
      <c r="F1924" s="20">
        <v>-0.31279482707926598</v>
      </c>
      <c r="G1924" s="20">
        <v>0.38776629526442702</v>
      </c>
      <c r="H1924" s="20">
        <v>8.6424008957280696E-3</v>
      </c>
      <c r="I1924" s="20">
        <v>168.33399196289</v>
      </c>
      <c r="L1924" s="20">
        <f t="shared" si="64"/>
        <v>1006.2255560858503</v>
      </c>
      <c r="M1924" s="20">
        <f t="shared" si="65"/>
        <v>-12.779064562341416</v>
      </c>
    </row>
    <row r="1925" spans="1:13" x14ac:dyDescent="0.2">
      <c r="A1925" s="23">
        <v>474.5</v>
      </c>
      <c r="B1925" s="20">
        <v>999.66950068409506</v>
      </c>
      <c r="C1925" s="20">
        <v>116.101523346856</v>
      </c>
      <c r="D1925" s="20">
        <v>316.523763442676</v>
      </c>
      <c r="E1925" s="20">
        <v>-0.228979916228393</v>
      </c>
      <c r="F1925" s="20">
        <v>-0.31153111131830302</v>
      </c>
      <c r="G1925" s="20">
        <v>0.38663087739493701</v>
      </c>
      <c r="H1925" s="20">
        <v>8.6271325418431407E-3</v>
      </c>
      <c r="I1925" s="20">
        <v>168.40391370248699</v>
      </c>
      <c r="L1925" s="20">
        <f t="shared" si="64"/>
        <v>1006.3889279604821</v>
      </c>
      <c r="M1925" s="20">
        <f t="shared" si="65"/>
        <v>-12.781139385149249</v>
      </c>
    </row>
    <row r="1926" spans="1:13" x14ac:dyDescent="0.2">
      <c r="A1926" s="23">
        <v>474.75</v>
      </c>
      <c r="B1926" s="20">
        <v>999.83114667598397</v>
      </c>
      <c r="C1926" s="20">
        <v>116.121703606539</v>
      </c>
      <c r="D1926" s="20">
        <v>316.49046854875098</v>
      </c>
      <c r="E1926" s="20">
        <v>-0.22878314052923701</v>
      </c>
      <c r="F1926" s="20">
        <v>-0.310269638191357</v>
      </c>
      <c r="G1926" s="20">
        <v>0.38549834470956701</v>
      </c>
      <c r="H1926" s="20">
        <v>8.6118473534729303E-3</v>
      </c>
      <c r="I1926" s="20">
        <v>168.473781969377</v>
      </c>
      <c r="L1926" s="20">
        <f t="shared" si="64"/>
        <v>1006.5518227651758</v>
      </c>
      <c r="M1926" s="20">
        <f t="shared" si="65"/>
        <v>-12.783208149168864</v>
      </c>
    </row>
    <row r="1927" spans="1:13" x14ac:dyDescent="0.2">
      <c r="A1927" s="23">
        <v>475</v>
      </c>
      <c r="B1927" s="20">
        <v>999.99233809500595</v>
      </c>
      <c r="C1927" s="20">
        <v>116.14167183090299</v>
      </c>
      <c r="D1927" s="20">
        <v>316.45714516731101</v>
      </c>
      <c r="E1927" s="20">
        <v>-0.228586671330096</v>
      </c>
      <c r="F1927" s="20">
        <v>-0.30901040995261903</v>
      </c>
      <c r="G1927" s="20">
        <v>0.38436870289977898</v>
      </c>
      <c r="H1927" s="20">
        <v>8.5965457088735993E-3</v>
      </c>
      <c r="I1927" s="20">
        <v>168.54359610072899</v>
      </c>
      <c r="L1927" s="20">
        <f t="shared" si="64"/>
        <v>1006.7142415722517</v>
      </c>
      <c r="M1927" s="20">
        <f t="shared" si="65"/>
        <v>-12.785270868018738</v>
      </c>
    </row>
    <row r="1928" spans="1:13" x14ac:dyDescent="0.2">
      <c r="A1928" s="23">
        <v>475.25</v>
      </c>
      <c r="B1928" s="20">
        <v>1000.15307600877</v>
      </c>
      <c r="C1928" s="20">
        <v>116.161428137361</v>
      </c>
      <c r="D1928" s="20">
        <v>316.423793183285</v>
      </c>
      <c r="E1928" s="20">
        <v>-0.22839051017342499</v>
      </c>
      <c r="F1928" s="20">
        <v>-0.30775342880152001</v>
      </c>
      <c r="G1928" s="20">
        <v>0.38324195761472901</v>
      </c>
      <c r="H1928" s="20">
        <v>8.5812279847515306E-3</v>
      </c>
      <c r="I1928" s="20">
        <v>168.613355438361</v>
      </c>
      <c r="L1928" s="20">
        <f t="shared" si="64"/>
        <v>1006.876185455151</v>
      </c>
      <c r="M1928" s="20">
        <f t="shared" si="65"/>
        <v>-12.787327555331569</v>
      </c>
    </row>
    <row r="1929" spans="1:13" x14ac:dyDescent="0.2">
      <c r="A1929" s="23">
        <v>475.5</v>
      </c>
      <c r="B1929" s="20">
        <v>1000.31336148576</v>
      </c>
      <c r="C1929" s="20">
        <v>116.18097264476999</v>
      </c>
      <c r="D1929" s="20">
        <v>316.39041248148601</v>
      </c>
      <c r="E1929" s="20">
        <v>-0.22819465858924001</v>
      </c>
      <c r="F1929" s="20">
        <v>-0.30649869688296999</v>
      </c>
      <c r="G1929" s="20">
        <v>0.38211811446150801</v>
      </c>
      <c r="H1929" s="20">
        <v>8.5658945562532996E-3</v>
      </c>
      <c r="I1929" s="20">
        <v>168.683059328784</v>
      </c>
      <c r="L1929" s="20">
        <f t="shared" si="64"/>
        <v>1007.0376554884259</v>
      </c>
      <c r="M1929" s="20">
        <f t="shared" si="65"/>
        <v>-12.789378224754167</v>
      </c>
    </row>
    <row r="1930" spans="1:13" x14ac:dyDescent="0.2">
      <c r="A1930" s="23">
        <v>475.75</v>
      </c>
      <c r="B1930" s="20">
        <v>1000.47319559529</v>
      </c>
      <c r="C1930" s="20">
        <v>116.20030547341599</v>
      </c>
      <c r="D1930" s="20">
        <v>316.35700294662098</v>
      </c>
      <c r="E1930" s="20">
        <v>-0.22799911809516901</v>
      </c>
      <c r="F1930" s="20">
        <v>-0.30524621628757498</v>
      </c>
      <c r="G1930" s="20">
        <v>0.38099717900537799</v>
      </c>
      <c r="H1930" s="20">
        <v>8.5505457969553902E-3</v>
      </c>
      <c r="I1930" s="20">
        <v>168.75270712323501</v>
      </c>
      <c r="L1930" s="20">
        <f t="shared" si="64"/>
        <v>1007.1986527476924</v>
      </c>
      <c r="M1930" s="20">
        <f t="shared" si="65"/>
        <v>-12.79142288994686</v>
      </c>
    </row>
    <row r="1931" spans="1:13" x14ac:dyDescent="0.2">
      <c r="A1931" s="23">
        <v>476</v>
      </c>
      <c r="B1931" s="20">
        <v>1000.6325794075</v>
      </c>
      <c r="C1931" s="20">
        <v>116.21942674500499</v>
      </c>
      <c r="D1931" s="20">
        <v>316.32356446328299</v>
      </c>
      <c r="E1931" s="20">
        <v>-0.22780389019650599</v>
      </c>
      <c r="F1931" s="20">
        <v>-0.30399598905187802</v>
      </c>
      <c r="G1931" s="20">
        <v>0.379879156770007</v>
      </c>
      <c r="H1931" s="20">
        <v>8.5351820788543507E-3</v>
      </c>
      <c r="I1931" s="20">
        <v>168.82229817771201</v>
      </c>
      <c r="L1931" s="20">
        <f t="shared" si="64"/>
        <v>1007.3591783096257</v>
      </c>
      <c r="M1931" s="20">
        <f t="shared" si="65"/>
        <v>-12.793461564583419</v>
      </c>
    </row>
    <row r="1932" spans="1:13" x14ac:dyDescent="0.2">
      <c r="A1932" s="23">
        <v>476.25</v>
      </c>
      <c r="B1932" s="20">
        <v>1000.79151399334</v>
      </c>
      <c r="C1932" s="20">
        <v>116.23833658265301</v>
      </c>
      <c r="D1932" s="20">
        <v>316.290096915954</v>
      </c>
      <c r="E1932" s="20">
        <v>-0.227608976386274</v>
      </c>
      <c r="F1932" s="20">
        <v>-0.30274801715858601</v>
      </c>
      <c r="G1932" s="20">
        <v>0.378764053237715</v>
      </c>
      <c r="H1932" s="20">
        <v>8.5198037723568203E-3</v>
      </c>
      <c r="I1932" s="20">
        <v>168.89183185300999</v>
      </c>
      <c r="L1932" s="20">
        <f t="shared" si="64"/>
        <v>1007.5192332519433</v>
      </c>
      <c r="M1932" s="20">
        <f t="shared" si="65"/>
        <v>-12.795494262350863</v>
      </c>
    </row>
    <row r="1933" spans="1:13" x14ac:dyDescent="0.2">
      <c r="A1933" s="23">
        <v>476.5</v>
      </c>
      <c r="B1933" s="20">
        <v>1000.95000042455</v>
      </c>
      <c r="C1933" s="20">
        <v>116.25703511087499</v>
      </c>
      <c r="D1933" s="20">
        <v>316.25660018900402</v>
      </c>
      <c r="E1933" s="20">
        <v>-0.22741437814528001</v>
      </c>
      <c r="F1933" s="20">
        <v>-0.30150230253679999</v>
      </c>
      <c r="G1933" s="20">
        <v>0.377651873849709</v>
      </c>
      <c r="H1933" s="20">
        <v>8.50441124626998E-3</v>
      </c>
      <c r="I1933" s="20">
        <v>168.961307514758</v>
      </c>
      <c r="L1933" s="20">
        <f t="shared" si="64"/>
        <v>1007.6788186533831</v>
      </c>
      <c r="M1933" s="20">
        <f t="shared" si="65"/>
        <v>-12.797520996949155</v>
      </c>
    </row>
    <row r="1934" spans="1:13" x14ac:dyDescent="0.2">
      <c r="A1934" s="23">
        <v>476.75</v>
      </c>
      <c r="B1934" s="20">
        <v>1001.10803977361</v>
      </c>
      <c r="C1934" s="20">
        <v>116.275522455575</v>
      </c>
      <c r="D1934" s="20">
        <v>316.22307416669003</v>
      </c>
      <c r="E1934" s="20">
        <v>-0.22722009694217901</v>
      </c>
      <c r="F1934" s="20">
        <v>-0.30025884706225597</v>
      </c>
      <c r="G1934" s="20">
        <v>0.37654262400632499</v>
      </c>
      <c r="H1934" s="20">
        <v>8.4890048677917999E-3</v>
      </c>
      <c r="I1934" s="20">
        <v>169.03072453345001</v>
      </c>
      <c r="L1934" s="20">
        <f t="shared" si="64"/>
        <v>1007.8379355936534</v>
      </c>
      <c r="M1934" s="20">
        <f t="shared" si="65"/>
        <v>-12.799541782090596</v>
      </c>
    </row>
    <row r="1935" spans="1:13" x14ac:dyDescent="0.2">
      <c r="A1935" s="23">
        <v>477</v>
      </c>
      <c r="B1935" s="20">
        <v>1001.26563311375</v>
      </c>
      <c r="C1935" s="20">
        <v>116.293798744036</v>
      </c>
      <c r="D1935" s="20">
        <v>316.18951873315802</v>
      </c>
      <c r="E1935" s="20">
        <v>-0.22702613423354101</v>
      </c>
      <c r="F1935" s="20">
        <v>-0.29901765255755403</v>
      </c>
      <c r="G1935" s="20">
        <v>0.37543630906727199</v>
      </c>
      <c r="H1935" s="20">
        <v>8.4735850025016903E-3</v>
      </c>
      <c r="I1935" s="20">
        <v>169.100082284481</v>
      </c>
      <c r="L1935" s="20">
        <f t="shared" si="64"/>
        <v>1007.9965851534404</v>
      </c>
      <c r="M1935" s="20">
        <f t="shared" si="65"/>
        <v>-12.801556631499899</v>
      </c>
    </row>
    <row r="1936" spans="1:13" x14ac:dyDescent="0.2">
      <c r="A1936" s="23">
        <v>477.25</v>
      </c>
      <c r="B1936" s="20">
        <v>1001.42278151893</v>
      </c>
      <c r="C1936" s="20">
        <v>116.31186410491</v>
      </c>
      <c r="D1936" s="20">
        <v>316.155933772438</v>
      </c>
      <c r="E1936" s="20">
        <v>-0.22683249146391499</v>
      </c>
      <c r="F1936" s="20">
        <v>-0.29777872079239598</v>
      </c>
      <c r="G1936" s="20">
        <v>0.37433293435187098</v>
      </c>
      <c r="H1936" s="20">
        <v>8.45815201435118E-3</v>
      </c>
      <c r="I1936" s="20">
        <v>169.16938014817899</v>
      </c>
      <c r="L1936" s="20">
        <f t="shared" si="64"/>
        <v>1008.1547684143887</v>
      </c>
      <c r="M1936" s="20">
        <f t="shared" si="65"/>
        <v>-12.803565558913951</v>
      </c>
    </row>
    <row r="1937" spans="1:13" x14ac:dyDescent="0.2">
      <c r="A1937" s="23">
        <v>477.5</v>
      </c>
      <c r="B1937" s="20">
        <v>1001.57948606379</v>
      </c>
      <c r="C1937" s="20">
        <v>116.329718668206</v>
      </c>
      <c r="D1937" s="20">
        <v>316.12231916844701</v>
      </c>
      <c r="E1937" s="20">
        <v>-0.22663917006589601</v>
      </c>
      <c r="F1937" s="20">
        <v>-0.29654205348382101</v>
      </c>
      <c r="G1937" s="20">
        <v>0.37323250513930301</v>
      </c>
      <c r="H1937" s="20">
        <v>8.4427062656546297E-3</v>
      </c>
      <c r="I1937" s="20">
        <v>169.23861750984</v>
      </c>
      <c r="L1937" s="20">
        <f t="shared" si="64"/>
        <v>1008.312486459049</v>
      </c>
      <c r="M1937" s="20">
        <f t="shared" si="65"/>
        <v>-12.805568578081145</v>
      </c>
    </row>
    <row r="1938" spans="1:13" x14ac:dyDescent="0.2">
      <c r="A1938" s="23">
        <v>477.75</v>
      </c>
      <c r="B1938" s="20">
        <v>1001.73574782367</v>
      </c>
      <c r="C1938" s="20">
        <v>116.34736256528301</v>
      </c>
      <c r="D1938" s="20">
        <v>316.08867480498799</v>
      </c>
      <c r="E1938" s="20">
        <v>-0.22644617146020399</v>
      </c>
      <c r="F1938" s="20">
        <v>-0.29530765229644701</v>
      </c>
      <c r="G1938" s="20">
        <v>0.37213502666884701</v>
      </c>
      <c r="H1938" s="20">
        <v>8.4272481170801807E-3</v>
      </c>
      <c r="I1938" s="20">
        <v>169.30779375975999</v>
      </c>
      <c r="L1938" s="20">
        <f t="shared" si="64"/>
        <v>1008.4697403708972</v>
      </c>
      <c r="M1938" s="20">
        <f t="shared" si="65"/>
        <v>-12.807565702761625</v>
      </c>
    </row>
    <row r="1939" spans="1:13" x14ac:dyDescent="0.2">
      <c r="A1939" s="23">
        <v>478</v>
      </c>
      <c r="B1939" s="20">
        <v>1001.89156787457</v>
      </c>
      <c r="C1939" s="20">
        <v>116.36479592883499</v>
      </c>
      <c r="D1939" s="20">
        <v>316.05500056574903</v>
      </c>
      <c r="E1939" s="20">
        <v>-0.22625349705574799</v>
      </c>
      <c r="F1939" s="20">
        <v>-0.294075518842707</v>
      </c>
      <c r="G1939" s="20">
        <v>0.37104050414013101</v>
      </c>
      <c r="H1939" s="20">
        <v>8.41177792764102E-3</v>
      </c>
      <c r="I1939" s="20">
        <v>169.37690829326499</v>
      </c>
      <c r="L1939" s="20">
        <f t="shared" si="64"/>
        <v>1008.6265312342937</v>
      </c>
      <c r="M1939" s="20">
        <f t="shared" si="65"/>
        <v>-12.809556946726769</v>
      </c>
    </row>
    <row r="1940" spans="1:13" x14ac:dyDescent="0.2">
      <c r="A1940" s="23">
        <v>478.25</v>
      </c>
      <c r="B1940" s="20">
        <v>1002.04694729312</v>
      </c>
      <c r="C1940" s="20">
        <v>116.38201889288599</v>
      </c>
      <c r="D1940" s="20">
        <v>316.02129633430098</v>
      </c>
      <c r="E1940" s="20">
        <v>-0.22606114824970699</v>
      </c>
      <c r="F1940" s="20">
        <v>-0.29284565468308899</v>
      </c>
      <c r="G1940" s="20">
        <v>0.36994894271337397</v>
      </c>
      <c r="H1940" s="20">
        <v>8.3962960546861802E-3</v>
      </c>
      <c r="I1940" s="20">
        <v>169.445960510746</v>
      </c>
      <c r="L1940" s="20">
        <f t="shared" si="64"/>
        <v>1008.7828601344517</v>
      </c>
      <c r="M1940" s="20">
        <f t="shared" si="65"/>
        <v>-12.811542323758781</v>
      </c>
    </row>
    <row r="1941" spans="1:13" x14ac:dyDescent="0.2">
      <c r="A1941" s="23">
        <v>478.5</v>
      </c>
      <c r="B1941" s="20">
        <v>1002.20188715658</v>
      </c>
      <c r="C1941" s="20">
        <v>116.399031592775</v>
      </c>
      <c r="D1941" s="20">
        <v>315.98756199410002</v>
      </c>
      <c r="E1941" s="20">
        <v>-0.22586912642760501</v>
      </c>
      <c r="F1941" s="20">
        <v>-0.29161806132637902</v>
      </c>
      <c r="G1941" s="20">
        <v>0.36886034750962998</v>
      </c>
      <c r="H1941" s="20">
        <v>8.3808028538922604E-3</v>
      </c>
      <c r="I1941" s="20">
        <v>169.51494981768701</v>
      </c>
      <c r="L1941" s="20">
        <f t="shared" si="64"/>
        <v>1008.9387281574368</v>
      </c>
      <c r="M1941" s="20">
        <f t="shared" si="65"/>
        <v>-12.813521847650703</v>
      </c>
    </row>
    <row r="1942" spans="1:13" x14ac:dyDescent="0.2">
      <c r="A1942" s="23">
        <v>478.75</v>
      </c>
      <c r="B1942" s="20">
        <v>1002.35638854279</v>
      </c>
      <c r="C1942" s="20">
        <v>116.415834165148</v>
      </c>
      <c r="D1942" s="20">
        <v>315.95379742848399</v>
      </c>
      <c r="E1942" s="20">
        <v>-0.22567743296338999</v>
      </c>
      <c r="F1942" s="20">
        <v>-0.29039274022989903</v>
      </c>
      <c r="G1942" s="20">
        <v>0.36777472361103802</v>
      </c>
      <c r="H1942" s="20">
        <v>8.3652986792546302E-3</v>
      </c>
      <c r="I1942" s="20">
        <v>169.58387562469801</v>
      </c>
      <c r="L1942" s="20">
        <f t="shared" si="64"/>
        <v>1009.094136390115</v>
      </c>
      <c r="M1942" s="20">
        <f t="shared" si="65"/>
        <v>-12.815495532205723</v>
      </c>
    </row>
    <row r="1943" spans="1:13" x14ac:dyDescent="0.2">
      <c r="A1943" s="23">
        <v>479</v>
      </c>
      <c r="B1943" s="20">
        <v>1002.51045253021</v>
      </c>
      <c r="C1943" s="20">
        <v>116.432426747951</v>
      </c>
      <c r="D1943" s="20">
        <v>315.92000252067601</v>
      </c>
      <c r="E1943" s="20">
        <v>-0.225486069219518</v>
      </c>
      <c r="F1943" s="20">
        <v>-0.28916969279975602</v>
      </c>
      <c r="G1943" s="20">
        <v>0.36669207606106602</v>
      </c>
      <c r="H1943" s="20">
        <v>8.3497838830790296E-3</v>
      </c>
      <c r="I1943" s="20">
        <v>169.65273734754501</v>
      </c>
      <c r="L1943" s="20">
        <f t="shared" si="64"/>
        <v>1009.2490859201922</v>
      </c>
      <c r="M1943" s="20">
        <f t="shared" si="65"/>
        <v>-12.817463391237711</v>
      </c>
    </row>
    <row r="1944" spans="1:13" x14ac:dyDescent="0.2">
      <c r="A1944" s="23">
        <v>479.25</v>
      </c>
      <c r="B1944" s="20">
        <v>1002.66408019782</v>
      </c>
      <c r="C1944" s="20">
        <v>116.448809480412</v>
      </c>
      <c r="D1944" s="20">
        <v>315.88617715377899</v>
      </c>
      <c r="E1944" s="20">
        <v>-0.22529503654703201</v>
      </c>
      <c r="F1944" s="20">
        <v>-0.28794892039108</v>
      </c>
      <c r="G1944" s="20">
        <v>0.36561240986475901</v>
      </c>
      <c r="H1944" s="20">
        <v>8.3342588159734197E-3</v>
      </c>
      <c r="I1944" s="20">
        <v>169.72153440718</v>
      </c>
      <c r="L1944" s="20">
        <f t="shared" si="64"/>
        <v>1009.403577836113</v>
      </c>
      <c r="M1944" s="20">
        <f t="shared" si="65"/>
        <v>-12.819425438569912</v>
      </c>
    </row>
    <row r="1945" spans="1:13" x14ac:dyDescent="0.2">
      <c r="A1945" s="23">
        <v>479.5</v>
      </c>
      <c r="B1945" s="20">
        <v>1002.81727262519</v>
      </c>
      <c r="C1945" s="20">
        <v>116.464982503038</v>
      </c>
      <c r="D1945" s="20">
        <v>315.85232121077701</v>
      </c>
      <c r="E1945" s="20">
        <v>-0.22510433628564899</v>
      </c>
      <c r="F1945" s="20">
        <v>-0.28673042430827</v>
      </c>
      <c r="G1945" s="20">
        <v>0.36453572998898598</v>
      </c>
      <c r="H1945" s="20">
        <v>8.3187238268396593E-3</v>
      </c>
      <c r="I1945" s="20">
        <v>169.79026622976701</v>
      </c>
      <c r="L1945" s="20">
        <f t="shared" si="64"/>
        <v>1009.5576132271291</v>
      </c>
      <c r="M1945" s="20">
        <f t="shared" si="65"/>
        <v>-12.821381688035824</v>
      </c>
    </row>
    <row r="1946" spans="1:13" x14ac:dyDescent="0.2">
      <c r="A1946" s="23">
        <v>479.75</v>
      </c>
      <c r="B1946" s="20">
        <v>1002.97003089236</v>
      </c>
      <c r="C1946" s="20">
        <v>116.480945957602</v>
      </c>
      <c r="D1946" s="20">
        <v>315.81843457453601</v>
      </c>
      <c r="E1946" s="20">
        <v>-0.22491396976384601</v>
      </c>
      <c r="F1946" s="20">
        <v>-0.285514205805245</v>
      </c>
      <c r="G1946" s="20">
        <v>0.363462041362688</v>
      </c>
      <c r="H1946" s="20">
        <v>8.3031792628654802E-3</v>
      </c>
      <c r="I1946" s="20">
        <v>169.85893224671801</v>
      </c>
      <c r="L1946" s="20">
        <f t="shared" si="64"/>
        <v>1009.7111931831791</v>
      </c>
      <c r="M1946" s="20">
        <f t="shared" si="65"/>
        <v>-12.823332153477669</v>
      </c>
    </row>
    <row r="1947" spans="1:13" x14ac:dyDescent="0.2">
      <c r="A1947" s="23">
        <v>480</v>
      </c>
      <c r="B1947" s="20">
        <v>1003.12235607993</v>
      </c>
      <c r="C1947" s="20">
        <v>116.496699987131</v>
      </c>
      <c r="D1947" s="20">
        <v>315.78451712779997</v>
      </c>
      <c r="E1947" s="20">
        <v>-0.22472393829895099</v>
      </c>
      <c r="F1947" s="20">
        <v>-0.28430026608568199</v>
      </c>
      <c r="G1947" s="20">
        <v>0.36239134887712199</v>
      </c>
      <c r="H1947" s="20">
        <v>8.2876254695166893E-3</v>
      </c>
      <c r="I1947" s="20">
        <v>169.92753189471401</v>
      </c>
      <c r="L1947" s="20">
        <f t="shared" si="64"/>
        <v>1009.8643187949763</v>
      </c>
      <c r="M1947" s="20">
        <f t="shared" si="65"/>
        <v>-12.8252768487475</v>
      </c>
    </row>
    <row r="1948" spans="1:13" x14ac:dyDescent="0.2">
      <c r="A1948" s="23">
        <v>480.25</v>
      </c>
      <c r="B1948" s="20">
        <v>1003.27424926895</v>
      </c>
      <c r="C1948" s="20">
        <v>116.51224473590101</v>
      </c>
      <c r="D1948" s="20">
        <v>315.75056875319399</v>
      </c>
      <c r="E1948" s="20">
        <v>-0.224534243197231</v>
      </c>
      <c r="F1948" s="20">
        <v>-0.28308860630326999</v>
      </c>
      <c r="G1948" s="20">
        <v>0.36132365738611799</v>
      </c>
      <c r="H1948" s="20">
        <v>8.2720627905292898E-3</v>
      </c>
      <c r="I1948" s="20">
        <v>169.99606461574001</v>
      </c>
      <c r="L1948" s="20">
        <f t="shared" ref="L1948:L2011" si="66">SQRT(B1948^2+C1948^2)</f>
        <v>1010.0169911538983</v>
      </c>
      <c r="M1948" s="20">
        <f t="shared" ref="M1948:M2011" si="67">-L1948/A$25*100</f>
        <v>-12.827215787705818</v>
      </c>
    </row>
    <row r="1949" spans="1:13" x14ac:dyDescent="0.2">
      <c r="A1949" s="23">
        <v>480.5</v>
      </c>
      <c r="B1949" s="20">
        <v>1003.42571154094</v>
      </c>
      <c r="C1949" s="20">
        <v>116.527580349421</v>
      </c>
      <c r="D1949" s="20">
        <v>315.71658933321999</v>
      </c>
      <c r="E1949" s="20">
        <v>-0.22434488575398201</v>
      </c>
      <c r="F1949" s="20">
        <v>-0.28187922756195599</v>
      </c>
      <c r="G1949" s="20">
        <v>0.36025897170631599</v>
      </c>
      <c r="H1949" s="20">
        <v>8.25649156790185E-3</v>
      </c>
      <c r="I1949" s="20">
        <v>170.06452985710601</v>
      </c>
      <c r="L1949" s="20">
        <f t="shared" si="66"/>
        <v>1010.1692113520054</v>
      </c>
      <c r="M1949" s="20">
        <f t="shared" si="67"/>
        <v>-12.829148984221787</v>
      </c>
    </row>
    <row r="1950" spans="1:13" x14ac:dyDescent="0.2">
      <c r="A1950" s="23">
        <v>480.75</v>
      </c>
      <c r="B1950" s="20">
        <v>1003.57674397789</v>
      </c>
      <c r="C1950" s="20">
        <v>116.542706974425</v>
      </c>
      <c r="D1950" s="20">
        <v>315.68257875026001</v>
      </c>
      <c r="E1950" s="20">
        <v>-0.22415586725362799</v>
      </c>
      <c r="F1950" s="20">
        <v>-0.28067213091619397</v>
      </c>
      <c r="G1950" s="20">
        <v>0.359197296617421</v>
      </c>
      <c r="H1950" s="20">
        <v>8.2409121418879801E-3</v>
      </c>
      <c r="I1950" s="20">
        <v>170.132927071479</v>
      </c>
      <c r="L1950" s="20">
        <f t="shared" si="66"/>
        <v>1010.3209804820398</v>
      </c>
      <c r="M1950" s="20">
        <f t="shared" si="67"/>
        <v>-12.831076452173228</v>
      </c>
    </row>
    <row r="1951" spans="1:13" x14ac:dyDescent="0.2">
      <c r="A1951" s="23">
        <v>481</v>
      </c>
      <c r="B1951" s="20">
        <v>1003.7273476622</v>
      </c>
      <c r="C1951" s="20">
        <v>116.557624758866</v>
      </c>
      <c r="D1951" s="20">
        <v>315.64853688657098</v>
      </c>
      <c r="E1951" s="20">
        <v>-0.22396718896981299</v>
      </c>
      <c r="F1951" s="20">
        <v>-0.27946731737119801</v>
      </c>
      <c r="G1951" s="20">
        <v>0.35813863686245001</v>
      </c>
      <c r="H1951" s="20">
        <v>8.2253248509889208E-3</v>
      </c>
      <c r="I1951" s="20">
        <v>170.201255716909</v>
      </c>
      <c r="L1951" s="20">
        <f t="shared" si="66"/>
        <v>1010.4722996373645</v>
      </c>
      <c r="M1951" s="20">
        <f t="shared" si="67"/>
        <v>-12.832998205445861</v>
      </c>
    </row>
    <row r="1952" spans="1:13" x14ac:dyDescent="0.2">
      <c r="A1952" s="23">
        <v>481.25</v>
      </c>
      <c r="B1952" s="20">
        <v>1003.8775236767</v>
      </c>
      <c r="C1952" s="20">
        <v>116.57233385189799</v>
      </c>
      <c r="D1952" s="20">
        <v>315.61446362428597</v>
      </c>
      <c r="E1952" s="20">
        <v>-0.223778852165499</v>
      </c>
      <c r="F1952" s="20">
        <v>-0.27826478788318598</v>
      </c>
      <c r="G1952" s="20">
        <v>0.35708299714797798</v>
      </c>
      <c r="H1952" s="20">
        <v>8.20973003194626E-3</v>
      </c>
      <c r="I1952" s="20">
        <v>170.26951525685399</v>
      </c>
      <c r="L1952" s="20">
        <f t="shared" si="66"/>
        <v>1010.6231699119814</v>
      </c>
      <c r="M1952" s="20">
        <f t="shared" si="67"/>
        <v>-12.834914257933505</v>
      </c>
    </row>
    <row r="1953" spans="1:13" x14ac:dyDescent="0.2">
      <c r="A1953" s="23">
        <v>481.5</v>
      </c>
      <c r="B1953" s="20">
        <v>1004.02727310459</v>
      </c>
      <c r="C1953" s="20">
        <v>116.586834403873</v>
      </c>
      <c r="D1953" s="20">
        <v>315.58035884541499</v>
      </c>
      <c r="E1953" s="20">
        <v>-0.223590858093065</v>
      </c>
      <c r="F1953" s="20">
        <v>-0.27706454335964098</v>
      </c>
      <c r="G1953" s="20">
        <v>0.35603038214438898</v>
      </c>
      <c r="H1953" s="20">
        <v>8.1941280197348008E-3</v>
      </c>
      <c r="I1953" s="20">
        <v>170.33770516020601</v>
      </c>
      <c r="L1953" s="20">
        <f t="shared" si="66"/>
        <v>1010.7735924004718</v>
      </c>
      <c r="M1953" s="20">
        <f t="shared" si="67"/>
        <v>-12.836824623537341</v>
      </c>
    </row>
    <row r="1954" spans="1:13" x14ac:dyDescent="0.2">
      <c r="A1954" s="23">
        <v>481.75</v>
      </c>
      <c r="B1954" s="20">
        <v>1004.17659702946</v>
      </c>
      <c r="C1954" s="20">
        <v>116.601126566326</v>
      </c>
      <c r="D1954" s="20">
        <v>315.54622243184099</v>
      </c>
      <c r="E1954" s="20">
        <v>-0.22340320799440599</v>
      </c>
      <c r="F1954" s="20">
        <v>-0.27586658465955499</v>
      </c>
      <c r="G1954" s="20">
        <v>0.35498079648611902</v>
      </c>
      <c r="H1954" s="20">
        <v>8.1785191475554804E-3</v>
      </c>
      <c r="I1954" s="20">
        <v>170.405824901318</v>
      </c>
      <c r="L1954" s="20">
        <f t="shared" si="66"/>
        <v>1010.9235681980132</v>
      </c>
      <c r="M1954" s="20">
        <f t="shared" si="67"/>
        <v>-12.838729316166123</v>
      </c>
    </row>
    <row r="1955" spans="1:13" x14ac:dyDescent="0.2">
      <c r="A1955" s="23">
        <v>482</v>
      </c>
      <c r="B1955" s="20">
        <v>1004.32549653527</v>
      </c>
      <c r="C1955" s="20">
        <v>116.61521049196899</v>
      </c>
      <c r="D1955" s="20">
        <v>315.51205426532198</v>
      </c>
      <c r="E1955" s="20">
        <v>-0.22321590310103701</v>
      </c>
      <c r="F1955" s="20">
        <v>-0.27467091259368798</v>
      </c>
      <c r="G1955" s="20">
        <v>0.35393424477190799</v>
      </c>
      <c r="H1955" s="20">
        <v>8.1629037468286397E-3</v>
      </c>
      <c r="I1955" s="20">
        <v>170.47387396002799</v>
      </c>
      <c r="L1955" s="20">
        <f t="shared" si="66"/>
        <v>1011.0730984003594</v>
      </c>
      <c r="M1955" s="20">
        <f t="shared" si="67"/>
        <v>-12.840628349735928</v>
      </c>
    </row>
    <row r="1956" spans="1:13" x14ac:dyDescent="0.2">
      <c r="A1956" s="23">
        <v>482.25</v>
      </c>
      <c r="B1956" s="20">
        <v>1004.4739727062901</v>
      </c>
      <c r="C1956" s="20">
        <v>116.629086334676</v>
      </c>
      <c r="D1956" s="20">
        <v>315.47785422748899</v>
      </c>
      <c r="E1956" s="20">
        <v>-0.22302894463419301</v>
      </c>
      <c r="F1956" s="20">
        <v>-0.273477527924821</v>
      </c>
      <c r="G1956" s="20">
        <v>0.35289073156504502</v>
      </c>
      <c r="H1956" s="20">
        <v>8.1472821471869298E-3</v>
      </c>
      <c r="I1956" s="20">
        <v>170.541851821683</v>
      </c>
      <c r="L1956" s="20">
        <f t="shared" si="66"/>
        <v>1011.2221841037795</v>
      </c>
      <c r="M1956" s="20">
        <f t="shared" si="67"/>
        <v>-12.842521738169369</v>
      </c>
    </row>
    <row r="1957" spans="1:13" x14ac:dyDescent="0.2">
      <c r="A1957" s="23">
        <v>482.5</v>
      </c>
      <c r="B1957" s="20">
        <v>1004.62202662715</v>
      </c>
      <c r="C1957" s="20">
        <v>116.642754249478</v>
      </c>
      <c r="D1957" s="20">
        <v>315.44362219984299</v>
      </c>
      <c r="E1957" s="20">
        <v>-0.22284233380493801</v>
      </c>
      <c r="F1957" s="20">
        <v>-0.27228643136800701</v>
      </c>
      <c r="G1957" s="20">
        <v>0.35185026139361603</v>
      </c>
      <c r="H1957" s="20">
        <v>8.1316546764690495E-3</v>
      </c>
      <c r="I1957" s="20">
        <v>170.609757977166</v>
      </c>
      <c r="L1957" s="20">
        <f t="shared" si="66"/>
        <v>1011.3708264051056</v>
      </c>
      <c r="M1957" s="20">
        <f t="shared" si="67"/>
        <v>-12.844409495396219</v>
      </c>
    </row>
    <row r="1958" spans="1:13" x14ac:dyDescent="0.2">
      <c r="A1958" s="23">
        <v>482.75</v>
      </c>
      <c r="B1958" s="20">
        <v>1004.76965938275</v>
      </c>
      <c r="C1958" s="20">
        <v>116.65621439255</v>
      </c>
      <c r="D1958" s="20">
        <v>315.40935806375899</v>
      </c>
      <c r="E1958" s="20">
        <v>-0.22265607181427</v>
      </c>
      <c r="F1958" s="20">
        <v>-0.271097623590835</v>
      </c>
      <c r="G1958" s="20">
        <v>0.35081283875074898</v>
      </c>
      <c r="H1958" s="20">
        <v>8.1160216607128795E-3</v>
      </c>
      <c r="I1958" s="20">
        <v>170.67759192291601</v>
      </c>
      <c r="L1958" s="20">
        <f t="shared" si="66"/>
        <v>1011.5190264016431</v>
      </c>
      <c r="M1958" s="20">
        <f t="shared" si="67"/>
        <v>-12.846291635352253</v>
      </c>
    </row>
    <row r="1959" spans="1:13" x14ac:dyDescent="0.2">
      <c r="A1959" s="23">
        <v>483</v>
      </c>
      <c r="B1959" s="20">
        <v>1004.9168720583</v>
      </c>
      <c r="C1959" s="20">
        <v>116.669466921202</v>
      </c>
      <c r="D1959" s="20">
        <v>315.37506170047999</v>
      </c>
      <c r="E1959" s="20">
        <v>-0.22247015985322499</v>
      </c>
      <c r="F1959" s="20">
        <v>-0.26991110521367601</v>
      </c>
      <c r="G1959" s="20">
        <v>0.34977846809486102</v>
      </c>
      <c r="H1959" s="20">
        <v>8.1003834241492895E-3</v>
      </c>
      <c r="I1959" s="20">
        <v>170.74535316095401</v>
      </c>
      <c r="L1959" s="20">
        <f t="shared" si="66"/>
        <v>1011.6667851912086</v>
      </c>
      <c r="M1959" s="20">
        <f t="shared" si="67"/>
        <v>-12.848168171979744</v>
      </c>
    </row>
    <row r="1960" spans="1:13" x14ac:dyDescent="0.2">
      <c r="A1960" s="23">
        <v>483.25</v>
      </c>
      <c r="B1960" s="20">
        <v>1005.06366573927</v>
      </c>
      <c r="C1960" s="20">
        <v>116.682511993868</v>
      </c>
      <c r="D1960" s="20">
        <v>315.340732991121</v>
      </c>
      <c r="E1960" s="20">
        <v>-0.222284599102993</v>
      </c>
      <c r="F1960" s="20">
        <v>-0.268726876809949</v>
      </c>
      <c r="G1960" s="20">
        <v>0.34874715384990201</v>
      </c>
      <c r="H1960" s="20">
        <v>8.0847402891957802E-3</v>
      </c>
      <c r="I1960" s="20">
        <v>170.81304119890399</v>
      </c>
      <c r="L1960" s="20">
        <f t="shared" si="66"/>
        <v>1011.8141038720789</v>
      </c>
      <c r="M1960" s="20">
        <f t="shared" si="67"/>
        <v>-12.850039119226803</v>
      </c>
    </row>
    <row r="1961" spans="1:13" x14ac:dyDescent="0.2">
      <c r="A1961" s="23">
        <v>483.5</v>
      </c>
      <c r="B1961" s="20">
        <v>1005.21004151139</v>
      </c>
      <c r="C1961" s="20">
        <v>116.695349770097</v>
      </c>
      <c r="D1961" s="20">
        <v>315.30637181666202</v>
      </c>
      <c r="E1961" s="20">
        <v>-0.22209939073502</v>
      </c>
      <c r="F1961" s="20">
        <v>-0.26754493890637299</v>
      </c>
      <c r="G1961" s="20">
        <v>0.34771890040560299</v>
      </c>
      <c r="H1961" s="20">
        <v>8.0690925764502607E-3</v>
      </c>
      <c r="I1961" s="20">
        <v>170.88065555002001</v>
      </c>
      <c r="L1961" s="20">
        <f t="shared" si="66"/>
        <v>1011.9609835429901</v>
      </c>
      <c r="M1961" s="20">
        <f t="shared" si="67"/>
        <v>-12.851904491047383</v>
      </c>
    </row>
    <row r="1962" spans="1:13" x14ac:dyDescent="0.2">
      <c r="A1962" s="23">
        <v>483.75</v>
      </c>
      <c r="B1962" s="20">
        <v>1005.3560004606099</v>
      </c>
      <c r="C1962" s="20">
        <v>116.70798041054201</v>
      </c>
      <c r="D1962" s="20">
        <v>315.27197805795402</v>
      </c>
      <c r="E1962" s="20">
        <v>-0.221914535911128</v>
      </c>
      <c r="F1962" s="20">
        <v>-0.26636529198323</v>
      </c>
      <c r="G1962" s="20">
        <v>0.34669371211771699</v>
      </c>
      <c r="H1962" s="20">
        <v>8.0534406046851997E-3</v>
      </c>
      <c r="I1962" s="20">
        <v>170.948195733201</v>
      </c>
      <c r="L1962" s="20">
        <f t="shared" si="66"/>
        <v>1012.1074253030957</v>
      </c>
      <c r="M1962" s="20">
        <f t="shared" si="67"/>
        <v>-12.85376430140073</v>
      </c>
    </row>
    <row r="1963" spans="1:13" x14ac:dyDescent="0.2">
      <c r="A1963" s="23">
        <v>484</v>
      </c>
      <c r="B1963" s="20">
        <v>1005.5015436731099</v>
      </c>
      <c r="C1963" s="20">
        <v>116.720404076951</v>
      </c>
      <c r="D1963" s="20">
        <v>315.23755159571198</v>
      </c>
      <c r="E1963" s="20">
        <v>-0.22173003578362299</v>
      </c>
      <c r="F1963" s="20">
        <v>-0.26518793647462102</v>
      </c>
      <c r="G1963" s="20">
        <v>0.34567159330826502</v>
      </c>
      <c r="H1963" s="20">
        <v>8.0377846908414805E-3</v>
      </c>
      <c r="I1963" s="20">
        <v>171.01566127301899</v>
      </c>
      <c r="L1963" s="20">
        <f t="shared" si="66"/>
        <v>1012.2534302519769</v>
      </c>
      <c r="M1963" s="20">
        <f t="shared" si="67"/>
        <v>-12.855618564251529</v>
      </c>
    </row>
    <row r="1964" spans="1:13" x14ac:dyDescent="0.2">
      <c r="A1964" s="23">
        <v>484.25</v>
      </c>
      <c r="B1964" s="20">
        <v>1005.64667223528</v>
      </c>
      <c r="C1964" s="20">
        <v>116.732620932157</v>
      </c>
      <c r="D1964" s="20">
        <v>315.203092310518</v>
      </c>
      <c r="E1964" s="20">
        <v>-0.22154589149541101</v>
      </c>
      <c r="F1964" s="20">
        <v>-0.26401287276872798</v>
      </c>
      <c r="G1964" s="20">
        <v>0.34465254826577502</v>
      </c>
      <c r="H1964" s="20">
        <v>8.0221251500227908E-3</v>
      </c>
      <c r="I1964" s="20">
        <v>171.08305169973701</v>
      </c>
      <c r="L1964" s="20">
        <f t="shared" si="66"/>
        <v>1012.3989994896199</v>
      </c>
      <c r="M1964" s="20">
        <f t="shared" si="67"/>
        <v>-12.857467293569602</v>
      </c>
    </row>
    <row r="1965" spans="1:13" x14ac:dyDescent="0.2">
      <c r="A1965" s="23">
        <v>484.5</v>
      </c>
      <c r="B1965" s="20">
        <v>1005.79138723369</v>
      </c>
      <c r="C1965" s="20">
        <v>116.744631140067</v>
      </c>
      <c r="D1965" s="20">
        <v>315.16860008281799</v>
      </c>
      <c r="E1965" s="20">
        <v>-0.22136210418011301</v>
      </c>
      <c r="F1965" s="20">
        <v>-0.262840101208072</v>
      </c>
      <c r="G1965" s="20">
        <v>0.34363658124553098</v>
      </c>
      <c r="H1965" s="20">
        <v>8.0064622954898208E-3</v>
      </c>
      <c r="I1965" s="20">
        <v>171.15036654932899</v>
      </c>
      <c r="L1965" s="20">
        <f t="shared" si="66"/>
        <v>1012.5441341163855</v>
      </c>
      <c r="M1965" s="20">
        <f t="shared" si="67"/>
        <v>-12.859310503329532</v>
      </c>
    </row>
    <row r="1966" spans="1:13" x14ac:dyDescent="0.2">
      <c r="A1966" s="23">
        <v>484.75</v>
      </c>
      <c r="B1966" s="20">
        <v>1005.93568975508</v>
      </c>
      <c r="C1966" s="20">
        <v>116.75643486565301</v>
      </c>
      <c r="D1966" s="20">
        <v>315.134074792923</v>
      </c>
      <c r="E1966" s="20">
        <v>-0.22117867496218299</v>
      </c>
      <c r="F1966" s="20">
        <v>-0.26166962208977701</v>
      </c>
      <c r="G1966" s="20">
        <v>0.34262369646980601</v>
      </c>
      <c r="H1966" s="20">
        <v>7.9907964386547597E-3</v>
      </c>
      <c r="I1966" s="20">
        <v>171.21760536350601</v>
      </c>
      <c r="L1966" s="20">
        <f t="shared" si="66"/>
        <v>1012.6888352329979</v>
      </c>
      <c r="M1966" s="20">
        <f t="shared" si="67"/>
        <v>-12.861148207510517</v>
      </c>
    </row>
    <row r="1967" spans="1:13" x14ac:dyDescent="0.2">
      <c r="A1967" s="23">
        <v>485</v>
      </c>
      <c r="B1967" s="20">
        <v>1006.0795808863199</v>
      </c>
      <c r="C1967" s="20">
        <v>116.76803227494101</v>
      </c>
      <c r="D1967" s="20">
        <v>315.09951632100302</v>
      </c>
      <c r="E1967" s="20">
        <v>-0.220995604957024</v>
      </c>
      <c r="F1967" s="20">
        <v>-0.260501435665833</v>
      </c>
      <c r="G1967" s="20">
        <v>0.341613898128108</v>
      </c>
      <c r="H1967" s="20">
        <v>7.9751278890759208E-3</v>
      </c>
      <c r="I1967" s="20">
        <v>171.28476768972999</v>
      </c>
      <c r="L1967" s="20">
        <f t="shared" si="66"/>
        <v>1012.8331039405035</v>
      </c>
      <c r="M1967" s="20">
        <f t="shared" si="67"/>
        <v>-12.862980420095846</v>
      </c>
    </row>
    <row r="1968" spans="1:13" x14ac:dyDescent="0.2">
      <c r="A1968" s="23">
        <v>485.25</v>
      </c>
      <c r="B1968" s="20">
        <v>1006.22306171445</v>
      </c>
      <c r="C1968" s="20">
        <v>116.779423535003</v>
      </c>
      <c r="D1968" s="20">
        <v>315.06492454709399</v>
      </c>
      <c r="E1968" s="20">
        <v>-0.22081289527111</v>
      </c>
      <c r="F1968" s="20">
        <v>-0.25933554214335303</v>
      </c>
      <c r="G1968" s="20">
        <v>0.34060719037741499</v>
      </c>
      <c r="H1968" s="20">
        <v>7.9594569544523507E-3</v>
      </c>
      <c r="I1968" s="20">
        <v>171.35185308123499</v>
      </c>
      <c r="L1968" s="20">
        <f t="shared" si="66"/>
        <v>1012.9769413403097</v>
      </c>
      <c r="M1968" s="20">
        <f t="shared" si="67"/>
        <v>-12.864807155073393</v>
      </c>
    </row>
    <row r="1969" spans="1:13" x14ac:dyDescent="0.2">
      <c r="A1969" s="23">
        <v>485.5</v>
      </c>
      <c r="B1969" s="20">
        <v>1006.36613332662</v>
      </c>
      <c r="C1969" s="20">
        <v>116.790608813944</v>
      </c>
      <c r="D1969" s="20">
        <v>315.03029935108998</v>
      </c>
      <c r="E1969" s="20">
        <v>-0.220630547002101</v>
      </c>
      <c r="F1969" s="20">
        <v>-0.25817194168484298</v>
      </c>
      <c r="G1969" s="20">
        <v>0.33960357734241903</v>
      </c>
      <c r="H1969" s="20">
        <v>7.9437839406185408E-3</v>
      </c>
      <c r="I1969" s="20">
        <v>171.41886109704899</v>
      </c>
      <c r="L1969" s="20">
        <f t="shared" si="66"/>
        <v>1013.1203485341235</v>
      </c>
      <c r="M1969" s="20">
        <f t="shared" si="67"/>
        <v>-12.866628426434836</v>
      </c>
    </row>
    <row r="1970" spans="1:13" x14ac:dyDescent="0.2">
      <c r="A1970" s="23">
        <v>485.75</v>
      </c>
      <c r="B1970" s="20">
        <v>1006.50879681007</v>
      </c>
      <c r="C1970" s="20">
        <v>116.801588280896</v>
      </c>
      <c r="D1970" s="20">
        <v>314.99564061274401</v>
      </c>
      <c r="E1970" s="20">
        <v>-0.220448561238972</v>
      </c>
      <c r="F1970" s="20">
        <v>-0.257010634408461</v>
      </c>
      <c r="G1970" s="20">
        <v>0.338603063115756</v>
      </c>
      <c r="H1970" s="20">
        <v>7.9281091523828E-3</v>
      </c>
      <c r="I1970" s="20">
        <v>171.48579129799501</v>
      </c>
      <c r="L1970" s="20">
        <f t="shared" si="66"/>
        <v>1013.2633266239308</v>
      </c>
      <c r="M1970" s="20">
        <f t="shared" si="67"/>
        <v>-12.868444248175395</v>
      </c>
    </row>
    <row r="1971" spans="1:13" x14ac:dyDescent="0.2">
      <c r="A1971" s="23">
        <v>486</v>
      </c>
      <c r="B1971" s="20">
        <v>1006.6510532521499</v>
      </c>
      <c r="C1971" s="20">
        <v>116.812362106004</v>
      </c>
      <c r="D1971" s="20">
        <v>314.96094821166901</v>
      </c>
      <c r="E1971" s="20">
        <v>-0.22026693906188699</v>
      </c>
      <c r="F1971" s="20">
        <v>-0.25585162038813197</v>
      </c>
      <c r="G1971" s="20">
        <v>0.33760565175797302</v>
      </c>
      <c r="H1971" s="20">
        <v>7.9124329169988905E-3</v>
      </c>
      <c r="I1971" s="20">
        <v>171.55264313475701</v>
      </c>
      <c r="L1971" s="20">
        <f t="shared" si="66"/>
        <v>1013.4058767120147</v>
      </c>
      <c r="M1971" s="20">
        <f t="shared" si="67"/>
        <v>-12.870254634294067</v>
      </c>
    </row>
    <row r="1972" spans="1:13" x14ac:dyDescent="0.2">
      <c r="A1972" s="23">
        <v>486.25</v>
      </c>
      <c r="B1972" s="20">
        <v>1006.79290374026</v>
      </c>
      <c r="C1972" s="20">
        <v>116.82293046042101</v>
      </c>
      <c r="D1972" s="20">
        <v>314.92622202733497</v>
      </c>
      <c r="E1972" s="20">
        <v>-0.22008568153543501</v>
      </c>
      <c r="F1972" s="20">
        <v>-0.254694899649486</v>
      </c>
      <c r="G1972" s="20">
        <v>0.33661134728998399</v>
      </c>
      <c r="H1972" s="20">
        <v>7.8967556021309997E-3</v>
      </c>
      <c r="I1972" s="20">
        <v>171.619415857691</v>
      </c>
      <c r="L1972" s="20">
        <f t="shared" si="66"/>
        <v>1013.5479999008951</v>
      </c>
      <c r="M1972" s="20">
        <f t="shared" si="67"/>
        <v>-12.872059598792857</v>
      </c>
    </row>
    <row r="1973" spans="1:13" x14ac:dyDescent="0.2">
      <c r="A1973" s="23">
        <v>486.5</v>
      </c>
      <c r="B1973" s="20">
        <v>1006.93434936188</v>
      </c>
      <c r="C1973" s="20">
        <v>116.833293516295</v>
      </c>
      <c r="D1973" s="20">
        <v>314.89146193907101</v>
      </c>
      <c r="E1973" s="20">
        <v>-0.219904789699054</v>
      </c>
      <c r="F1973" s="20">
        <v>-0.25354047216395398</v>
      </c>
      <c r="G1973" s="20">
        <v>0.335620153682263</v>
      </c>
      <c r="H1973" s="20">
        <v>7.8810776169071593E-3</v>
      </c>
      <c r="I1973" s="20">
        <v>171.686108508286</v>
      </c>
      <c r="L1973" s="20">
        <f t="shared" si="66"/>
        <v>1013.6896972933569</v>
      </c>
      <c r="M1973" s="20">
        <f t="shared" si="67"/>
        <v>-12.873859155677128</v>
      </c>
    </row>
    <row r="1974" spans="1:13" x14ac:dyDescent="0.2">
      <c r="A1974" s="23">
        <v>486.75</v>
      </c>
      <c r="B1974" s="20">
        <v>1007.07539120448</v>
      </c>
      <c r="C1974" s="20">
        <v>116.84345144676401</v>
      </c>
      <c r="D1974" s="20">
        <v>314.85666782607001</v>
      </c>
      <c r="E1974" s="20">
        <v>-0.21972426455894001</v>
      </c>
      <c r="F1974" s="20">
        <v>-0.25238833784374798</v>
      </c>
      <c r="G1974" s="20">
        <v>0.33463207484563801</v>
      </c>
      <c r="H1974" s="20">
        <v>7.8653993744397608E-3</v>
      </c>
      <c r="I1974" s="20">
        <v>171.75272009638499</v>
      </c>
      <c r="L1974" s="20">
        <f t="shared" si="66"/>
        <v>1013.8309699923595</v>
      </c>
      <c r="M1974" s="20">
        <f t="shared" si="67"/>
        <v>-12.87565331895447</v>
      </c>
    </row>
    <row r="1975" spans="1:13" x14ac:dyDescent="0.2">
      <c r="A1975" s="23">
        <v>487</v>
      </c>
      <c r="B1975" s="20">
        <v>1007.2160303555401</v>
      </c>
      <c r="C1975" s="20">
        <v>116.853404425948</v>
      </c>
      <c r="D1975" s="20">
        <v>314.82183956738601</v>
      </c>
      <c r="E1975" s="20">
        <v>-0.21954410709066</v>
      </c>
      <c r="F1975" s="20">
        <v>-0.25123849654365799</v>
      </c>
      <c r="G1975" s="20">
        <v>0.33364711463423902</v>
      </c>
      <c r="H1975" s="20">
        <v>7.8497212858791507E-3</v>
      </c>
      <c r="I1975" s="20">
        <v>171.81924963583501</v>
      </c>
      <c r="L1975" s="20">
        <f t="shared" si="66"/>
        <v>1013.9718191010568</v>
      </c>
      <c r="M1975" s="20">
        <f t="shared" si="67"/>
        <v>-12.877442102634932</v>
      </c>
    </row>
    <row r="1976" spans="1:13" x14ac:dyDescent="0.2">
      <c r="A1976" s="23">
        <v>487.25</v>
      </c>
      <c r="B1976" s="20">
        <v>1007.35626790253</v>
      </c>
      <c r="C1976" s="20">
        <v>116.86315262894099</v>
      </c>
      <c r="D1976" s="20">
        <v>314.78697704193797</v>
      </c>
      <c r="E1976" s="20">
        <v>-0.219364318239816</v>
      </c>
      <c r="F1976" s="20">
        <v>-0.25009094806169901</v>
      </c>
      <c r="G1976" s="20">
        <v>0.33266527684628999</v>
      </c>
      <c r="H1976" s="20">
        <v>7.8340437607205306E-3</v>
      </c>
      <c r="I1976" s="20">
        <v>171.88569614430301</v>
      </c>
      <c r="L1976" s="20">
        <f t="shared" si="66"/>
        <v>1014.1122457227744</v>
      </c>
      <c r="M1976" s="20">
        <f t="shared" si="67"/>
        <v>-12.879225520730753</v>
      </c>
    </row>
    <row r="1977" spans="1:13" x14ac:dyDescent="0.2">
      <c r="A1977" s="23">
        <v>487.5</v>
      </c>
      <c r="B1977" s="20">
        <v>1007.49610493284</v>
      </c>
      <c r="C1977" s="20">
        <v>116.872696231804</v>
      </c>
      <c r="D1977" s="20">
        <v>314.75208012851198</v>
      </c>
      <c r="E1977" s="20">
        <v>-0.21918489892207799</v>
      </c>
      <c r="F1977" s="20">
        <v>-0.24894569213932599</v>
      </c>
      <c r="G1977" s="20">
        <v>0.331686565224174</v>
      </c>
      <c r="H1977" s="20">
        <v>7.8183672067994193E-3</v>
      </c>
      <c r="I1977" s="20">
        <v>171.95205864323</v>
      </c>
      <c r="L1977" s="20">
        <f t="shared" si="66"/>
        <v>1014.2522509609411</v>
      </c>
      <c r="M1977" s="20">
        <f t="shared" si="67"/>
        <v>-12.881003587255476</v>
      </c>
    </row>
    <row r="1978" spans="1:13" x14ac:dyDescent="0.2">
      <c r="A1978" s="23">
        <v>487.75</v>
      </c>
      <c r="B1978" s="20">
        <v>1007.63554253379</v>
      </c>
      <c r="C1978" s="20">
        <v>116.882035411559</v>
      </c>
      <c r="D1978" s="20">
        <v>314.71714870576199</v>
      </c>
      <c r="E1978" s="20">
        <v>-0.21900585002325301</v>
      </c>
      <c r="F1978" s="20">
        <v>-0.247802728461678</v>
      </c>
      <c r="G1978" s="20">
        <v>0.33071098345452599</v>
      </c>
      <c r="H1978" s="20">
        <v>7.8026920302866802E-3</v>
      </c>
      <c r="I1978" s="20">
        <v>172.018336157839</v>
      </c>
      <c r="L1978" s="20">
        <f t="shared" si="66"/>
        <v>1014.3918359190961</v>
      </c>
      <c r="M1978" s="20">
        <f t="shared" si="67"/>
        <v>-12.882776316224051</v>
      </c>
    </row>
    <row r="1979" spans="1:13" x14ac:dyDescent="0.2">
      <c r="A1979" s="23">
        <v>488</v>
      </c>
      <c r="B1979" s="20">
        <v>1007.7745817926</v>
      </c>
      <c r="C1979" s="20">
        <v>116.891170346178</v>
      </c>
      <c r="D1979" s="20">
        <v>314.68218265220997</v>
      </c>
      <c r="E1979" s="20">
        <v>-0.21882717239935001</v>
      </c>
      <c r="F1979" s="20">
        <v>-0.24666205665781701</v>
      </c>
      <c r="G1979" s="20">
        <v>0.32973853516833401</v>
      </c>
      <c r="H1979" s="20">
        <v>7.7870186356844501E-3</v>
      </c>
      <c r="I1979" s="20">
        <v>172.08452771712399</v>
      </c>
      <c r="L1979" s="20">
        <f t="shared" si="66"/>
        <v>1014.5310017008593</v>
      </c>
      <c r="M1979" s="20">
        <f t="shared" si="67"/>
        <v>-12.884543721652452</v>
      </c>
    </row>
    <row r="1980" spans="1:13" x14ac:dyDescent="0.2">
      <c r="A1980" s="23">
        <v>488.25</v>
      </c>
      <c r="B1980" s="20">
        <v>1007.9132237963501</v>
      </c>
      <c r="C1980" s="20">
        <v>116.900101214578</v>
      </c>
      <c r="D1980" s="20">
        <v>314.64718184625099</v>
      </c>
      <c r="E1980" s="20">
        <v>-0.218648866876656</v>
      </c>
      <c r="F1980" s="20">
        <v>-0.245523676300969</v>
      </c>
      <c r="G1980" s="20">
        <v>0.32876922394103297</v>
      </c>
      <c r="H1980" s="20">
        <v>7.7713474258220196E-3</v>
      </c>
      <c r="I1980" s="20">
        <v>172.15063235385199</v>
      </c>
      <c r="L1980" s="20">
        <f t="shared" si="66"/>
        <v>1014.6697494098904</v>
      </c>
      <c r="M1980" s="20">
        <f t="shared" si="67"/>
        <v>-12.886305817557153</v>
      </c>
    </row>
    <row r="1981" spans="1:13" x14ac:dyDescent="0.2">
      <c r="A1981" s="23">
        <v>488.5</v>
      </c>
      <c r="B1981" s="20">
        <v>1008.05146963197</v>
      </c>
      <c r="C1981" s="20">
        <v>116.90882819661</v>
      </c>
      <c r="D1981" s="20">
        <v>314.612146166152</v>
      </c>
      <c r="E1981" s="20">
        <v>-0.2184709342518</v>
      </c>
      <c r="F1981" s="20">
        <v>-0.24438758690876899</v>
      </c>
      <c r="G1981" s="20">
        <v>0.32780305329259102</v>
      </c>
      <c r="H1981" s="20">
        <v>7.75567880185234E-3</v>
      </c>
      <c r="I1981" s="20">
        <v>172.21664910456201</v>
      </c>
      <c r="L1981" s="20">
        <f t="shared" si="66"/>
        <v>1014.8080801498769</v>
      </c>
      <c r="M1981" s="20">
        <f t="shared" si="67"/>
        <v>-12.88806261795499</v>
      </c>
    </row>
    <row r="1982" spans="1:13" x14ac:dyDescent="0.2">
      <c r="A1982" s="23">
        <v>488.75</v>
      </c>
      <c r="B1982" s="20">
        <v>1008.1893203862101</v>
      </c>
      <c r="C1982" s="20">
        <v>116.91735147305801</v>
      </c>
      <c r="D1982" s="20">
        <v>314.57707549005301</v>
      </c>
      <c r="E1982" s="20">
        <v>-0.21829337529182199</v>
      </c>
      <c r="F1982" s="20">
        <v>-0.243253787943498</v>
      </c>
      <c r="G1982" s="20">
        <v>0.32684002668760898</v>
      </c>
      <c r="H1982" s="20">
        <v>7.7400131632481004E-3</v>
      </c>
      <c r="I1982" s="20">
        <v>172.28257700955601</v>
      </c>
      <c r="L1982" s="20">
        <f t="shared" si="66"/>
        <v>1014.9459950245051</v>
      </c>
      <c r="M1982" s="20">
        <f t="shared" si="67"/>
        <v>-12.889814136862773</v>
      </c>
    </row>
    <row r="1983" spans="1:13" x14ac:dyDescent="0.2">
      <c r="A1983" s="23">
        <v>489</v>
      </c>
      <c r="B1983" s="20">
        <v>1008.32677714559</v>
      </c>
      <c r="C1983" s="20">
        <v>116.925671225624</v>
      </c>
      <c r="D1983" s="20">
        <v>314.54196969597098</v>
      </c>
      <c r="E1983" s="20">
        <v>-0.21811619073424701</v>
      </c>
      <c r="F1983" s="20">
        <v>-0.24212227881233001</v>
      </c>
      <c r="G1983" s="20">
        <v>0.32588014753540001</v>
      </c>
      <c r="H1983" s="20">
        <v>7.7243509077982797E-3</v>
      </c>
      <c r="I1983" s="20">
        <v>172.34841511289599</v>
      </c>
      <c r="L1983" s="20">
        <f t="shared" si="66"/>
        <v>1015.0834951374073</v>
      </c>
      <c r="M1983" s="20">
        <f t="shared" si="67"/>
        <v>-12.891560388296638</v>
      </c>
    </row>
    <row r="1984" spans="1:13" x14ac:dyDescent="0.2">
      <c r="A1984" s="23">
        <v>489.25</v>
      </c>
      <c r="B1984" s="20">
        <v>1008.46384099644</v>
      </c>
      <c r="C1984" s="20">
        <v>116.933787636925</v>
      </c>
      <c r="D1984" s="20">
        <v>314.5068286618</v>
      </c>
      <c r="E1984" s="20">
        <v>-0.21793938128715201</v>
      </c>
      <c r="F1984" s="20">
        <v>-0.240993058867571</v>
      </c>
      <c r="G1984" s="20">
        <v>0.324923419190084</v>
      </c>
      <c r="H1984" s="20">
        <v>7.7086924316051297E-3</v>
      </c>
      <c r="I1984" s="20">
        <v>172.414162462402</v>
      </c>
      <c r="L1984" s="20">
        <f t="shared" si="66"/>
        <v>1015.2205815922028</v>
      </c>
      <c r="M1984" s="20">
        <f t="shared" si="67"/>
        <v>-12.893301386272549</v>
      </c>
    </row>
    <row r="1985" spans="1:13" x14ac:dyDescent="0.2">
      <c r="A1985" s="23">
        <v>489.5</v>
      </c>
      <c r="B1985" s="20">
        <v>1008.6005130248</v>
      </c>
      <c r="C1985" s="20">
        <v>116.941700890484</v>
      </c>
      <c r="D1985" s="20">
        <v>314.47165226531303</v>
      </c>
      <c r="E1985" s="20">
        <v>-0.21776294762923801</v>
      </c>
      <c r="F1985" s="20">
        <v>-0.239866127406903</v>
      </c>
      <c r="G1985" s="20">
        <v>0.323969844950667</v>
      </c>
      <c r="H1985" s="20">
        <v>7.69303812908061E-3</v>
      </c>
      <c r="I1985" s="20">
        <v>172.47981810964501</v>
      </c>
      <c r="L1985" s="20">
        <f t="shared" si="66"/>
        <v>1015.3572554923952</v>
      </c>
      <c r="M1985" s="20">
        <f t="shared" si="67"/>
        <v>-12.895037144804999</v>
      </c>
    </row>
    <row r="1986" spans="1:13" x14ac:dyDescent="0.2">
      <c r="A1986" s="23">
        <v>489.75</v>
      </c>
      <c r="B1986" s="20">
        <v>1008.73679431644</v>
      </c>
      <c r="C1986" s="20">
        <v>116.949411170719</v>
      </c>
      <c r="D1986" s="20">
        <v>314.43644038416301</v>
      </c>
      <c r="E1986" s="20">
        <v>-0.21758689040989901</v>
      </c>
      <c r="F1986" s="20">
        <v>-0.23874148367362999</v>
      </c>
      <c r="G1986" s="20">
        <v>0.32301942806112399</v>
      </c>
      <c r="H1986" s="20">
        <v>7.6773883929437403E-3</v>
      </c>
      <c r="I1986" s="20">
        <v>172.545381109939</v>
      </c>
      <c r="L1986" s="20">
        <f t="shared" si="66"/>
        <v>1015.4935179413927</v>
      </c>
      <c r="M1986" s="20">
        <f t="shared" si="67"/>
        <v>-12.896767677907276</v>
      </c>
    </row>
    <row r="1987" spans="1:13" x14ac:dyDescent="0.2">
      <c r="A1987" s="23">
        <v>490</v>
      </c>
      <c r="B1987" s="20">
        <v>1008.87268595683</v>
      </c>
      <c r="C1987" s="20">
        <v>116.956918662943</v>
      </c>
      <c r="D1987" s="20">
        <v>314.40119289588603</v>
      </c>
      <c r="E1987" s="20">
        <v>-0.21741121024929499</v>
      </c>
      <c r="F1987" s="20">
        <v>-0.237619126856915</v>
      </c>
      <c r="G1987" s="20">
        <v>0.32207217171048202</v>
      </c>
      <c r="H1987" s="20">
        <v>7.6617436142174897E-3</v>
      </c>
      <c r="I1987" s="20">
        <v>172.610850522335</v>
      </c>
      <c r="L1987" s="20">
        <f t="shared" si="66"/>
        <v>1015.629370042477</v>
      </c>
      <c r="M1987" s="20">
        <f t="shared" si="67"/>
        <v>-12.898492999591053</v>
      </c>
    </row>
    <row r="1988" spans="1:13" x14ac:dyDescent="0.2">
      <c r="A1988" s="23">
        <v>490.25</v>
      </c>
      <c r="B1988" s="20">
        <v>1009.00818903109</v>
      </c>
      <c r="C1988" s="20">
        <v>116.96422355334801</v>
      </c>
      <c r="D1988" s="20">
        <v>314.365909677898</v>
      </c>
      <c r="E1988" s="20">
        <v>-0.21723590773842</v>
      </c>
      <c r="F1988" s="20">
        <v>-0.23649905609203301</v>
      </c>
      <c r="G1988" s="20">
        <v>0.32112807903289597</v>
      </c>
      <c r="H1988" s="20">
        <v>7.6461041822264396E-3</v>
      </c>
      <c r="I1988" s="20">
        <v>172.67622540961801</v>
      </c>
      <c r="L1988" s="20">
        <f t="shared" si="66"/>
        <v>1015.7648128987523</v>
      </c>
      <c r="M1988" s="20">
        <f t="shared" si="67"/>
        <v>-12.900213123865756</v>
      </c>
    </row>
    <row r="1989" spans="1:13" x14ac:dyDescent="0.2">
      <c r="A1989" s="23">
        <v>490.5</v>
      </c>
      <c r="B1989" s="20">
        <v>1009.1433046240101</v>
      </c>
      <c r="C1989" s="20">
        <v>116.971326029004</v>
      </c>
      <c r="D1989" s="20">
        <v>314.33059060750497</v>
      </c>
      <c r="E1989" s="20">
        <v>-0.21706098343917701</v>
      </c>
      <c r="F1989" s="20">
        <v>-0.235381270460606</v>
      </c>
      <c r="G1989" s="20">
        <v>0.320187153107728</v>
      </c>
      <c r="H1989" s="20">
        <v>7.6304704845939304E-3</v>
      </c>
      <c r="I1989" s="20">
        <v>172.74150483829399</v>
      </c>
      <c r="L1989" s="20">
        <f t="shared" si="66"/>
        <v>1015.8998476131646</v>
      </c>
      <c r="M1989" s="20">
        <f t="shared" si="67"/>
        <v>-12.901928064738799</v>
      </c>
    </row>
    <row r="1990" spans="1:13" x14ac:dyDescent="0.2">
      <c r="A1990" s="23">
        <v>490.75</v>
      </c>
      <c r="B1990" s="20">
        <v>1009.27803381998</v>
      </c>
      <c r="C1990" s="20">
        <v>116.978226277845</v>
      </c>
      <c r="D1990" s="20">
        <v>314.29523556189702</v>
      </c>
      <c r="E1990" s="20">
        <v>-0.21688643788444401</v>
      </c>
      <c r="F1990" s="20">
        <v>-0.234265768990853</v>
      </c>
      <c r="G1990" s="20">
        <v>0.31924939695961602</v>
      </c>
      <c r="H1990" s="20">
        <v>7.61484290723995E-3</v>
      </c>
      <c r="I1990" s="20">
        <v>172.80668787858301</v>
      </c>
      <c r="L1990" s="20">
        <f t="shared" si="66"/>
        <v>1016.03447528843</v>
      </c>
      <c r="M1990" s="20">
        <f t="shared" si="67"/>
        <v>-12.903637836214676</v>
      </c>
    </row>
    <row r="1991" spans="1:13" x14ac:dyDescent="0.2">
      <c r="A1991" s="23">
        <v>491</v>
      </c>
      <c r="B1991" s="20">
        <v>1009.4123777029999</v>
      </c>
      <c r="C1991" s="20">
        <v>116.984924488667</v>
      </c>
      <c r="D1991" s="20">
        <v>314.25984441815098</v>
      </c>
      <c r="E1991" s="20">
        <v>-0.21671227157814901</v>
      </c>
      <c r="F1991" s="20">
        <v>-0.233152550657833</v>
      </c>
      <c r="G1991" s="20">
        <v>0.31831481355855101</v>
      </c>
      <c r="H1991" s="20">
        <v>7.5992218343788002E-3</v>
      </c>
      <c r="I1991" s="20">
        <v>172.87177360441399</v>
      </c>
      <c r="L1991" s="20">
        <f t="shared" si="66"/>
        <v>1016.1686970270453</v>
      </c>
      <c r="M1991" s="20">
        <f t="shared" si="67"/>
        <v>-12.905342452295097</v>
      </c>
    </row>
    <row r="1992" spans="1:13" x14ac:dyDescent="0.2">
      <c r="A1992" s="23">
        <v>491.25</v>
      </c>
      <c r="B1992" s="20">
        <v>1009.54633735664</v>
      </c>
      <c r="C1992" s="20">
        <v>116.991420851117</v>
      </c>
      <c r="D1992" s="20">
        <v>314.22441705323598</v>
      </c>
      <c r="E1992" s="20">
        <v>-0.21653848499534201</v>
      </c>
      <c r="F1992" s="20">
        <v>-0.232041614383689</v>
      </c>
      <c r="G1992" s="20">
        <v>0.31738340581994301</v>
      </c>
      <c r="H1992" s="20">
        <v>7.5836076485171298E-3</v>
      </c>
      <c r="I1992" s="20">
        <v>172.93676109341001</v>
      </c>
      <c r="L1992" s="20">
        <f t="shared" si="66"/>
        <v>1016.3025139312458</v>
      </c>
      <c r="M1992" s="20">
        <f t="shared" si="67"/>
        <v>-12.907041926978449</v>
      </c>
    </row>
    <row r="1993" spans="1:13" x14ac:dyDescent="0.2">
      <c r="A1993" s="23">
        <v>491.5</v>
      </c>
      <c r="B1993" s="20">
        <v>1009.67991386401</v>
      </c>
      <c r="C1993" s="20">
        <v>116.997715555684</v>
      </c>
      <c r="D1993" s="20">
        <v>314.188953344011</v>
      </c>
      <c r="E1993" s="20">
        <v>-0.216365078582262</v>
      </c>
      <c r="F1993" s="20">
        <v>-0.23093295903789299</v>
      </c>
      <c r="G1993" s="20">
        <v>0.31645517660468903</v>
      </c>
      <c r="H1993" s="20">
        <v>7.5680007304520704E-3</v>
      </c>
      <c r="I1993" s="20">
        <v>173.00164942688201</v>
      </c>
      <c r="L1993" s="20">
        <f t="shared" si="66"/>
        <v>1016.4359271029746</v>
      </c>
      <c r="M1993" s="20">
        <f t="shared" si="67"/>
        <v>-12.908736274259415</v>
      </c>
    </row>
    <row r="1994" spans="1:13" x14ac:dyDescent="0.2">
      <c r="A1994" s="23">
        <v>491.75</v>
      </c>
      <c r="B1994" s="20">
        <v>1009.81310830775</v>
      </c>
      <c r="C1994" s="20">
        <v>117.003808793696</v>
      </c>
      <c r="D1994" s="20">
        <v>314.15345316722897</v>
      </c>
      <c r="E1994" s="20">
        <v>-0.21619205275641001</v>
      </c>
      <c r="F1994" s="20">
        <v>-0.22982658343748999</v>
      </c>
      <c r="G1994" s="20">
        <v>0.31553012871923902</v>
      </c>
      <c r="H1994" s="20">
        <v>7.5524014592694196E-3</v>
      </c>
      <c r="I1994" s="20">
        <v>173.066437689819</v>
      </c>
      <c r="L1994" s="20">
        <f t="shared" si="66"/>
        <v>1016.5689376438725</v>
      </c>
      <c r="M1994" s="20">
        <f t="shared" si="67"/>
        <v>-12.910425508128823</v>
      </c>
    </row>
    <row r="1995" spans="1:13" x14ac:dyDescent="0.2">
      <c r="A1995" s="23">
        <v>492</v>
      </c>
      <c r="B1995" s="20">
        <v>1009.94592177</v>
      </c>
      <c r="C1995" s="20">
        <v>117.009700757308</v>
      </c>
      <c r="D1995" s="20">
        <v>314.11791639953498</v>
      </c>
      <c r="E1995" s="20">
        <v>-0.216019407906622</v>
      </c>
      <c r="F1995" s="20">
        <v>-0.22872248634734699</v>
      </c>
      <c r="G1995" s="20">
        <v>0.31460826491565702</v>
      </c>
      <c r="H1995" s="20">
        <v>7.5368102123421401E-3</v>
      </c>
      <c r="I1995" s="20">
        <v>173.131124970873</v>
      </c>
      <c r="L1995" s="20">
        <f t="shared" si="66"/>
        <v>1016.7015466552463</v>
      </c>
      <c r="M1995" s="20">
        <f t="shared" si="67"/>
        <v>-12.912109642573277</v>
      </c>
    </row>
    <row r="1996" spans="1:13" x14ac:dyDescent="0.2">
      <c r="A1996" s="23">
        <v>492.25</v>
      </c>
      <c r="B1996" s="20">
        <v>1010.0783553323801</v>
      </c>
      <c r="C1996" s="20">
        <v>117.01539163949499</v>
      </c>
      <c r="D1996" s="20">
        <v>314.08234291747198</v>
      </c>
      <c r="E1996" s="20">
        <v>-0.21584714439314001</v>
      </c>
      <c r="F1996" s="20">
        <v>-0.227620666480394</v>
      </c>
      <c r="G1996" s="20">
        <v>0.31368958789168</v>
      </c>
      <c r="H1996" s="20">
        <v>7.5212273653289001E-3</v>
      </c>
      <c r="I1996" s="20">
        <v>173.195710362352</v>
      </c>
      <c r="L1996" s="20">
        <f t="shared" si="66"/>
        <v>1016.8337552380478</v>
      </c>
      <c r="M1996" s="20">
        <f t="shared" si="67"/>
        <v>-12.913788691574862</v>
      </c>
    </row>
    <row r="1997" spans="1:13" x14ac:dyDescent="0.2">
      <c r="A1997" s="23">
        <v>492.5</v>
      </c>
      <c r="B1997" s="20">
        <v>1010.21041007597</v>
      </c>
      <c r="C1997" s="20">
        <v>117.020881634045</v>
      </c>
      <c r="D1997" s="20">
        <v>314.04673259747898</v>
      </c>
      <c r="E1997" s="20">
        <v>-0.21567526254767699</v>
      </c>
      <c r="F1997" s="20">
        <v>-0.22652112249787201</v>
      </c>
      <c r="G1997" s="20">
        <v>0.31277410029077701</v>
      </c>
      <c r="H1997" s="20">
        <v>7.5056532921728703E-3</v>
      </c>
      <c r="I1997" s="20">
        <v>173.26019296020601</v>
      </c>
      <c r="L1997" s="20">
        <f t="shared" si="66"/>
        <v>1016.9655644928538</v>
      </c>
      <c r="M1997" s="20">
        <f t="shared" si="67"/>
        <v>-12.915462669110905</v>
      </c>
    </row>
    <row r="1998" spans="1:13" x14ac:dyDescent="0.2">
      <c r="A1998" s="23">
        <v>492.75</v>
      </c>
      <c r="B1998" s="20">
        <v>1010.34208708125</v>
      </c>
      <c r="C1998" s="20">
        <v>117.02617093555099</v>
      </c>
      <c r="D1998" s="20">
        <v>314.011085315895</v>
      </c>
      <c r="E1998" s="20">
        <v>-0.215503762673496</v>
      </c>
      <c r="F1998" s="20">
        <v>-0.22542385300957599</v>
      </c>
      <c r="G1998" s="20">
        <v>0.31186180470220698</v>
      </c>
      <c r="H1998" s="20">
        <v>7.4900883651005104E-3</v>
      </c>
      <c r="I1998" s="20">
        <v>173.32457186401501</v>
      </c>
      <c r="L1998" s="20">
        <f t="shared" si="66"/>
        <v>1017.0969755198041</v>
      </c>
      <c r="M1998" s="20">
        <f t="shared" si="67"/>
        <v>-12.917131589153181</v>
      </c>
    </row>
    <row r="1999" spans="1:13" x14ac:dyDescent="0.2">
      <c r="A1999" s="23">
        <v>493</v>
      </c>
      <c r="B1999" s="20">
        <v>1010.47338742815</v>
      </c>
      <c r="C1999" s="20">
        <v>117.03125973940401</v>
      </c>
      <c r="D1999" s="20">
        <v>313.97540094895902</v>
      </c>
      <c r="E1999" s="20">
        <v>-0.215332645045475</v>
      </c>
      <c r="F1999" s="20">
        <v>-0.22432885657410401</v>
      </c>
      <c r="G1999" s="20">
        <v>0.31095270366106398</v>
      </c>
      <c r="H1999" s="20">
        <v>7.4745329546206498E-3</v>
      </c>
      <c r="I1999" s="20">
        <v>173.38884617697499</v>
      </c>
      <c r="L1999" s="20">
        <f t="shared" si="66"/>
        <v>1017.2279894186514</v>
      </c>
      <c r="M1999" s="20">
        <f t="shared" si="67"/>
        <v>-12.918795465668548</v>
      </c>
    </row>
    <row r="2000" spans="1:13" x14ac:dyDescent="0.2">
      <c r="A2000" s="23">
        <v>493.25</v>
      </c>
      <c r="B2000" s="20">
        <v>1010.60431219594</v>
      </c>
      <c r="C2000" s="20">
        <v>117.036148241783</v>
      </c>
      <c r="D2000" s="20">
        <v>313.93967937281201</v>
      </c>
      <c r="E2000" s="20">
        <v>-0.215161909910179</v>
      </c>
      <c r="F2000" s="20">
        <v>-0.22323613169909901</v>
      </c>
      <c r="G2000" s="20">
        <v>0.31004679964833298</v>
      </c>
      <c r="H2000" s="20">
        <v>7.45898742952366E-3</v>
      </c>
      <c r="I2000" s="20">
        <v>173.45301500588599</v>
      </c>
      <c r="L2000" s="20">
        <f t="shared" si="66"/>
        <v>1017.35860728865</v>
      </c>
      <c r="M2000" s="20">
        <f t="shared" si="67"/>
        <v>-12.920454312617538</v>
      </c>
    </row>
    <row r="2001" spans="1:13" x14ac:dyDescent="0.2">
      <c r="A2001" s="23">
        <v>493.5</v>
      </c>
      <c r="B2001" s="20">
        <v>1010.73486246329</v>
      </c>
      <c r="C2001" s="20">
        <v>117.040836639647</v>
      </c>
      <c r="D2001" s="20">
        <v>313.90392046349803</v>
      </c>
      <c r="E2001" s="20">
        <v>-0.21499155748593199</v>
      </c>
      <c r="F2001" s="20">
        <v>-0.222145676841497</v>
      </c>
      <c r="G2001" s="20">
        <v>0.30914409509093599</v>
      </c>
      <c r="H2001" s="20">
        <v>7.44345215688087E-3</v>
      </c>
      <c r="I2001" s="20">
        <v>173.517077461138</v>
      </c>
      <c r="L2001" s="20">
        <f t="shared" si="66"/>
        <v>1017.4888302286146</v>
      </c>
      <c r="M2001" s="20">
        <f t="shared" si="67"/>
        <v>-12.922108143955095</v>
      </c>
    </row>
    <row r="2002" spans="1:13" x14ac:dyDescent="0.2">
      <c r="A2002" s="23">
        <v>493.75</v>
      </c>
      <c r="B2002" s="20">
        <v>1010.86503930818</v>
      </c>
      <c r="C2002" s="20">
        <v>117.045325130732</v>
      </c>
      <c r="D2002" s="20">
        <v>313.86812409696603</v>
      </c>
      <c r="E2002" s="20">
        <v>-0.21482158796288101</v>
      </c>
      <c r="F2002" s="20">
        <v>-0.221057490407774</v>
      </c>
      <c r="G2002" s="20">
        <v>0.30824459236177498</v>
      </c>
      <c r="H2002" s="20">
        <v>7.4279275020439203E-3</v>
      </c>
      <c r="I2002" s="20">
        <v>173.58103265669399</v>
      </c>
      <c r="L2002" s="20">
        <f t="shared" si="66"/>
        <v>1017.6186593368299</v>
      </c>
      <c r="M2002" s="20">
        <f t="shared" si="67"/>
        <v>-12.923756973629436</v>
      </c>
    </row>
    <row r="2003" spans="1:13" x14ac:dyDescent="0.2">
      <c r="A2003" s="23">
        <v>494</v>
      </c>
      <c r="B2003" s="20">
        <v>1010.99484380791</v>
      </c>
      <c r="C2003" s="20">
        <v>117.049613913537</v>
      </c>
      <c r="D2003" s="20">
        <v>313.83229014907403</v>
      </c>
      <c r="E2003" s="20">
        <v>-0.21465200150307501</v>
      </c>
      <c r="F2003" s="20">
        <v>-0.219971570754186</v>
      </c>
      <c r="G2003" s="20">
        <v>0.30734829377977702</v>
      </c>
      <c r="H2003" s="20">
        <v>7.4124138286444496E-3</v>
      </c>
      <c r="I2003" s="20">
        <v>173.64487971007699</v>
      </c>
      <c r="L2003" s="20">
        <f t="shared" si="66"/>
        <v>1017.7480957110597</v>
      </c>
      <c r="M2003" s="20">
        <f t="shared" si="67"/>
        <v>-12.925400815582162</v>
      </c>
    </row>
    <row r="2004" spans="1:13" x14ac:dyDescent="0.2">
      <c r="A2004" s="23">
        <v>494.25</v>
      </c>
      <c r="B2004" s="20">
        <v>1011.12427703907</v>
      </c>
      <c r="C2004" s="20">
        <v>117.053703187319</v>
      </c>
      <c r="D2004" s="20">
        <v>313.79641849558601</v>
      </c>
      <c r="E2004" s="20">
        <v>-0.21448279824052399</v>
      </c>
      <c r="F2004" s="20">
        <v>-0.218887916187022</v>
      </c>
      <c r="G2004" s="20">
        <v>0.30645520160992901</v>
      </c>
      <c r="H2004" s="20">
        <v>7.39691149859391E-3</v>
      </c>
      <c r="I2004" s="20">
        <v>173.70861774235601</v>
      </c>
      <c r="L2004" s="20">
        <f t="shared" si="66"/>
        <v>1017.8771404485155</v>
      </c>
      <c r="M2004" s="20">
        <f t="shared" si="67"/>
        <v>-12.927039683747857</v>
      </c>
    </row>
    <row r="2005" spans="1:13" x14ac:dyDescent="0.2">
      <c r="A2005" s="23">
        <v>494.5</v>
      </c>
      <c r="B2005" s="20">
        <v>1011.25334007754</v>
      </c>
      <c r="C2005" s="20">
        <v>117.057593152086</v>
      </c>
      <c r="D2005" s="20">
        <v>313.760509012174</v>
      </c>
      <c r="E2005" s="20">
        <v>-0.21431397828127599</v>
      </c>
      <c r="F2005" s="20">
        <v>-0.217806524962846</v>
      </c>
      <c r="G2005" s="20">
        <v>0.30556531806331999</v>
      </c>
      <c r="H2005" s="20">
        <v>7.38142087208336E-3</v>
      </c>
      <c r="I2005" s="20">
        <v>173.772245878126</v>
      </c>
      <c r="L2005" s="20">
        <f t="shared" si="66"/>
        <v>1018.0057946458556</v>
      </c>
      <c r="M2005" s="20">
        <f t="shared" si="67"/>
        <v>-12.928673592054082</v>
      </c>
    </row>
    <row r="2006" spans="1:13" x14ac:dyDescent="0.2">
      <c r="A2006" s="23">
        <v>494.75</v>
      </c>
      <c r="B2006" s="20">
        <v>1011.38203399841</v>
      </c>
      <c r="C2006" s="20">
        <v>117.06128400858699</v>
      </c>
      <c r="D2006" s="20">
        <v>313.72456157442502</v>
      </c>
      <c r="E2006" s="20">
        <v>-0.21414554170348199</v>
      </c>
      <c r="F2006" s="20">
        <v>-0.21672739528874099</v>
      </c>
      <c r="G2006" s="20">
        <v>0.30467864529717198</v>
      </c>
      <c r="H2006" s="20">
        <v>7.3659423075837296E-3</v>
      </c>
      <c r="I2006" s="20">
        <v>173.83576324549301</v>
      </c>
      <c r="L2006" s="20">
        <f t="shared" si="66"/>
        <v>1018.1340593991048</v>
      </c>
      <c r="M2006" s="20">
        <f t="shared" si="67"/>
        <v>-12.930302554420352</v>
      </c>
    </row>
    <row r="2007" spans="1:13" x14ac:dyDescent="0.2">
      <c r="A2007" s="23">
        <v>495</v>
      </c>
      <c r="B2007" s="20">
        <v>1011.51035987603</v>
      </c>
      <c r="C2007" s="20">
        <v>117.06477595830501</v>
      </c>
      <c r="D2007" s="20">
        <v>313.68857605783802</v>
      </c>
      <c r="E2007" s="20">
        <v>-0.21397748855746199</v>
      </c>
      <c r="F2007" s="20">
        <v>-0.21565052532255899</v>
      </c>
      <c r="G2007" s="20">
        <v>0.303795185414869</v>
      </c>
      <c r="H2007" s="20">
        <v>7.3504761618458803E-3</v>
      </c>
      <c r="I2007" s="20">
        <v>173.89916897606</v>
      </c>
      <c r="L2007" s="20">
        <f t="shared" si="66"/>
        <v>1018.2619358037026</v>
      </c>
      <c r="M2007" s="20">
        <f t="shared" si="67"/>
        <v>-12.931926584758752</v>
      </c>
    </row>
    <row r="2008" spans="1:13" x14ac:dyDescent="0.2">
      <c r="A2008" s="23">
        <v>495.25</v>
      </c>
      <c r="B2008" s="20">
        <v>1011.63831878393</v>
      </c>
      <c r="C2008" s="20">
        <v>117.068069203451</v>
      </c>
      <c r="D2008" s="20">
        <v>313.65255233782301</v>
      </c>
      <c r="E2008" s="20">
        <v>-0.21380981886577999</v>
      </c>
      <c r="F2008" s="20">
        <v>-0.21457591317316399</v>
      </c>
      <c r="G2008" s="20">
        <v>0.30291494046599099</v>
      </c>
      <c r="H2008" s="20">
        <v>7.3350227899009503E-3</v>
      </c>
      <c r="I2008" s="20">
        <v>173.96246220490499</v>
      </c>
      <c r="L2008" s="20">
        <f t="shared" si="66"/>
        <v>1018.389424954423</v>
      </c>
      <c r="M2008" s="20">
        <f t="shared" si="67"/>
        <v>-12.933545696972907</v>
      </c>
    </row>
    <row r="2009" spans="1:13" x14ac:dyDescent="0.2">
      <c r="A2009" s="23">
        <v>495.5</v>
      </c>
      <c r="B2009" s="20">
        <v>1011.76591179482</v>
      </c>
      <c r="C2009" s="20">
        <v>117.071163946951</v>
      </c>
      <c r="D2009" s="20">
        <v>313.61649028970902</v>
      </c>
      <c r="E2009" s="20">
        <v>-0.21364253262330399</v>
      </c>
      <c r="F2009" s="20">
        <v>-0.21350355690067599</v>
      </c>
      <c r="G2009" s="20">
        <v>0.30203791244633399</v>
      </c>
      <c r="H2009" s="20">
        <v>7.31958254506103E-3</v>
      </c>
      <c r="I2009" s="20">
        <v>174.025642070564</v>
      </c>
      <c r="L2009" s="20">
        <f t="shared" si="66"/>
        <v>1018.5165279453728</v>
      </c>
      <c r="M2009" s="20">
        <f t="shared" si="67"/>
        <v>-12.935159904957974</v>
      </c>
    </row>
    <row r="2010" spans="1:13" x14ac:dyDescent="0.2">
      <c r="A2010" s="23">
        <v>495.75</v>
      </c>
      <c r="B2010" s="20">
        <v>1011.89313998057</v>
      </c>
      <c r="C2010" s="20">
        <v>117.074060392444</v>
      </c>
      <c r="D2010" s="20">
        <v>313.58038978874202</v>
      </c>
      <c r="E2010" s="20">
        <v>-0.213475629797274</v>
      </c>
      <c r="F2010" s="20">
        <v>-0.21243345451671999</v>
      </c>
      <c r="G2010" s="20">
        <v>0.30116410329793702</v>
      </c>
      <c r="H2010" s="20">
        <v>7.3041557789195397E-3</v>
      </c>
      <c r="I2010" s="20">
        <v>174.088707715016</v>
      </c>
      <c r="L2010" s="20">
        <f t="shared" si="66"/>
        <v>1018.6432458699715</v>
      </c>
      <c r="M2010" s="20">
        <f t="shared" si="67"/>
        <v>-12.936769222600386</v>
      </c>
    </row>
    <row r="2011" spans="1:13" x14ac:dyDescent="0.2">
      <c r="A2011" s="23">
        <v>496</v>
      </c>
      <c r="B2011" s="20">
        <v>1012.02000441219</v>
      </c>
      <c r="C2011" s="20">
        <v>117.076758744271</v>
      </c>
      <c r="D2011" s="20">
        <v>313.54425071008501</v>
      </c>
      <c r="E2011" s="20">
        <v>-0.21330911032737501</v>
      </c>
      <c r="F2011" s="20">
        <v>-0.211365603984671</v>
      </c>
      <c r="G2011" s="20">
        <v>0.300293514909098</v>
      </c>
      <c r="H2011" s="20">
        <v>7.2887428413522196E-3</v>
      </c>
      <c r="I2011" s="20">
        <v>174.151658283659</v>
      </c>
      <c r="L2011" s="20">
        <f t="shared" si="66"/>
        <v>1018.7695798209296</v>
      </c>
      <c r="M2011" s="20">
        <f t="shared" si="67"/>
        <v>-12.938373663777561</v>
      </c>
    </row>
    <row r="2012" spans="1:13" x14ac:dyDescent="0.2">
      <c r="A2012" s="23">
        <v>496.25</v>
      </c>
      <c r="B2012" s="20">
        <v>1012.1465061598</v>
      </c>
      <c r="C2012" s="20">
        <v>117.079259207467</v>
      </c>
      <c r="D2012" s="20">
        <v>313.50807292882502</v>
      </c>
      <c r="E2012" s="20">
        <v>-0.213142974125793</v>
      </c>
      <c r="F2012" s="20">
        <v>-0.210300003219895</v>
      </c>
      <c r="G2012" s="20">
        <v>0.29942614911439602</v>
      </c>
      <c r="H2012" s="20">
        <v>7.2733440805179701E-3</v>
      </c>
      <c r="I2012" s="20">
        <v>174.214492925293</v>
      </c>
      <c r="L2012" s="20">
        <f t="shared" ref="L2012:L2075" si="68">SQRT(B2012^2+C2012^2)</f>
        <v>1018.895530890218</v>
      </c>
      <c r="M2012" s="20">
        <f t="shared" ref="M2012:M2075" si="69">-L2012/A$25*100</f>
        <v>-12.939973242357528</v>
      </c>
    </row>
    <row r="2013" spans="1:13" x14ac:dyDescent="0.2">
      <c r="A2013" s="23">
        <v>496.5</v>
      </c>
      <c r="B2013" s="20">
        <v>1012.27264629261</v>
      </c>
      <c r="C2013" s="20">
        <v>117.081561987754</v>
      </c>
      <c r="D2013" s="20">
        <v>313.471856319967</v>
      </c>
      <c r="E2013" s="20">
        <v>-0.212977221077289</v>
      </c>
      <c r="F2013" s="20">
        <v>-0.209236650089999</v>
      </c>
      <c r="G2013" s="20">
        <v>0.29856200769469798</v>
      </c>
      <c r="H2013" s="20">
        <v>7.2579598428599299E-3</v>
      </c>
      <c r="I2013" s="20">
        <v>174.277210792099</v>
      </c>
      <c r="L2013" s="20">
        <f t="shared" si="68"/>
        <v>1019.0211001690475</v>
      </c>
      <c r="M2013" s="20">
        <f t="shared" si="69"/>
        <v>-12.941567972198669</v>
      </c>
    </row>
    <row r="2014" spans="1:13" x14ac:dyDescent="0.2">
      <c r="A2014" s="23">
        <v>496.75</v>
      </c>
      <c r="B2014" s="20">
        <v>1012.3984258789</v>
      </c>
      <c r="C2014" s="20">
        <v>117.083667291533</v>
      </c>
      <c r="D2014" s="20">
        <v>313.435600758443</v>
      </c>
      <c r="E2014" s="20">
        <v>-0.21281185103925801</v>
      </c>
      <c r="F2014" s="20">
        <v>-0.20817554241507399</v>
      </c>
      <c r="G2014" s="20">
        <v>0.29770109237717901</v>
      </c>
      <c r="H2014" s="20">
        <v>7.2425904731066399E-3</v>
      </c>
      <c r="I2014" s="20">
        <v>174.33981103962199</v>
      </c>
      <c r="L2014" s="20">
        <f t="shared" si="68"/>
        <v>1019.1462887478465</v>
      </c>
      <c r="M2014" s="20">
        <f t="shared" si="69"/>
        <v>-12.943157867149424</v>
      </c>
    </row>
    <row r="2015" spans="1:13" x14ac:dyDescent="0.2">
      <c r="A2015" s="23">
        <v>497</v>
      </c>
      <c r="B2015" s="20">
        <v>1012.523845986</v>
      </c>
      <c r="C2015" s="20">
        <v>117.08557532587599</v>
      </c>
      <c r="D2015" s="20">
        <v>313.39930611910597</v>
      </c>
      <c r="E2015" s="20">
        <v>-0.21264686384179499</v>
      </c>
      <c r="F2015" s="20">
        <v>-0.20711667796793901</v>
      </c>
      <c r="G2015" s="20">
        <v>0.29684340483532101</v>
      </c>
      <c r="H2015" s="20">
        <v>7.2272363142734299E-3</v>
      </c>
      <c r="I2015" s="20">
        <v>174.402292826745</v>
      </c>
      <c r="L2015" s="20">
        <f t="shared" si="68"/>
        <v>1019.2710977162417</v>
      </c>
      <c r="M2015" s="20">
        <f t="shared" si="69"/>
        <v>-12.944742941048048</v>
      </c>
    </row>
    <row r="2016" spans="1:13" x14ac:dyDescent="0.2">
      <c r="A2016" s="23">
        <v>497.25</v>
      </c>
      <c r="B2016" s="20">
        <v>1012.64890768026</v>
      </c>
      <c r="C2016" s="20">
        <v>117.08728629851601</v>
      </c>
      <c r="D2016" s="20">
        <v>313.36297227673998</v>
      </c>
      <c r="E2016" s="20">
        <v>-0.21248225928776199</v>
      </c>
      <c r="F2016" s="20">
        <v>-0.20606005447438799</v>
      </c>
      <c r="G2016" s="20">
        <v>0.295988946688925</v>
      </c>
      <c r="H2016" s="20">
        <v>7.2118977076638599E-3</v>
      </c>
      <c r="I2016" s="20">
        <v>174.46465531566901</v>
      </c>
      <c r="L2016" s="20">
        <f t="shared" si="68"/>
        <v>1019.3955281630258</v>
      </c>
      <c r="M2016" s="20">
        <f t="shared" si="69"/>
        <v>-12.946323207722212</v>
      </c>
    </row>
    <row r="2017" spans="1:13" x14ac:dyDescent="0.2">
      <c r="A2017" s="23">
        <v>497.5</v>
      </c>
      <c r="B2017" s="20">
        <v>1012.77361202705</v>
      </c>
      <c r="C2017" s="20">
        <v>117.08880041784199</v>
      </c>
      <c r="D2017" s="20">
        <v>313.32659910605503</v>
      </c>
      <c r="E2017" s="20">
        <v>-0.212318037152844</v>
      </c>
      <c r="F2017" s="20">
        <v>-0.205005669613432</v>
      </c>
      <c r="G2017" s="20">
        <v>0.29513771950411199</v>
      </c>
      <c r="H2017" s="20">
        <v>7.1965749928712798E-3</v>
      </c>
      <c r="I2017" s="20">
        <v>174.52689767189401</v>
      </c>
      <c r="L2017" s="20">
        <f t="shared" si="68"/>
        <v>1019.5195811761571</v>
      </c>
      <c r="M2017" s="20">
        <f t="shared" si="69"/>
        <v>-12.947898680988986</v>
      </c>
    </row>
    <row r="2018" spans="1:13" x14ac:dyDescent="0.2">
      <c r="A2018" s="23">
        <v>497.75</v>
      </c>
      <c r="B2018" s="20">
        <v>1012.8979600907001</v>
      </c>
      <c r="C2018" s="20">
        <v>117.090117892892</v>
      </c>
      <c r="D2018" s="20">
        <v>313.29018648169</v>
      </c>
      <c r="E2018" s="20">
        <v>-0.21215419718561701</v>
      </c>
      <c r="F2018" s="20">
        <v>-0.20395352101754399</v>
      </c>
      <c r="G2018" s="20">
        <v>0.294289724793319</v>
      </c>
      <c r="H2018" s="20">
        <v>7.18126850778073E-3</v>
      </c>
      <c r="I2018" s="20">
        <v>174.58901906419501</v>
      </c>
      <c r="L2018" s="20">
        <f t="shared" si="68"/>
        <v>1019.643257842699</v>
      </c>
      <c r="M2018" s="20">
        <f t="shared" si="69"/>
        <v>-12.949469374654074</v>
      </c>
    </row>
    <row r="2019" spans="1:13" x14ac:dyDescent="0.2">
      <c r="A2019" s="23">
        <v>498</v>
      </c>
      <c r="B2019" s="20">
        <v>1013.02195293453</v>
      </c>
      <c r="C2019" s="20">
        <v>117.09123893333999</v>
      </c>
      <c r="D2019" s="20">
        <v>313.25373427821597</v>
      </c>
      <c r="E2019" s="20">
        <v>-0.21199073910760799</v>
      </c>
      <c r="F2019" s="20">
        <v>-0.20290360627290499</v>
      </c>
      <c r="G2019" s="20">
        <v>0.29344496401529901</v>
      </c>
      <c r="H2019" s="20">
        <v>7.1659785885706704E-3</v>
      </c>
      <c r="I2019" s="20">
        <v>174.651018664595</v>
      </c>
      <c r="L2019" s="20">
        <f t="shared" si="68"/>
        <v>1019.7665592488477</v>
      </c>
      <c r="M2019" s="20">
        <f t="shared" si="69"/>
        <v>-12.951035302512171</v>
      </c>
    </row>
    <row r="2020" spans="1:13" x14ac:dyDescent="0.2">
      <c r="A2020" s="23">
        <v>498.25</v>
      </c>
      <c r="B2020" s="20">
        <v>1013.14559162078</v>
      </c>
      <c r="C2020" s="20">
        <v>117.092163749493</v>
      </c>
      <c r="D2020" s="20">
        <v>313.217242370137</v>
      </c>
      <c r="E2020" s="20">
        <v>-0.21182766261335501</v>
      </c>
      <c r="F2020" s="20">
        <v>-0.20185592291964399</v>
      </c>
      <c r="G2020" s="20">
        <v>0.29260343857511101</v>
      </c>
      <c r="H2020" s="20">
        <v>7.1507055697150297E-3</v>
      </c>
      <c r="I2020" s="20">
        <v>174.71289564835001</v>
      </c>
      <c r="L2020" s="20">
        <f t="shared" si="68"/>
        <v>1019.889486479863</v>
      </c>
      <c r="M2020" s="20">
        <f t="shared" si="69"/>
        <v>-12.95259647834607</v>
      </c>
    </row>
    <row r="2021" spans="1:13" x14ac:dyDescent="0.2">
      <c r="A2021" s="23">
        <v>498.5</v>
      </c>
      <c r="B2021" s="20">
        <v>1013.26887721062</v>
      </c>
      <c r="C2021" s="20">
        <v>117.09289255228001</v>
      </c>
      <c r="D2021" s="20">
        <v>313.18071063189097</v>
      </c>
      <c r="E2021" s="20">
        <v>-0.211664967370468</v>
      </c>
      <c r="F2021" s="20">
        <v>-0.200810468452086</v>
      </c>
      <c r="G2021" s="20">
        <v>0.291765149824114</v>
      </c>
      <c r="H2021" s="20">
        <v>7.1354497839854099E-3</v>
      </c>
      <c r="I2021" s="20">
        <v>174.77464919391801</v>
      </c>
      <c r="L2021" s="20">
        <f t="shared" si="68"/>
        <v>1020.0120406200754</v>
      </c>
      <c r="M2021" s="20">
        <f t="shared" si="69"/>
        <v>-12.954152915926775</v>
      </c>
    </row>
    <row r="2022" spans="1:13" x14ac:dyDescent="0.2">
      <c r="A2022" s="23">
        <v>498.75</v>
      </c>
      <c r="B2022" s="20">
        <v>1013.39181076412</v>
      </c>
      <c r="C2022" s="20">
        <v>117.09342555324601</v>
      </c>
      <c r="D2022" s="20">
        <v>313.14413893785201</v>
      </c>
      <c r="E2022" s="20">
        <v>-0.21150265301968799</v>
      </c>
      <c r="F2022" s="20">
        <v>-0.19976724031899101</v>
      </c>
      <c r="G2022" s="20">
        <v>0.29093009905994999</v>
      </c>
      <c r="H2022" s="20">
        <v>7.1202115624532996E-3</v>
      </c>
      <c r="I2022" s="20">
        <v>174.83627848293699</v>
      </c>
      <c r="L2022" s="20">
        <f t="shared" si="68"/>
        <v>1020.134222752857</v>
      </c>
      <c r="M2022" s="20">
        <f t="shared" si="69"/>
        <v>-12.955704629013107</v>
      </c>
    </row>
    <row r="2023" spans="1:13" x14ac:dyDescent="0.2">
      <c r="A2023" s="23">
        <v>499</v>
      </c>
      <c r="B2023" s="20">
        <v>1013.51439334023</v>
      </c>
      <c r="C2023" s="20">
        <v>117.093762964543</v>
      </c>
      <c r="D2023" s="20">
        <v>313.10752716233202</v>
      </c>
      <c r="E2023" s="20">
        <v>-0.21134071917494801</v>
      </c>
      <c r="F2023" s="20">
        <v>-0.19872623592380201</v>
      </c>
      <c r="G2023" s="20">
        <v>0.29009828752653199</v>
      </c>
      <c r="H2023" s="20">
        <v>7.1049912344924799E-3</v>
      </c>
      <c r="I2023" s="20">
        <v>174.897782700204</v>
      </c>
      <c r="L2023" s="20">
        <f t="shared" si="68"/>
        <v>1020.256033960599</v>
      </c>
      <c r="M2023" s="20">
        <f t="shared" si="69"/>
        <v>-12.957251631351435</v>
      </c>
    </row>
    <row r="2024" spans="1:13" x14ac:dyDescent="0.2">
      <c r="A2024" s="23">
        <v>499.25</v>
      </c>
      <c r="B2024" s="20">
        <v>1013.63662599676</v>
      </c>
      <c r="C2024" s="20">
        <v>117.093904998922</v>
      </c>
      <c r="D2024" s="20">
        <v>313.07087517958001</v>
      </c>
      <c r="E2024" s="20">
        <v>-0.21117916542342399</v>
      </c>
      <c r="F2024" s="20">
        <v>-0.19768745262488199</v>
      </c>
      <c r="G2024" s="20">
        <v>0.28926971641402199</v>
      </c>
      <c r="H2024" s="20">
        <v>7.0897891277817097E-3</v>
      </c>
      <c r="I2024" s="20">
        <v>174.959161033643</v>
      </c>
      <c r="L2024" s="20">
        <f t="shared" si="68"/>
        <v>1020.3774753246919</v>
      </c>
      <c r="M2024" s="20">
        <f t="shared" si="69"/>
        <v>-12.958793936675422</v>
      </c>
    </row>
    <row r="2025" spans="1:13" x14ac:dyDescent="0.2">
      <c r="A2025" s="23">
        <v>499.5</v>
      </c>
      <c r="B2025" s="20">
        <v>1013.75850979034</v>
      </c>
      <c r="C2025" s="20">
        <v>117.093851869726</v>
      </c>
      <c r="D2025" s="20">
        <v>313.03418286378798</v>
      </c>
      <c r="E2025" s="20">
        <v>-0.21101799132560201</v>
      </c>
      <c r="F2025" s="20">
        <v>-0.196650887735762</v>
      </c>
      <c r="G2025" s="20">
        <v>0.28844438685881002</v>
      </c>
      <c r="H2025" s="20">
        <v>7.0746055683070597E-3</v>
      </c>
      <c r="I2025" s="20">
        <v>175.02041267428601</v>
      </c>
      <c r="L2025" s="20">
        <f t="shared" si="68"/>
        <v>1020.4985479254834</v>
      </c>
      <c r="M2025" s="20">
        <f t="shared" si="69"/>
        <v>-12.960331558705482</v>
      </c>
    </row>
    <row r="2026" spans="1:13" x14ac:dyDescent="0.2">
      <c r="A2026" s="23">
        <v>499.75</v>
      </c>
      <c r="B2026" s="20">
        <v>1013.8800457764499</v>
      </c>
      <c r="C2026" s="20">
        <v>117.093603790882</v>
      </c>
      <c r="D2026" s="20">
        <v>312.99745008908798</v>
      </c>
      <c r="E2026" s="20">
        <v>-0.21085719641532599</v>
      </c>
      <c r="F2026" s="20">
        <v>-0.195616538525379</v>
      </c>
      <c r="G2026" s="20">
        <v>0.28762229994348898</v>
      </c>
      <c r="H2026" s="20">
        <v>7.0594408803651802E-3</v>
      </c>
      <c r="I2026" s="20">
        <v>175.08153681624199</v>
      </c>
      <c r="L2026" s="20">
        <f t="shared" si="68"/>
        <v>1020.6192528423086</v>
      </c>
      <c r="M2026" s="20">
        <f t="shared" si="69"/>
        <v>-12.961864511149168</v>
      </c>
    </row>
    <row r="2027" spans="1:13" x14ac:dyDescent="0.2">
      <c r="A2027" s="23">
        <v>500</v>
      </c>
      <c r="B2027" s="20">
        <v>1014.00123500933</v>
      </c>
      <c r="C2027" s="20">
        <v>117.093160976891</v>
      </c>
      <c r="D2027" s="20">
        <v>312.96067672955701</v>
      </c>
      <c r="E2027" s="20">
        <v>-0.21069678019985699</v>
      </c>
      <c r="F2027" s="20">
        <v>-0.19458440221832199</v>
      </c>
      <c r="G2027" s="20">
        <v>0.286803456696827</v>
      </c>
      <c r="H2027" s="20">
        <v>7.0442953865657897E-3</v>
      </c>
      <c r="I2027" s="20">
        <v>175.14253265667401</v>
      </c>
      <c r="L2027" s="20">
        <f t="shared" si="68"/>
        <v>1020.7395911533982</v>
      </c>
      <c r="M2027" s="20">
        <f t="shared" si="69"/>
        <v>-12.963392807700011</v>
      </c>
    </row>
    <row r="2028" spans="1:13" x14ac:dyDescent="0.2">
      <c r="A2028" s="23">
        <v>500.25</v>
      </c>
      <c r="B2028" s="20">
        <v>1014.12207854203</v>
      </c>
      <c r="C2028" s="20">
        <v>117.09252364282101</v>
      </c>
      <c r="D2028" s="20">
        <v>312.92386265921601</v>
      </c>
      <c r="E2028" s="20">
        <v>-0.21053674215992699</v>
      </c>
      <c r="F2028" s="20">
        <v>-0.193554475995069</v>
      </c>
      <c r="G2028" s="20">
        <v>0.28598785809373301</v>
      </c>
      <c r="H2028" s="20">
        <v>7.0291694078350297E-3</v>
      </c>
      <c r="I2028" s="20">
        <v>175.20339939576999</v>
      </c>
      <c r="L2028" s="20">
        <f t="shared" si="68"/>
        <v>1020.8595639359273</v>
      </c>
      <c r="M2028" s="20">
        <f t="shared" si="69"/>
        <v>-12.964916462038136</v>
      </c>
    </row>
    <row r="2029" spans="1:13" x14ac:dyDescent="0.2">
      <c r="A2029" s="23">
        <v>500.5</v>
      </c>
      <c r="B2029" s="20">
        <v>1014.2425774263399</v>
      </c>
      <c r="C2029" s="20">
        <v>117.091692004303</v>
      </c>
      <c r="D2029" s="20">
        <v>312.88700775203398</v>
      </c>
      <c r="E2029" s="20">
        <v>-0.210377081749792</v>
      </c>
      <c r="F2029" s="20">
        <v>-0.19252675699223201</v>
      </c>
      <c r="G2029" s="20">
        <v>0.28517550505522798</v>
      </c>
      <c r="H2029" s="20">
        <v>7.0140632634184998E-3</v>
      </c>
      <c r="I2029" s="20">
        <v>175.264136236718</v>
      </c>
      <c r="L2029" s="20">
        <f t="shared" si="68"/>
        <v>1020.9791722659457</v>
      </c>
      <c r="M2029" s="20">
        <f t="shared" si="69"/>
        <v>-12.966435487829377</v>
      </c>
    </row>
    <row r="2030" spans="1:13" x14ac:dyDescent="0.2">
      <c r="A2030" s="23">
        <v>500.75</v>
      </c>
      <c r="B2030" s="20">
        <v>1014.36273271279</v>
      </c>
      <c r="C2030" s="20">
        <v>117.09066627751599</v>
      </c>
      <c r="D2030" s="20">
        <v>312.85011188192698</v>
      </c>
      <c r="E2030" s="20">
        <v>-0.21021779839728399</v>
      </c>
      <c r="F2030" s="20">
        <v>-0.191501242302796</v>
      </c>
      <c r="G2030" s="20">
        <v>0.284366398448402</v>
      </c>
      <c r="H2030" s="20">
        <v>6.99897727088457E-3</v>
      </c>
      <c r="I2030" s="20">
        <v>175.324742385674</v>
      </c>
      <c r="L2030" s="20">
        <f t="shared" si="68"/>
        <v>1021.0984172183756</v>
      </c>
      <c r="M2030" s="20">
        <f t="shared" si="69"/>
        <v>-12.967949898725243</v>
      </c>
    </row>
    <row r="2031" spans="1:13" x14ac:dyDescent="0.2">
      <c r="A2031" s="23">
        <v>501</v>
      </c>
      <c r="B2031" s="20">
        <v>1014.48254545062</v>
      </c>
      <c r="C2031" s="20">
        <v>117.08944667918399</v>
      </c>
      <c r="D2031" s="20">
        <v>312.81317492276099</v>
      </c>
      <c r="E2031" s="20">
        <v>-0.210058891503866</v>
      </c>
      <c r="F2031" s="20">
        <v>-0.19047792897636001</v>
      </c>
      <c r="G2031" s="20">
        <v>0.28356053908637602</v>
      </c>
      <c r="H2031" s="20">
        <v>6.9839117461279196E-3</v>
      </c>
      <c r="I2031" s="20">
        <v>175.38521705173901</v>
      </c>
      <c r="L2031" s="20">
        <f t="shared" si="68"/>
        <v>1021.2172998669807</v>
      </c>
      <c r="M2031" s="20">
        <f t="shared" si="69"/>
        <v>-12.969459708362532</v>
      </c>
    </row>
    <row r="2032" spans="1:13" x14ac:dyDescent="0.2">
      <c r="A2032" s="23">
        <v>501.25</v>
      </c>
      <c r="B2032" s="20">
        <v>1014.6020166877699</v>
      </c>
      <c r="C2032" s="20">
        <v>117.08803342656699</v>
      </c>
      <c r="D2032" s="20">
        <v>312.77619674835398</v>
      </c>
      <c r="E2032" s="20">
        <v>-0.209900360444678</v>
      </c>
      <c r="F2032" s="20">
        <v>-0.189456814019377</v>
      </c>
      <c r="G2032" s="20">
        <v>0.28275792772825697</v>
      </c>
      <c r="H2032" s="20">
        <v>6.9688670033729704E-3</v>
      </c>
      <c r="I2032" s="20">
        <v>175.44555944692701</v>
      </c>
      <c r="L2032" s="20">
        <f t="shared" si="68"/>
        <v>1021.3358212843563</v>
      </c>
      <c r="M2032" s="20">
        <f t="shared" si="69"/>
        <v>-12.970964930363207</v>
      </c>
    </row>
    <row r="2033" spans="1:13" x14ac:dyDescent="0.2">
      <c r="A2033" s="23">
        <v>501.5</v>
      </c>
      <c r="B2033" s="20">
        <v>1014.7211474708701</v>
      </c>
      <c r="C2033" s="20">
        <v>117.086426737454</v>
      </c>
      <c r="D2033" s="20">
        <v>312.739177232477</v>
      </c>
      <c r="E2033" s="20">
        <v>-0.20974220456859</v>
      </c>
      <c r="F2033" s="20">
        <v>-0.18843789439539399</v>
      </c>
      <c r="G2033" s="20">
        <v>0.281958565079094</v>
      </c>
      <c r="H2033" s="20">
        <v>6.9538433551776802E-3</v>
      </c>
      <c r="I2033" s="20">
        <v>175.505768786136</v>
      </c>
      <c r="L2033" s="20">
        <f t="shared" si="68"/>
        <v>1021.4539825419178</v>
      </c>
      <c r="M2033" s="20">
        <f t="shared" si="69"/>
        <v>-12.972465578334248</v>
      </c>
    </row>
    <row r="2034" spans="1:13" x14ac:dyDescent="0.2">
      <c r="A2034" s="23">
        <v>501.75</v>
      </c>
      <c r="B2034" s="20">
        <v>1014.8399388452</v>
      </c>
      <c r="C2034" s="20">
        <v>117.084626830151</v>
      </c>
      <c r="D2034" s="20">
        <v>312.70211624885599</v>
      </c>
      <c r="E2034" s="20">
        <v>-0.20958442319824799</v>
      </c>
      <c r="F2034" s="20">
        <v>-0.18742116702529199</v>
      </c>
      <c r="G2034" s="20">
        <v>0.28116245178982402</v>
      </c>
      <c r="H2034" s="20">
        <v>6.93884111243721E-3</v>
      </c>
      <c r="I2034" s="20">
        <v>175.56584428712199</v>
      </c>
      <c r="L2034" s="20">
        <f t="shared" si="68"/>
        <v>1021.5717847098583</v>
      </c>
      <c r="M2034" s="20">
        <f t="shared" si="69"/>
        <v>-12.973961665867098</v>
      </c>
    </row>
    <row r="2035" spans="1:13" x14ac:dyDescent="0.2">
      <c r="A2035" s="23">
        <v>502</v>
      </c>
      <c r="B2035" s="20">
        <v>1014.95839185466</v>
      </c>
      <c r="C2035" s="20">
        <v>117.082633923478</v>
      </c>
      <c r="D2035" s="20">
        <v>312.66501367117002</v>
      </c>
      <c r="E2035" s="20">
        <v>-0.209427015630127</v>
      </c>
      <c r="F2035" s="20">
        <v>-0.18640662878752401</v>
      </c>
      <c r="G2035" s="20">
        <v>0.28036958845721999</v>
      </c>
      <c r="H2035" s="20">
        <v>6.9238605843880401E-3</v>
      </c>
      <c r="I2035" s="20">
        <v>175.62578517046299</v>
      </c>
      <c r="L2035" s="20">
        <f t="shared" si="68"/>
        <v>1021.68922885712</v>
      </c>
      <c r="M2035" s="20">
        <f t="shared" si="69"/>
        <v>-12.975453206537328</v>
      </c>
    </row>
    <row r="2036" spans="1:13" x14ac:dyDescent="0.2">
      <c r="A2036" s="23">
        <v>502.25</v>
      </c>
      <c r="B2036" s="20">
        <v>1015.0765075418</v>
      </c>
      <c r="C2036" s="20">
        <v>117.080448236759</v>
      </c>
      <c r="D2036" s="20">
        <v>312.62786937305998</v>
      </c>
      <c r="E2036" s="20">
        <v>-0.20926998113456999</v>
      </c>
      <c r="F2036" s="20">
        <v>-0.185394276518352</v>
      </c>
      <c r="G2036" s="20">
        <v>0.27957997562383902</v>
      </c>
      <c r="H2036" s="20">
        <v>6.9089020786118104E-3</v>
      </c>
      <c r="I2036" s="20">
        <v>175.68559065953499</v>
      </c>
      <c r="L2036" s="20">
        <f t="shared" si="68"/>
        <v>1021.806316051422</v>
      </c>
      <c r="M2036" s="20">
        <f t="shared" si="69"/>
        <v>-12.976940213904967</v>
      </c>
    </row>
    <row r="2037" spans="1:13" x14ac:dyDescent="0.2">
      <c r="A2037" s="23">
        <v>502.5</v>
      </c>
      <c r="B2037" s="20">
        <v>1015.19428694774</v>
      </c>
      <c r="C2037" s="20">
        <v>117.078069989813</v>
      </c>
      <c r="D2037" s="20">
        <v>312.590683228123</v>
      </c>
      <c r="E2037" s="20">
        <v>-0.20911331895584001</v>
      </c>
      <c r="F2037" s="20">
        <v>-0.18438410701208899</v>
      </c>
      <c r="G2037" s="20">
        <v>0.27879361377795597</v>
      </c>
      <c r="H2037" s="20">
        <v>6.8939659010396996E-3</v>
      </c>
      <c r="I2037" s="20">
        <v>175.74525998047699</v>
      </c>
      <c r="L2037" s="20">
        <f t="shared" si="68"/>
        <v>1021.9230473591786</v>
      </c>
      <c r="M2037" s="20">
        <f t="shared" si="69"/>
        <v>-12.97842270151348</v>
      </c>
    </row>
    <row r="2038" spans="1:13" x14ac:dyDescent="0.2">
      <c r="A2038" s="23">
        <v>502.75</v>
      </c>
      <c r="B2038" s="20">
        <v>1015.3117311122101</v>
      </c>
      <c r="C2038" s="20">
        <v>117.075499402948</v>
      </c>
      <c r="D2038" s="20">
        <v>312.55345510991901</v>
      </c>
      <c r="E2038" s="20">
        <v>-0.20895702831216001</v>
      </c>
      <c r="F2038" s="20">
        <v>-0.183376117021333</v>
      </c>
      <c r="G2038" s="20">
        <v>0.27801050335350702</v>
      </c>
      <c r="H2038" s="20">
        <v>6.8790523559565603E-3</v>
      </c>
      <c r="I2038" s="20">
        <v>175.80479236216101</v>
      </c>
      <c r="L2038" s="20">
        <f t="shared" si="68"/>
        <v>1022.0394238455395</v>
      </c>
      <c r="M2038" s="20">
        <f t="shared" si="69"/>
        <v>-12.979900682890271</v>
      </c>
    </row>
    <row r="2039" spans="1:13" x14ac:dyDescent="0.2">
      <c r="A2039" s="23">
        <v>503</v>
      </c>
      <c r="B2039" s="20">
        <v>1015.42884107347</v>
      </c>
      <c r="C2039" s="20">
        <v>117.072736696953</v>
      </c>
      <c r="D2039" s="20">
        <v>312.51618489196699</v>
      </c>
      <c r="E2039" s="20">
        <v>-0.20880110839575899</v>
      </c>
      <c r="F2039" s="20">
        <v>-0.18237030325720699</v>
      </c>
      <c r="G2039" s="20">
        <v>0.27723064473002201</v>
      </c>
      <c r="H2039" s="20">
        <v>6.8641617460054004E-3</v>
      </c>
      <c r="I2039" s="20">
        <v>175.864187036163</v>
      </c>
      <c r="L2039" s="20">
        <f t="shared" si="68"/>
        <v>1022.1554465743087</v>
      </c>
      <c r="M2039" s="20">
        <f t="shared" si="69"/>
        <v>-12.981374171545646</v>
      </c>
    </row>
    <row r="2040" spans="1:13" x14ac:dyDescent="0.2">
      <c r="A2040" s="23">
        <v>503.25</v>
      </c>
      <c r="B2040" s="20">
        <v>1015.5456178683399</v>
      </c>
      <c r="C2040" s="20">
        <v>117.069782093087</v>
      </c>
      <c r="D2040" s="20">
        <v>312.47887244775501</v>
      </c>
      <c r="E2040" s="20">
        <v>-0.20864555837291601</v>
      </c>
      <c r="F2040" s="20">
        <v>-0.18136666238959501</v>
      </c>
      <c r="G2040" s="20">
        <v>0.27645403823255499</v>
      </c>
      <c r="H2040" s="20">
        <v>6.8492943721919003E-3</v>
      </c>
      <c r="I2040" s="20">
        <v>175.923443236726</v>
      </c>
      <c r="L2040" s="20">
        <f t="shared" si="68"/>
        <v>1022.2711166079727</v>
      </c>
      <c r="M2040" s="20">
        <f t="shared" si="69"/>
        <v>-12.982843180973184</v>
      </c>
    </row>
    <row r="2041" spans="1:13" x14ac:dyDescent="0.2">
      <c r="A2041" s="23">
        <v>503.5</v>
      </c>
      <c r="B2041" s="20">
        <v>1015.66206253216</v>
      </c>
      <c r="C2041" s="20">
        <v>117.066635813075</v>
      </c>
      <c r="D2041" s="20">
        <v>312.44151765073201</v>
      </c>
      <c r="E2041" s="20">
        <v>-0.20849037738399401</v>
      </c>
      <c r="F2041" s="20">
        <v>-0.180365191047374</v>
      </c>
      <c r="G2041" s="20">
        <v>0.275680684131617</v>
      </c>
      <c r="H2041" s="20">
        <v>6.8344505338891002E-3</v>
      </c>
      <c r="I2041" s="20">
        <v>175.98256020073299</v>
      </c>
      <c r="L2041" s="20">
        <f t="shared" si="68"/>
        <v>1022.3864350076601</v>
      </c>
      <c r="M2041" s="20">
        <f t="shared" si="69"/>
        <v>-12.984307724649222</v>
      </c>
    </row>
    <row r="2042" spans="1:13" x14ac:dyDescent="0.2">
      <c r="A2042" s="23">
        <v>503.75</v>
      </c>
      <c r="B2042" s="20">
        <v>1015.77817609878</v>
      </c>
      <c r="C2042" s="20">
        <v>117.063298079099</v>
      </c>
      <c r="D2042" s="20">
        <v>312.40412037431599</v>
      </c>
      <c r="E2042" s="20">
        <v>-0.20833556454348801</v>
      </c>
      <c r="F2042" s="20">
        <v>-0.179365885818659</v>
      </c>
      <c r="G2042" s="20">
        <v>0.27491058264309498</v>
      </c>
      <c r="H2042" s="20">
        <v>6.8196305288421204E-3</v>
      </c>
      <c r="I2042" s="20">
        <v>176.04153716767101</v>
      </c>
      <c r="L2042" s="20">
        <f t="shared" si="68"/>
        <v>1022.5014028331307</v>
      </c>
      <c r="M2042" s="20">
        <f t="shared" si="69"/>
        <v>-12.985767816032704</v>
      </c>
    </row>
    <row r="2043" spans="1:13" x14ac:dyDescent="0.2">
      <c r="A2043" s="23">
        <v>504</v>
      </c>
      <c r="B2043" s="20">
        <v>1015.89395960052</v>
      </c>
      <c r="C2043" s="20">
        <v>117.059769113789</v>
      </c>
      <c r="D2043" s="20">
        <v>312.36668049189399</v>
      </c>
      <c r="E2043" s="20">
        <v>-0.208181118940059</v>
      </c>
      <c r="F2043" s="20">
        <v>-0.178368743251028</v>
      </c>
      <c r="G2043" s="20">
        <v>0.27414373392818198</v>
      </c>
      <c r="H2043" s="20">
        <v>6.80483465317306E-3</v>
      </c>
      <c r="I2043" s="20">
        <v>176.10037337959699</v>
      </c>
      <c r="L2043" s="20">
        <f t="shared" si="68"/>
        <v>1022.616021142734</v>
      </c>
      <c r="M2043" s="20">
        <f t="shared" si="69"/>
        <v>-12.987223468564672</v>
      </c>
    </row>
    <row r="2044" spans="1:13" x14ac:dyDescent="0.2">
      <c r="A2044" s="23">
        <v>504.25</v>
      </c>
      <c r="B2044" s="20">
        <v>1016.00941406818</v>
      </c>
      <c r="C2044" s="20">
        <v>117.056049140216</v>
      </c>
      <c r="D2044" s="20">
        <v>312.32919787682198</v>
      </c>
      <c r="E2044" s="20">
        <v>-0.20802703963657099</v>
      </c>
      <c r="F2044" s="20">
        <v>-0.17737375985176401</v>
      </c>
      <c r="G2044" s="20">
        <v>0.27338013809329098</v>
      </c>
      <c r="H2044" s="20">
        <v>6.7900632013860197E-3</v>
      </c>
      <c r="I2044" s="20">
        <v>176.15906808110799</v>
      </c>
      <c r="L2044" s="20">
        <f t="shared" si="68"/>
        <v>1022.7302909934189</v>
      </c>
      <c r="M2044" s="20">
        <f t="shared" si="69"/>
        <v>-12.988674695668376</v>
      </c>
    </row>
    <row r="2045" spans="1:13" x14ac:dyDescent="0.2">
      <c r="A2045" s="23">
        <v>504.5</v>
      </c>
      <c r="B2045" s="20">
        <v>1016.124540531</v>
      </c>
      <c r="C2045" s="20">
        <v>117.052138381882</v>
      </c>
      <c r="D2045" s="20">
        <v>312.29167240242901</v>
      </c>
      <c r="E2045" s="20">
        <v>-0.207873325670133</v>
      </c>
      <c r="F2045" s="20">
        <v>-0.176380932088087</v>
      </c>
      <c r="G2045" s="20">
        <v>0.27261979518997398</v>
      </c>
      <c r="H2045" s="20">
        <v>6.7753164663722203E-3</v>
      </c>
      <c r="I2045" s="20">
        <v>176.217620519305</v>
      </c>
      <c r="L2045" s="20">
        <f t="shared" si="68"/>
        <v>1022.8442134406916</v>
      </c>
      <c r="M2045" s="20">
        <f t="shared" si="69"/>
        <v>-12.990121510748745</v>
      </c>
    </row>
    <row r="2046" spans="1:13" x14ac:dyDescent="0.2">
      <c r="A2046" s="23">
        <v>504.75</v>
      </c>
      <c r="B2046" s="20">
        <v>1016.23934001665</v>
      </c>
      <c r="C2046" s="20">
        <v>117.04803706271601</v>
      </c>
      <c r="D2046" s="20">
        <v>312.25410394201703</v>
      </c>
      <c r="E2046" s="20">
        <v>-0.207719976052126</v>
      </c>
      <c r="F2046" s="20">
        <v>-0.17539025638738401</v>
      </c>
      <c r="G2046" s="20">
        <v>0.27186270521483402</v>
      </c>
      <c r="H2046" s="20">
        <v>6.7605947394152504E-3</v>
      </c>
      <c r="I2046" s="20">
        <v>176.276029943759</v>
      </c>
      <c r="L2046" s="20">
        <f t="shared" si="68"/>
        <v>1022.9577895386061</v>
      </c>
      <c r="M2046" s="20">
        <f t="shared" si="69"/>
        <v>-12.991563927192265</v>
      </c>
    </row>
    <row r="2047" spans="1:13" x14ac:dyDescent="0.2">
      <c r="A2047" s="23">
        <v>505</v>
      </c>
      <c r="B2047" s="20">
        <v>1016.35381355122</v>
      </c>
      <c r="C2047" s="20">
        <v>117.043745407065</v>
      </c>
      <c r="D2047" s="20">
        <v>312.21649236886299</v>
      </c>
      <c r="E2047" s="20">
        <v>-0.20756698976824201</v>
      </c>
      <c r="F2047" s="20">
        <v>-0.174401729137451</v>
      </c>
      <c r="G2047" s="20">
        <v>0.27110886810944101</v>
      </c>
      <c r="H2047" s="20">
        <v>6.7458983101963896E-3</v>
      </c>
      <c r="I2047" s="20">
        <v>176.334295606474</v>
      </c>
      <c r="L2047" s="20">
        <f t="shared" si="68"/>
        <v>1023.0710203397523</v>
      </c>
      <c r="M2047" s="20">
        <f t="shared" si="69"/>
        <v>-12.993001958366825</v>
      </c>
    </row>
    <row r="2048" spans="1:13" x14ac:dyDescent="0.2">
      <c r="A2048" s="23">
        <v>505.25</v>
      </c>
      <c r="B2048" s="20">
        <v>1016.4679621591901</v>
      </c>
      <c r="C2048" s="20">
        <v>117.039263639681</v>
      </c>
      <c r="D2048" s="20">
        <v>312.17883755622103</v>
      </c>
      <c r="E2048" s="20">
        <v>-0.20741436577851799</v>
      </c>
      <c r="F2048" s="20">
        <v>-0.17341534668671499</v>
      </c>
      <c r="G2048" s="20">
        <v>0.27035828376023302</v>
      </c>
      <c r="H2048" s="20">
        <v>6.7312274668000702E-3</v>
      </c>
      <c r="I2048" s="20">
        <v>176.39241676185699</v>
      </c>
      <c r="L2048" s="20">
        <f t="shared" si="68"/>
        <v>1023.1839068952245</v>
      </c>
      <c r="M2048" s="20">
        <f t="shared" si="69"/>
        <v>-12.994435617621328</v>
      </c>
    </row>
    <row r="2049" spans="1:13" x14ac:dyDescent="0.2">
      <c r="A2049" s="23">
        <v>505.5</v>
      </c>
      <c r="B2049" s="20">
        <v>1016.58178686341</v>
      </c>
      <c r="C2049" s="20">
        <v>117.034591985722</v>
      </c>
      <c r="D2049" s="20">
        <v>312.14113937732202</v>
      </c>
      <c r="E2049" s="20">
        <v>-0.207262103017361</v>
      </c>
      <c r="F2049" s="20">
        <v>-0.17243110534447501</v>
      </c>
      <c r="G2049" s="20">
        <v>0.269610951998425</v>
      </c>
      <c r="H2049" s="20">
        <v>6.7165824957194998E-3</v>
      </c>
      <c r="I2049" s="20">
        <v>176.45039266667899</v>
      </c>
      <c r="L2049" s="20">
        <f t="shared" si="68"/>
        <v>1023.2964502546014</v>
      </c>
      <c r="M2049" s="20">
        <f t="shared" si="69"/>
        <v>-12.995864918285422</v>
      </c>
    </row>
    <row r="2050" spans="1:13" x14ac:dyDescent="0.2">
      <c r="A2050" s="23">
        <v>505.75</v>
      </c>
      <c r="B2050" s="20">
        <v>1016.69528868508</v>
      </c>
      <c r="C2050" s="20">
        <v>117.029730670738</v>
      </c>
      <c r="D2050" s="20">
        <v>312.10339770537797</v>
      </c>
      <c r="E2050" s="20">
        <v>-0.20711020039358399</v>
      </c>
      <c r="F2050" s="20">
        <v>-0.17144900138112901</v>
      </c>
      <c r="G2050" s="20">
        <v>0.26886687259991099</v>
      </c>
      <c r="H2050" s="20">
        <v>6.7019636818623704E-3</v>
      </c>
      <c r="I2050" s="20">
        <v>176.508222580037</v>
      </c>
      <c r="L2050" s="20">
        <f t="shared" si="68"/>
        <v>1023.4086514659252</v>
      </c>
      <c r="M2050" s="20">
        <f t="shared" si="69"/>
        <v>-12.99728987366924</v>
      </c>
    </row>
    <row r="2051" spans="1:13" x14ac:dyDescent="0.2">
      <c r="A2051" s="23">
        <v>506</v>
      </c>
      <c r="B2051" s="20">
        <v>1016.80846864375</v>
      </c>
      <c r="C2051" s="20">
        <v>117.024679920662</v>
      </c>
      <c r="D2051" s="20">
        <v>312.06561241358298</v>
      </c>
      <c r="E2051" s="20">
        <v>-0.20695865679042999</v>
      </c>
      <c r="F2051" s="20">
        <v>-0.170469031028403</v>
      </c>
      <c r="G2051" s="20">
        <v>0.26812604528516398</v>
      </c>
      <c r="H2051" s="20">
        <v>6.6873713085565797E-3</v>
      </c>
      <c r="I2051" s="20">
        <v>176.565905763324</v>
      </c>
      <c r="L2051" s="20">
        <f t="shared" si="68"/>
        <v>1023.5205115756993</v>
      </c>
      <c r="M2051" s="20">
        <f t="shared" si="69"/>
        <v>-12.998710497063376</v>
      </c>
    </row>
    <row r="2052" spans="1:13" x14ac:dyDescent="0.2">
      <c r="A2052" s="23">
        <v>506.25</v>
      </c>
      <c r="B2052" s="20">
        <v>1016.92132775729</v>
      </c>
      <c r="C2052" s="20">
        <v>117.019439961808</v>
      </c>
      <c r="D2052" s="20">
        <v>312.02778337511103</v>
      </c>
      <c r="E2052" s="20">
        <v>-0.20680747106560199</v>
      </c>
      <c r="F2052" s="20">
        <v>-0.16949119047958799</v>
      </c>
      <c r="G2052" s="20">
        <v>0.26738846971913</v>
      </c>
      <c r="H2052" s="20">
        <v>6.6728056575562997E-3</v>
      </c>
      <c r="I2052" s="20">
        <v>176.62344148018701</v>
      </c>
      <c r="L2052" s="20">
        <f t="shared" si="68"/>
        <v>1023.6320316288586</v>
      </c>
      <c r="M2052" s="20">
        <f t="shared" si="69"/>
        <v>-13.000126801738505</v>
      </c>
    </row>
    <row r="2053" spans="1:13" x14ac:dyDescent="0.2">
      <c r="A2053" s="23">
        <v>506.5</v>
      </c>
      <c r="B2053" s="20">
        <v>1017.0338670418701</v>
      </c>
      <c r="C2053" s="20">
        <v>117.014011020859</v>
      </c>
      <c r="D2053" s="20">
        <v>311.98991046312602</v>
      </c>
      <c r="E2053" s="20">
        <v>-0.206656642051291</v>
      </c>
      <c r="F2053" s="20">
        <v>-0.16851547588976301</v>
      </c>
      <c r="G2053" s="20">
        <v>0.26665414551112598</v>
      </c>
      <c r="H2053" s="20">
        <v>6.6582670090478699E-3</v>
      </c>
      <c r="I2053" s="20">
        <v>176.68082899649301</v>
      </c>
      <c r="L2053" s="20">
        <f t="shared" si="68"/>
        <v>1023.7432126687482</v>
      </c>
      <c r="M2053" s="20">
        <f t="shared" si="69"/>
        <v>-13.001538800945109</v>
      </c>
    </row>
    <row r="2054" spans="1:13" x14ac:dyDescent="0.2">
      <c r="A2054" s="23">
        <v>506.75</v>
      </c>
      <c r="B2054" s="20">
        <v>1017.14608751194</v>
      </c>
      <c r="C2054" s="20">
        <v>117.00839332485999</v>
      </c>
      <c r="D2054" s="20">
        <v>311.95199355077199</v>
      </c>
      <c r="E2054" s="20">
        <v>-0.20650616855419399</v>
      </c>
      <c r="F2054" s="20">
        <v>-0.16754188337602799</v>
      </c>
      <c r="G2054" s="20">
        <v>0.26592307221472899</v>
      </c>
      <c r="H2054" s="20">
        <v>6.6437556416560004E-3</v>
      </c>
      <c r="I2054" s="20">
        <v>176.73806758028999</v>
      </c>
      <c r="L2054" s="20">
        <f t="shared" si="68"/>
        <v>1023.8540557371017</v>
      </c>
      <c r="M2054" s="20">
        <f t="shared" si="69"/>
        <v>-13.002946507913204</v>
      </c>
    </row>
    <row r="2055" spans="1:13" x14ac:dyDescent="0.2">
      <c r="A2055" s="23">
        <v>507</v>
      </c>
      <c r="B2055" s="20">
        <v>1017.25799018024</v>
      </c>
      <c r="C2055" s="20">
        <v>117.00258710121</v>
      </c>
      <c r="D2055" s="20">
        <v>311.91403251118601</v>
      </c>
      <c r="E2055" s="20">
        <v>-0.206356049355543</v>
      </c>
      <c r="F2055" s="20">
        <v>-0.16657040901772999</v>
      </c>
      <c r="G2055" s="20">
        <v>0.26519524932766297</v>
      </c>
      <c r="H2055" s="20">
        <v>6.6292718324501001E-3</v>
      </c>
      <c r="I2055" s="20">
        <v>176.795156501771</v>
      </c>
      <c r="L2055" s="20">
        <f t="shared" si="68"/>
        <v>1023.9645618740511</v>
      </c>
      <c r="M2055" s="20">
        <f t="shared" si="69"/>
        <v>-13.004349935852467</v>
      </c>
    </row>
    <row r="2056" spans="1:13" x14ac:dyDescent="0.2">
      <c r="A2056" s="23">
        <v>507.25</v>
      </c>
      <c r="B2056" s="20">
        <v>1017.36957605772</v>
      </c>
      <c r="C2056" s="20">
        <v>116.99659257765499</v>
      </c>
      <c r="D2056" s="20">
        <v>311.87602721749101</v>
      </c>
      <c r="E2056" s="20">
        <v>-0.206206283211125</v>
      </c>
      <c r="F2056" s="20">
        <v>-0.165601048856693</v>
      </c>
      <c r="G2056" s="20">
        <v>0.26447067629168902</v>
      </c>
      <c r="H2056" s="20">
        <v>6.6148158569505301E-3</v>
      </c>
      <c r="I2056" s="20">
        <v>176.85209503323301</v>
      </c>
      <c r="L2056" s="20">
        <f t="shared" si="68"/>
        <v>1024.0747321180456</v>
      </c>
      <c r="M2056" s="20">
        <f t="shared" si="69"/>
        <v>-13.005749097951202</v>
      </c>
    </row>
    <row r="2057" spans="1:13" x14ac:dyDescent="0.2">
      <c r="A2057" s="23">
        <v>507.5</v>
      </c>
      <c r="B2057" s="20">
        <v>1017.4808461535901</v>
      </c>
      <c r="C2057" s="20">
        <v>116.990409982279</v>
      </c>
      <c r="D2057" s="20">
        <v>311.83797754280403</v>
      </c>
      <c r="E2057" s="20">
        <v>-0.20605686885130001</v>
      </c>
      <c r="F2057" s="20">
        <v>-0.16463379889744501</v>
      </c>
      <c r="G2057" s="20">
        <v>0.26374935249248699</v>
      </c>
      <c r="H2057" s="20">
        <v>6.6003879891352096E-3</v>
      </c>
      <c r="I2057" s="20">
        <v>176.90888244904201</v>
      </c>
      <c r="L2057" s="20">
        <f t="shared" si="68"/>
        <v>1024.1845675058998</v>
      </c>
      <c r="M2057" s="20">
        <f t="shared" si="69"/>
        <v>-13.007144007376956</v>
      </c>
    </row>
    <row r="2058" spans="1:13" x14ac:dyDescent="0.2">
      <c r="A2058" s="23">
        <v>507.75</v>
      </c>
      <c r="B2058" s="20">
        <v>1017.59180147528</v>
      </c>
      <c r="C2058" s="20">
        <v>116.984039543498</v>
      </c>
      <c r="D2058" s="20">
        <v>311.79988336023098</v>
      </c>
      <c r="E2058" s="20">
        <v>-0.20590780498102301</v>
      </c>
      <c r="F2058" s="20">
        <v>-0.163668655107443</v>
      </c>
      <c r="G2058" s="20">
        <v>0.26303127725953501</v>
      </c>
      <c r="H2058" s="20">
        <v>6.5859885014461304E-3</v>
      </c>
      <c r="I2058" s="20">
        <v>176.96551802559401</v>
      </c>
      <c r="L2058" s="20">
        <f t="shared" si="68"/>
        <v>1024.2940690727544</v>
      </c>
      <c r="M2058" s="20">
        <f t="shared" si="69"/>
        <v>-13.008534677276016</v>
      </c>
    </row>
    <row r="2059" spans="1:13" x14ac:dyDescent="0.2">
      <c r="A2059" s="23">
        <v>508</v>
      </c>
      <c r="B2059" s="20">
        <v>1017.7024430284</v>
      </c>
      <c r="C2059" s="20">
        <v>116.97748149005101</v>
      </c>
      <c r="D2059" s="20">
        <v>311.76174454287701</v>
      </c>
      <c r="E2059" s="20">
        <v>-0.205759090279861</v>
      </c>
      <c r="F2059" s="20">
        <v>-0.1627056134173</v>
      </c>
      <c r="G2059" s="20">
        <v>0.26231644986598901</v>
      </c>
      <c r="H2059" s="20">
        <v>6.5716176647960698E-3</v>
      </c>
      <c r="I2059" s="20">
        <v>177.02200104127101</v>
      </c>
      <c r="L2059" s="20">
        <f t="shared" si="68"/>
        <v>1024.403237852033</v>
      </c>
      <c r="M2059" s="20">
        <f t="shared" si="69"/>
        <v>-13.00992112077286</v>
      </c>
    </row>
    <row r="2060" spans="1:13" x14ac:dyDescent="0.2">
      <c r="A2060" s="23">
        <v>508.25</v>
      </c>
      <c r="B2060" s="20">
        <v>1017.81277181674</v>
      </c>
      <c r="C2060" s="20">
        <v>116.97073605099</v>
      </c>
      <c r="D2060" s="20">
        <v>311.72356096383902</v>
      </c>
      <c r="E2060" s="20">
        <v>-0.20561072340200801</v>
      </c>
      <c r="F2060" s="20">
        <v>-0.16174466972101001</v>
      </c>
      <c r="G2060" s="20">
        <v>0.26160486952856099</v>
      </c>
      <c r="H2060" s="20">
        <v>6.5572757485754798E-3</v>
      </c>
      <c r="I2060" s="20">
        <v>177.07833077640899</v>
      </c>
      <c r="L2060" s="20">
        <f t="shared" si="68"/>
        <v>1024.5120748754432</v>
      </c>
      <c r="M2060" s="20">
        <f t="shared" si="69"/>
        <v>-13.011303350970174</v>
      </c>
    </row>
    <row r="2061" spans="1:13" x14ac:dyDescent="0.2">
      <c r="A2061" s="23">
        <v>508.5</v>
      </c>
      <c r="B2061" s="20">
        <v>1017.9227888422701</v>
      </c>
      <c r="C2061" s="20">
        <v>116.963803455679</v>
      </c>
      <c r="D2061" s="20">
        <v>311.68533249621402</v>
      </c>
      <c r="E2061" s="20">
        <v>-0.20546270297629701</v>
      </c>
      <c r="F2061" s="20">
        <v>-0.16078581987617399</v>
      </c>
      <c r="G2061" s="20">
        <v>0.26089653540739</v>
      </c>
      <c r="H2061" s="20">
        <v>6.5429630206593099E-3</v>
      </c>
      <c r="I2061" s="20">
        <v>177.13450651325201</v>
      </c>
      <c r="L2061" s="20">
        <f t="shared" si="68"/>
        <v>1024.6205811729742</v>
      </c>
      <c r="M2061" s="20">
        <f t="shared" si="69"/>
        <v>-13.012681380948823</v>
      </c>
    </row>
    <row r="2062" spans="1:13" x14ac:dyDescent="0.2">
      <c r="A2062" s="23">
        <v>508.75</v>
      </c>
      <c r="B2062" s="20">
        <v>1018.03249510509</v>
      </c>
      <c r="C2062" s="20">
        <v>116.956683933777</v>
      </c>
      <c r="D2062" s="20">
        <v>311.64705901309702</v>
      </c>
      <c r="E2062" s="20">
        <v>-0.20531502760622</v>
      </c>
      <c r="F2062" s="20">
        <v>-0.15982905970422001</v>
      </c>
      <c r="G2062" s="20">
        <v>0.26019144660591398</v>
      </c>
      <c r="H2062" s="20">
        <v>6.5286797474141704E-3</v>
      </c>
      <c r="I2062" s="20">
        <v>177.19052753591501</v>
      </c>
      <c r="L2062" s="20">
        <f t="shared" si="68"/>
        <v>1024.7287577728462</v>
      </c>
      <c r="M2062" s="20">
        <f t="shared" si="69"/>
        <v>-13.014055223767205</v>
      </c>
    </row>
    <row r="2063" spans="1:13" x14ac:dyDescent="0.2">
      <c r="A2063" s="23">
        <v>509</v>
      </c>
      <c r="B2063" s="20">
        <v>1018.1418916034399</v>
      </c>
      <c r="C2063" s="20">
        <v>116.94937771524</v>
      </c>
      <c r="D2063" s="20">
        <v>311.60874038758499</v>
      </c>
      <c r="E2063" s="20">
        <v>-0.205167695869932</v>
      </c>
      <c r="F2063" s="20">
        <v>-0.158874384990631</v>
      </c>
      <c r="G2063" s="20">
        <v>0.25948960217073902</v>
      </c>
      <c r="H2063" s="20">
        <v>6.5144261937053402E-3</v>
      </c>
      <c r="I2063" s="20">
        <v>177.24639313034299</v>
      </c>
      <c r="L2063" s="20">
        <f t="shared" si="68"/>
        <v>1024.8366057015201</v>
      </c>
      <c r="M2063" s="20">
        <f t="shared" si="69"/>
        <v>-13.015424892461366</v>
      </c>
    </row>
    <row r="2064" spans="1:13" x14ac:dyDescent="0.2">
      <c r="A2064" s="23">
        <v>509.25</v>
      </c>
      <c r="B2064" s="20">
        <v>1018.25097933366</v>
      </c>
      <c r="C2064" s="20">
        <v>116.941885030303</v>
      </c>
      <c r="D2064" s="20">
        <v>311.57037649277498</v>
      </c>
      <c r="E2064" s="20">
        <v>-0.20502070632026501</v>
      </c>
      <c r="F2064" s="20">
        <v>-0.157921791485165</v>
      </c>
      <c r="G2064" s="20">
        <v>0.25879100109150699</v>
      </c>
      <c r="H2064" s="20">
        <v>6.5002026229041103E-3</v>
      </c>
      <c r="I2064" s="20">
        <v>177.30210258426999</v>
      </c>
      <c r="L2064" s="20">
        <f t="shared" si="68"/>
        <v>1024.9441259836549</v>
      </c>
      <c r="M2064" s="20">
        <f t="shared" si="69"/>
        <v>-13.016790400044483</v>
      </c>
    </row>
    <row r="2065" spans="1:13" x14ac:dyDescent="0.2">
      <c r="A2065" s="23">
        <v>509.5</v>
      </c>
      <c r="B2065" s="20">
        <v>1018.3597592902</v>
      </c>
      <c r="C2065" s="20">
        <v>116.93420610948399</v>
      </c>
      <c r="D2065" s="20">
        <v>311.53196720177198</v>
      </c>
      <c r="E2065" s="20">
        <v>-0.204874057484734</v>
      </c>
      <c r="F2065" s="20">
        <v>-0.15697127490207799</v>
      </c>
      <c r="G2065" s="20">
        <v>0.25809564230075999</v>
      </c>
      <c r="H2065" s="20">
        <v>6.4860092968952298E-3</v>
      </c>
      <c r="I2065" s="20">
        <v>177.35765518717599</v>
      </c>
      <c r="L2065" s="20">
        <f t="shared" si="68"/>
        <v>1025.0513196421189</v>
      </c>
      <c r="M2065" s="20">
        <f t="shared" si="69"/>
        <v>-13.018151759506983</v>
      </c>
    </row>
    <row r="2066" spans="1:13" x14ac:dyDescent="0.2">
      <c r="A2066" s="23">
        <v>509.75</v>
      </c>
      <c r="B2066" s="20">
        <v>1018.4682324655799</v>
      </c>
      <c r="C2066" s="20">
        <v>116.92634118356401</v>
      </c>
      <c r="D2066" s="20">
        <v>311.49351238768497</v>
      </c>
      <c r="E2066" s="20">
        <v>-0.20472774786554801</v>
      </c>
      <c r="F2066" s="20">
        <v>-0.156022830920341</v>
      </c>
      <c r="G2066" s="20">
        <v>0.25740352467380201</v>
      </c>
      <c r="H2066" s="20">
        <v>6.4718464760841598E-3</v>
      </c>
      <c r="I2066" s="20">
        <v>177.413050230251</v>
      </c>
      <c r="L2066" s="20">
        <f t="shared" si="68"/>
        <v>1025.1581876979465</v>
      </c>
      <c r="M2066" s="20">
        <f t="shared" si="69"/>
        <v>-13.019508983815998</v>
      </c>
    </row>
    <row r="2067" spans="1:13" x14ac:dyDescent="0.2">
      <c r="A2067" s="23">
        <v>510</v>
      </c>
      <c r="B2067" s="20">
        <v>1018.57639985037</v>
      </c>
      <c r="C2067" s="20">
        <v>116.918290483589</v>
      </c>
      <c r="D2067" s="20">
        <v>311.455011923629</v>
      </c>
      <c r="E2067" s="20">
        <v>-0.204581775939609</v>
      </c>
      <c r="F2067" s="20">
        <v>-0.15507645518386701</v>
      </c>
      <c r="G2067" s="20">
        <v>0.25671464702856001</v>
      </c>
      <c r="H2067" s="20">
        <v>6.4577144194048804E-3</v>
      </c>
      <c r="I2067" s="20">
        <v>177.46828700634501</v>
      </c>
      <c r="L2067" s="20">
        <f t="shared" si="68"/>
        <v>1025.2647311703186</v>
      </c>
      <c r="M2067" s="20">
        <f t="shared" si="69"/>
        <v>-13.02086208591513</v>
      </c>
    </row>
    <row r="2068" spans="1:13" x14ac:dyDescent="0.2">
      <c r="A2068" s="23">
        <v>510.25</v>
      </c>
      <c r="B2068" s="20">
        <v>1018.6842624332101</v>
      </c>
      <c r="C2068" s="20">
        <v>116.91005424085699</v>
      </c>
      <c r="D2068" s="20">
        <v>311.41646568273001</v>
      </c>
      <c r="E2068" s="20">
        <v>-0.20443614015852199</v>
      </c>
      <c r="F2068" s="20">
        <v>-0.154132143301726</v>
      </c>
      <c r="G2068" s="20">
        <v>0.25602900812544399</v>
      </c>
      <c r="H2068" s="20">
        <v>6.4436133843275099E-3</v>
      </c>
      <c r="I2068" s="20">
        <v>177.52336480993301</v>
      </c>
      <c r="L2068" s="20">
        <f t="shared" si="68"/>
        <v>1025.3709510765814</v>
      </c>
      <c r="M2068" s="20">
        <f t="shared" si="69"/>
        <v>-13.022211078724672</v>
      </c>
    </row>
    <row r="2069" spans="1:13" x14ac:dyDescent="0.2">
      <c r="A2069" s="23">
        <v>510.5</v>
      </c>
      <c r="B2069" s="20">
        <v>1018.79182120075</v>
      </c>
      <c r="C2069" s="20">
        <v>116.901632686913</v>
      </c>
      <c r="D2069" s="20">
        <v>311.37787353812399</v>
      </c>
      <c r="E2069" s="20">
        <v>-0.20429083894859301</v>
      </c>
      <c r="F2069" s="20">
        <v>-0.15318989084836601</v>
      </c>
      <c r="G2069" s="20">
        <v>0.25534660666720099</v>
      </c>
      <c r="H2069" s="20">
        <v>6.4295436268660602E-3</v>
      </c>
      <c r="I2069" s="20">
        <v>177.57828293706899</v>
      </c>
      <c r="L2069" s="20">
        <f t="shared" si="68"/>
        <v>1025.4768484321851</v>
      </c>
      <c r="M2069" s="20">
        <f t="shared" si="69"/>
        <v>-13.023555975140846</v>
      </c>
    </row>
    <row r="2070" spans="1:13" x14ac:dyDescent="0.2">
      <c r="A2070" s="23">
        <v>510.75</v>
      </c>
      <c r="B2070" s="20">
        <v>1018.89907713767</v>
      </c>
      <c r="C2070" s="20">
        <v>116.89302605354</v>
      </c>
      <c r="D2070" s="20">
        <v>311.33923536295998</v>
      </c>
      <c r="E2070" s="20">
        <v>-0.20414587071082901</v>
      </c>
      <c r="F2070" s="20">
        <v>-0.15224969336383001</v>
      </c>
      <c r="G2070" s="20">
        <v>0.254667441298771</v>
      </c>
      <c r="H2070" s="20">
        <v>6.4155054015864396E-3</v>
      </c>
      <c r="I2070" s="20">
        <v>177.63304068534401</v>
      </c>
      <c r="L2070" s="20">
        <f t="shared" si="68"/>
        <v>1025.5824242507031</v>
      </c>
      <c r="M2070" s="20">
        <f t="shared" si="69"/>
        <v>-13.024896788036028</v>
      </c>
    </row>
    <row r="2071" spans="1:13" x14ac:dyDescent="0.2">
      <c r="A2071" s="23">
        <v>511</v>
      </c>
      <c r="B2071" s="20">
        <v>1019.0060312266201</v>
      </c>
      <c r="C2071" s="20">
        <v>116.884234572751</v>
      </c>
      <c r="D2071" s="20">
        <v>311.30055103040098</v>
      </c>
      <c r="E2071" s="20">
        <v>-0.20400123382094201</v>
      </c>
      <c r="F2071" s="20">
        <v>-0.15131154635397401</v>
      </c>
      <c r="G2071" s="20">
        <v>0.25399151060714098</v>
      </c>
      <c r="H2071" s="20">
        <v>6.4014989616143301E-3</v>
      </c>
      <c r="I2071" s="20">
        <v>177.687637353843</v>
      </c>
      <c r="L2071" s="20">
        <f t="shared" si="68"/>
        <v>1025.6876795437709</v>
      </c>
      <c r="M2071" s="20">
        <f t="shared" si="69"/>
        <v>-13.026233530257993</v>
      </c>
    </row>
    <row r="2072" spans="1:13" x14ac:dyDescent="0.2">
      <c r="A2072" s="23">
        <v>511.25</v>
      </c>
      <c r="B2072" s="20">
        <v>1019.11268444824</v>
      </c>
      <c r="C2072" s="20">
        <v>116.87525847678199</v>
      </c>
      <c r="D2072" s="20">
        <v>311.26182041362603</v>
      </c>
      <c r="E2072" s="20">
        <v>-0.20385692662933999</v>
      </c>
      <c r="F2072" s="20">
        <v>-0.150375445290682</v>
      </c>
      <c r="G2072" s="20">
        <v>0.25331881312119497</v>
      </c>
      <c r="H2072" s="20">
        <v>6.3875245586436299E-3</v>
      </c>
      <c r="I2072" s="20">
        <v>177.742072243102</v>
      </c>
      <c r="L2072" s="20">
        <f t="shared" si="68"/>
        <v>1025.7926153211051</v>
      </c>
      <c r="M2072" s="20">
        <f t="shared" si="69"/>
        <v>-13.027566214630145</v>
      </c>
    </row>
    <row r="2073" spans="1:13" x14ac:dyDescent="0.2">
      <c r="A2073" s="23">
        <v>511.5</v>
      </c>
      <c r="B2073" s="20">
        <v>1019.21903778115</v>
      </c>
      <c r="C2073" s="20">
        <v>116.866097998086</v>
      </c>
      <c r="D2073" s="20">
        <v>311.22304338583098</v>
      </c>
      <c r="E2073" s="20">
        <v>-0.203712947461126</v>
      </c>
      <c r="F2073" s="20">
        <v>-0.149441385612086</v>
      </c>
      <c r="G2073" s="20">
        <v>0.25264934731156502</v>
      </c>
      <c r="H2073" s="20">
        <v>6.37358244294421E-3</v>
      </c>
      <c r="I2073" s="20">
        <v>177.79634465506101</v>
      </c>
      <c r="L2073" s="20">
        <f t="shared" si="68"/>
        <v>1025.8972325904926</v>
      </c>
      <c r="M2073" s="20">
        <f t="shared" si="69"/>
        <v>-13.028894853951373</v>
      </c>
    </row>
    <row r="2074" spans="1:13" x14ac:dyDescent="0.2">
      <c r="A2074" s="23">
        <v>511.75</v>
      </c>
      <c r="B2074" s="20">
        <v>1019.3250922019</v>
      </c>
      <c r="C2074" s="20">
        <v>116.856753369323</v>
      </c>
      <c r="D2074" s="20">
        <v>311.18421982023</v>
      </c>
      <c r="E2074" s="20">
        <v>-0.20356929461609199</v>
      </c>
      <c r="F2074" s="20">
        <v>-0.14850936272277701</v>
      </c>
      <c r="G2074" s="20">
        <v>0.25198311159047598</v>
      </c>
      <c r="H2074" s="20">
        <v>6.3596728633708603E-3</v>
      </c>
      <c r="I2074" s="20">
        <v>177.85045389302499</v>
      </c>
      <c r="L2074" s="20">
        <f t="shared" si="68"/>
        <v>1026.0015323577402</v>
      </c>
      <c r="M2074" s="20">
        <f t="shared" si="69"/>
        <v>-13.03021946099542</v>
      </c>
    </row>
    <row r="2075" spans="1:13" x14ac:dyDescent="0.2">
      <c r="A2075" s="23">
        <v>512</v>
      </c>
      <c r="B2075" s="20">
        <v>1019.43084868496</v>
      </c>
      <c r="C2075" s="20">
        <v>116.84722482335199</v>
      </c>
      <c r="D2075" s="20">
        <v>311.14534959006102</v>
      </c>
      <c r="E2075" s="20">
        <v>-0.20342596636870799</v>
      </c>
      <c r="F2075" s="20">
        <v>-0.14757937199402099</v>
      </c>
      <c r="G2075" s="20">
        <v>0.25132010431159801</v>
      </c>
      <c r="H2075" s="20">
        <v>6.3457960673711901E-3</v>
      </c>
      <c r="I2075" s="20">
        <v>177.90439926161699</v>
      </c>
      <c r="L2075" s="20">
        <f t="shared" si="68"/>
        <v>1026.1055156266614</v>
      </c>
      <c r="M2075" s="20">
        <f t="shared" si="69"/>
        <v>-13.031540048510726</v>
      </c>
    </row>
    <row r="2076" spans="1:13" x14ac:dyDescent="0.2">
      <c r="A2076" s="23">
        <v>512.25</v>
      </c>
      <c r="B2076" s="20">
        <v>1019.53630820275</v>
      </c>
      <c r="C2076" s="20">
        <v>116.83751259322599</v>
      </c>
      <c r="D2076" s="20">
        <v>311.106432568581</v>
      </c>
      <c r="E2076" s="20">
        <v>-0.20328296096811699</v>
      </c>
      <c r="F2076" s="20">
        <v>-0.14665140876397401</v>
      </c>
      <c r="G2076" s="20">
        <v>0.25066032376988401</v>
      </c>
      <c r="H2076" s="20">
        <v>6.33195230099458E-3</v>
      </c>
      <c r="I2076" s="20">
        <v>177.95818006673301</v>
      </c>
      <c r="L2076" s="20">
        <f t="shared" ref="L2076:L2139" si="70">SQRT(B2076^2+C2076^2)</f>
        <v>1026.2091833991085</v>
      </c>
      <c r="M2076" s="20">
        <f t="shared" ref="M2076:M2139" si="71">-L2076/A$25*100</f>
        <v>-13.032856629220809</v>
      </c>
    </row>
    <row r="2077" spans="1:13" x14ac:dyDescent="0.2">
      <c r="A2077" s="23">
        <v>512.5</v>
      </c>
      <c r="B2077" s="20">
        <v>1019.64147172556</v>
      </c>
      <c r="C2077" s="20">
        <v>116.827616912183</v>
      </c>
      <c r="D2077" s="20">
        <v>311.06746862907301</v>
      </c>
      <c r="E2077" s="20">
        <v>-0.20314027663812101</v>
      </c>
      <c r="F2077" s="20">
        <v>-0.14572546833789099</v>
      </c>
      <c r="G2077" s="20">
        <v>0.25000376820142201</v>
      </c>
      <c r="H2077" s="20">
        <v>6.3181418089006403E-3</v>
      </c>
      <c r="I2077" s="20">
        <v>178.01179561549699</v>
      </c>
      <c r="L2077" s="20">
        <f t="shared" si="70"/>
        <v>1026.3125366748893</v>
      </c>
      <c r="M2077" s="20">
        <f t="shared" si="71"/>
        <v>-13.034169215823233</v>
      </c>
    </row>
    <row r="2078" spans="1:13" x14ac:dyDescent="0.2">
      <c r="A2078" s="23">
        <v>512.75</v>
      </c>
      <c r="B2078" s="20">
        <v>1019.74634022156</v>
      </c>
      <c r="C2078" s="20">
        <v>116.817538013638</v>
      </c>
      <c r="D2078" s="20">
        <v>311.02845764484698</v>
      </c>
      <c r="E2078" s="20">
        <v>-0.20299791157717001</v>
      </c>
      <c r="F2078" s="20">
        <v>-0.144801545988342</v>
      </c>
      <c r="G2078" s="20">
        <v>0.24935043578327001</v>
      </c>
      <c r="H2078" s="20">
        <v>6.3043648343681698E-3</v>
      </c>
      <c r="I2078" s="20">
        <v>178.065245216216</v>
      </c>
      <c r="L2078" s="20">
        <f t="shared" si="70"/>
        <v>1026.4155764517768</v>
      </c>
      <c r="M2078" s="20">
        <f t="shared" si="71"/>
        <v>-13.035477820989708</v>
      </c>
    </row>
    <row r="2079" spans="1:13" x14ac:dyDescent="0.2">
      <c r="A2079" s="23">
        <v>513</v>
      </c>
      <c r="B2079" s="20">
        <v>1019.85091465681</v>
      </c>
      <c r="C2079" s="20">
        <v>116.807276131178</v>
      </c>
      <c r="D2079" s="20">
        <v>310.989399489238</v>
      </c>
      <c r="E2079" s="20">
        <v>-0.20285586395834501</v>
      </c>
      <c r="F2079" s="20">
        <v>-0.14387963695542</v>
      </c>
      <c r="G2079" s="20">
        <v>0.24870032463330299</v>
      </c>
      <c r="H2079" s="20">
        <v>6.2906216193039897E-3</v>
      </c>
      <c r="I2079" s="20">
        <v>178.11852817833599</v>
      </c>
      <c r="L2079" s="20">
        <f t="shared" si="70"/>
        <v>1026.5183037255192</v>
      </c>
      <c r="M2079" s="20">
        <f t="shared" si="71"/>
        <v>-13.036782457366241</v>
      </c>
    </row>
    <row r="2080" spans="1:13" x14ac:dyDescent="0.2">
      <c r="A2080" s="23">
        <v>513.25</v>
      </c>
      <c r="B2080" s="20">
        <v>1019.95519599521</v>
      </c>
      <c r="C2080" s="20">
        <v>116.796831498549</v>
      </c>
      <c r="D2080" s="20">
        <v>310.95029403561199</v>
      </c>
      <c r="E2080" s="20">
        <v>-0.20271413192934301</v>
      </c>
      <c r="F2080" s="20">
        <v>-0.14295973644695401</v>
      </c>
      <c r="G2080" s="20">
        <v>0.24805343281004999</v>
      </c>
      <c r="H2080" s="20">
        <v>6.2769124042518403E-3</v>
      </c>
      <c r="I2080" s="20">
        <v>178.171643812394</v>
      </c>
      <c r="L2080" s="20">
        <f t="shared" si="70"/>
        <v>1026.620719489787</v>
      </c>
      <c r="M2080" s="20">
        <f t="shared" si="71"/>
        <v>-13.038083137572448</v>
      </c>
    </row>
    <row r="2081" spans="1:13" x14ac:dyDescent="0.2">
      <c r="A2081" s="23">
        <v>513.5</v>
      </c>
      <c r="B2081" s="20">
        <v>1020.0591851985</v>
      </c>
      <c r="C2081" s="20">
        <v>116.786204349654</v>
      </c>
      <c r="D2081" s="20">
        <v>310.91114115736502</v>
      </c>
      <c r="E2081" s="20">
        <v>-0.20257271361245999</v>
      </c>
      <c r="F2081" s="20">
        <v>-0.142041839638717</v>
      </c>
      <c r="G2081" s="20">
        <v>0.24740975831253501</v>
      </c>
      <c r="H2081" s="20">
        <v>6.2632374284017503E-3</v>
      </c>
      <c r="I2081" s="20">
        <v>178.22459142997201</v>
      </c>
      <c r="L2081" s="20">
        <f t="shared" si="70"/>
        <v>1026.7228247361734</v>
      </c>
      <c r="M2081" s="20">
        <f t="shared" si="71"/>
        <v>-13.039379874201559</v>
      </c>
    </row>
    <row r="2082" spans="1:13" x14ac:dyDescent="0.2">
      <c r="A2082" s="23">
        <v>513.75</v>
      </c>
      <c r="B2082" s="20">
        <v>1020.1628832262199</v>
      </c>
      <c r="C2082" s="20">
        <v>116.775394918546</v>
      </c>
      <c r="D2082" s="20">
        <v>310.87194072792602</v>
      </c>
      <c r="E2082" s="20">
        <v>-0.20243160710456901</v>
      </c>
      <c r="F2082" s="20">
        <v>-0.14112594167463499</v>
      </c>
      <c r="G2082" s="20">
        <v>0.246769299080114</v>
      </c>
      <c r="H2082" s="20">
        <v>6.2495969295990102E-3</v>
      </c>
      <c r="I2082" s="20">
        <v>178.277370343651</v>
      </c>
      <c r="L2082" s="20">
        <f t="shared" si="70"/>
        <v>1026.8246204541535</v>
      </c>
      <c r="M2082" s="20">
        <f t="shared" si="71"/>
        <v>-13.040672679819911</v>
      </c>
    </row>
    <row r="2083" spans="1:13" x14ac:dyDescent="0.2">
      <c r="A2083" s="23">
        <v>514</v>
      </c>
      <c r="B2083" s="20">
        <v>1020.26629103573</v>
      </c>
      <c r="C2083" s="20">
        <v>116.764403439413</v>
      </c>
      <c r="D2083" s="20">
        <v>310.83269262075999</v>
      </c>
      <c r="E2083" s="20">
        <v>-0.20229081047710101</v>
      </c>
      <c r="F2083" s="20">
        <v>-0.140212037666993</v>
      </c>
      <c r="G2083" s="20">
        <v>0.246132052992317</v>
      </c>
      <c r="H2083" s="20">
        <v>6.2359911443537301E-3</v>
      </c>
      <c r="I2083" s="20">
        <v>178.329979866966</v>
      </c>
      <c r="L2083" s="20">
        <f t="shared" si="70"/>
        <v>1026.9261076311025</v>
      </c>
      <c r="M2083" s="20">
        <f t="shared" si="71"/>
        <v>-13.041961566967169</v>
      </c>
    </row>
    <row r="2084" spans="1:13" x14ac:dyDescent="0.2">
      <c r="A2084" s="23">
        <v>514.25</v>
      </c>
      <c r="B2084" s="20">
        <v>1020.3694095822</v>
      </c>
      <c r="C2084" s="20">
        <v>116.753230146579</v>
      </c>
      <c r="D2084" s="20">
        <v>310.79339670936503</v>
      </c>
      <c r="E2084" s="20">
        <v>-0.20215032177601799</v>
      </c>
      <c r="F2084" s="20">
        <v>-0.13930012269664799</v>
      </c>
      <c r="G2084" s="20">
        <v>0.24549801786867601</v>
      </c>
      <c r="H2084" s="20">
        <v>6.2224203078500703E-3</v>
      </c>
      <c r="I2084" s="20">
        <v>178.382419314354</v>
      </c>
      <c r="L2084" s="20">
        <f t="shared" si="70"/>
        <v>1027.0272872522849</v>
      </c>
      <c r="M2084" s="20">
        <f t="shared" si="71"/>
        <v>-13.043246548156191</v>
      </c>
    </row>
    <row r="2085" spans="1:13" x14ac:dyDescent="0.2">
      <c r="A2085" s="23">
        <v>514.5</v>
      </c>
      <c r="B2085" s="20">
        <v>1020.4722398185301</v>
      </c>
      <c r="C2085" s="20">
        <v>116.74187527449401</v>
      </c>
      <c r="D2085" s="20">
        <v>310.75405286728</v>
      </c>
      <c r="E2085" s="20">
        <v>-0.20201013902179199</v>
      </c>
      <c r="F2085" s="20">
        <v>-0.13839019181322701</v>
      </c>
      <c r="G2085" s="20">
        <v>0.244867191468571</v>
      </c>
      <c r="H2085" s="20">
        <v>6.2088846539561102E-3</v>
      </c>
      <c r="I2085" s="20">
        <v>178.43468800111299</v>
      </c>
      <c r="L2085" s="20">
        <f t="shared" si="70"/>
        <v>1027.1281603007744</v>
      </c>
      <c r="M2085" s="20">
        <f t="shared" si="71"/>
        <v>-13.044527635872013</v>
      </c>
    </row>
    <row r="2086" spans="1:13" x14ac:dyDescent="0.2">
      <c r="A2086" s="23">
        <v>514.75</v>
      </c>
      <c r="B2086" s="20">
        <v>1020.57478269542</v>
      </c>
      <c r="C2086" s="20">
        <v>116.73033905772201</v>
      </c>
      <c r="D2086" s="20">
        <v>310.71466096808098</v>
      </c>
      <c r="E2086" s="20">
        <v>-0.20187026020937701</v>
      </c>
      <c r="F2086" s="20">
        <v>-0.13748224003533899</v>
      </c>
      <c r="G2086" s="20">
        <v>0.24423957149105899</v>
      </c>
      <c r="H2086" s="20">
        <v>6.1953844152331898E-3</v>
      </c>
      <c r="I2086" s="20">
        <v>178.48678524335</v>
      </c>
      <c r="L2086" s="20">
        <f t="shared" si="70"/>
        <v>1027.2287277575208</v>
      </c>
      <c r="M2086" s="20">
        <f t="shared" si="71"/>
        <v>-13.045804842572698</v>
      </c>
    </row>
    <row r="2087" spans="1:13" x14ac:dyDescent="0.2">
      <c r="A2087" s="23">
        <v>515</v>
      </c>
      <c r="B2087" s="20">
        <v>1020.67703916127</v>
      </c>
      <c r="C2087" s="20">
        <v>116.718621730942</v>
      </c>
      <c r="D2087" s="20">
        <v>310.67522088538698</v>
      </c>
      <c r="E2087" s="20">
        <v>-0.20173068330817701</v>
      </c>
      <c r="F2087" s="20">
        <v>-0.136576262350776</v>
      </c>
      <c r="G2087" s="20">
        <v>0.243615155574714</v>
      </c>
      <c r="H2087" s="20">
        <v>6.1819198229459997E-3</v>
      </c>
      <c r="I2087" s="20">
        <v>178.53871035793401</v>
      </c>
      <c r="L2087" s="20">
        <f t="shared" si="70"/>
        <v>1027.3289906012521</v>
      </c>
      <c r="M2087" s="20">
        <f t="shared" si="71"/>
        <v>-13.047078180688091</v>
      </c>
    </row>
    <row r="2088" spans="1:13" x14ac:dyDescent="0.2">
      <c r="A2088" s="23">
        <v>515.25</v>
      </c>
      <c r="B2088" s="20">
        <v>1020.77901016226</v>
      </c>
      <c r="C2088" s="20">
        <v>116.706723528932</v>
      </c>
      <c r="D2088" s="20">
        <v>310.63573249285798</v>
      </c>
      <c r="E2088" s="20">
        <v>-0.20159140626201999</v>
      </c>
      <c r="F2088" s="20">
        <v>-0.13567225371671801</v>
      </c>
      <c r="G2088" s="20">
        <v>0.24299394129745699</v>
      </c>
      <c r="H2088" s="20">
        <v>6.1684911070722598E-3</v>
      </c>
      <c r="I2088" s="20">
        <v>178.590462662448</v>
      </c>
      <c r="L2088" s="20">
        <f t="shared" si="70"/>
        <v>1027.4289498085509</v>
      </c>
      <c r="M2088" s="20">
        <f t="shared" si="71"/>
        <v>-13.04834766262079</v>
      </c>
    </row>
    <row r="2089" spans="1:13" x14ac:dyDescent="0.2">
      <c r="A2089" s="23">
        <v>515.5</v>
      </c>
      <c r="B2089" s="20">
        <v>1020.88069664223</v>
      </c>
      <c r="C2089" s="20">
        <v>116.694644686568</v>
      </c>
      <c r="D2089" s="20">
        <v>310.59619566420201</v>
      </c>
      <c r="E2089" s="20">
        <v>-0.201452426989121</v>
      </c>
      <c r="F2089" s="20">
        <v>-0.134770209059935</v>
      </c>
      <c r="G2089" s="20">
        <v>0.242375926176396</v>
      </c>
      <c r="H2089" s="20">
        <v>6.1550984963128904E-3</v>
      </c>
      <c r="I2089" s="20">
        <v>178.64204147514201</v>
      </c>
      <c r="L2089" s="20">
        <f t="shared" si="70"/>
        <v>1027.5286063537351</v>
      </c>
      <c r="M2089" s="20">
        <f t="shared" si="71"/>
        <v>-13.049613300744634</v>
      </c>
    </row>
    <row r="2090" spans="1:13" x14ac:dyDescent="0.2">
      <c r="A2090" s="23">
        <v>515.75</v>
      </c>
      <c r="B2090" s="20">
        <v>1020.98209954275</v>
      </c>
      <c r="C2090" s="20">
        <v>116.68238543881399</v>
      </c>
      <c r="D2090" s="20">
        <v>310.55661027317097</v>
      </c>
      <c r="E2090" s="20">
        <v>-0.20131374338205499</v>
      </c>
      <c r="F2090" s="20">
        <v>-0.133870123276988</v>
      </c>
      <c r="G2090" s="20">
        <v>0.24176110766765499</v>
      </c>
      <c r="H2090" s="20">
        <v>6.1417422181020698E-3</v>
      </c>
      <c r="I2090" s="20">
        <v>178.69344611488299</v>
      </c>
      <c r="L2090" s="20">
        <f t="shared" si="70"/>
        <v>1027.6279612089261</v>
      </c>
      <c r="M2090" s="20">
        <f t="shared" si="71"/>
        <v>-13.050875107405565</v>
      </c>
    </row>
    <row r="2091" spans="1:13" x14ac:dyDescent="0.2">
      <c r="A2091" s="23">
        <v>516</v>
      </c>
      <c r="B2091" s="20">
        <v>1021.0832198030701</v>
      </c>
      <c r="C2091" s="20">
        <v>116.66994602071399</v>
      </c>
      <c r="D2091" s="20">
        <v>310.51697619356497</v>
      </c>
      <c r="E2091" s="20">
        <v>-0.201175353307711</v>
      </c>
      <c r="F2091" s="20">
        <v>-0.13297199123443401</v>
      </c>
      <c r="G2091" s="20">
        <v>0.24114948316621501</v>
      </c>
      <c r="H2091" s="20">
        <v>6.1284224986175402E-3</v>
      </c>
      <c r="I2091" s="20">
        <v>178.74467590110399</v>
      </c>
      <c r="L2091" s="20">
        <f t="shared" si="70"/>
        <v>1027.7270153439974</v>
      </c>
      <c r="M2091" s="20">
        <f t="shared" si="71"/>
        <v>-13.052133094920976</v>
      </c>
    </row>
    <row r="2092" spans="1:13" x14ac:dyDescent="0.2">
      <c r="A2092" s="23">
        <v>516.25</v>
      </c>
      <c r="B2092" s="20">
        <v>1021.18405836009</v>
      </c>
      <c r="C2092" s="20">
        <v>116.657326667387</v>
      </c>
      <c r="D2092" s="20">
        <v>310.47729329923601</v>
      </c>
      <c r="E2092" s="20">
        <v>-0.20103725460726399</v>
      </c>
      <c r="F2092" s="20">
        <v>-0.132075807769021</v>
      </c>
      <c r="G2092" s="20">
        <v>0.240541050005742</v>
      </c>
      <c r="H2092" s="20">
        <v>6.1151395627908898E-3</v>
      </c>
      <c r="I2092" s="20">
        <v>178.795730153759</v>
      </c>
      <c r="L2092" s="20">
        <f t="shared" si="70"/>
        <v>1027.8257697265453</v>
      </c>
      <c r="M2092" s="20">
        <f t="shared" si="71"/>
        <v>-13.05338727557934</v>
      </c>
    </row>
    <row r="2093" spans="1:13" x14ac:dyDescent="0.2">
      <c r="A2093" s="23">
        <v>516.5</v>
      </c>
      <c r="B2093" s="20">
        <v>1021.28461614838</v>
      </c>
      <c r="C2093" s="20">
        <v>116.64452761401699</v>
      </c>
      <c r="D2093" s="20">
        <v>310.43756146408498</v>
      </c>
      <c r="E2093" s="20">
        <v>-0.20089944509612701</v>
      </c>
      <c r="F2093" s="20">
        <v>-0.13118156768788999</v>
      </c>
      <c r="G2093" s="20">
        <v>0.23993580545842699</v>
      </c>
      <c r="H2093" s="20">
        <v>6.1018936343181004E-3</v>
      </c>
      <c r="I2093" s="20">
        <v>178.84660819326999</v>
      </c>
      <c r="L2093" s="20">
        <f t="shared" si="70"/>
        <v>1027.9242253219063</v>
      </c>
      <c r="M2093" s="20">
        <f t="shared" si="71"/>
        <v>-13.054637661640427</v>
      </c>
    </row>
    <row r="2094" spans="1:13" x14ac:dyDescent="0.2">
      <c r="A2094" s="23">
        <v>516.75</v>
      </c>
      <c r="B2094" s="20">
        <v>1021.3848941001301</v>
      </c>
      <c r="C2094" s="20">
        <v>116.63154909584701</v>
      </c>
      <c r="D2094" s="20">
        <v>310.39778056206802</v>
      </c>
      <c r="E2094" s="20">
        <v>-0.20076192256391701</v>
      </c>
      <c r="F2094" s="20">
        <v>-0.130289265768774</v>
      </c>
      <c r="G2094" s="20">
        <v>0.239333746734819</v>
      </c>
      <c r="H2094" s="20">
        <v>6.0886849356700896E-3</v>
      </c>
      <c r="I2094" s="20">
        <v>178.89730934048001</v>
      </c>
      <c r="L2094" s="20">
        <f t="shared" si="70"/>
        <v>1028.022383093107</v>
      </c>
      <c r="M2094" s="20">
        <f t="shared" si="71"/>
        <v>-13.055884265334683</v>
      </c>
    </row>
    <row r="2095" spans="1:13" x14ac:dyDescent="0.2">
      <c r="A2095" s="23">
        <v>517</v>
      </c>
      <c r="B2095" s="20">
        <v>1021.48489314517</v>
      </c>
      <c r="C2095" s="20">
        <v>116.618391348174</v>
      </c>
      <c r="D2095" s="20">
        <v>310.35795046719801</v>
      </c>
      <c r="E2095" s="20">
        <v>-0.20062468477440501</v>
      </c>
      <c r="F2095" s="20">
        <v>-0.129398896760194</v>
      </c>
      <c r="G2095" s="20">
        <v>0.238734870983659</v>
      </c>
      <c r="H2095" s="20">
        <v>6.0755136881035302E-3</v>
      </c>
      <c r="I2095" s="20">
        <v>178.947832916599</v>
      </c>
      <c r="L2095" s="20">
        <f t="shared" si="70"/>
        <v>1028.1202440008831</v>
      </c>
      <c r="M2095" s="20">
        <f t="shared" si="71"/>
        <v>-13.057127098863445</v>
      </c>
    </row>
    <row r="2096" spans="1:13" x14ac:dyDescent="0.2">
      <c r="A2096" s="23">
        <v>517.25</v>
      </c>
      <c r="B2096" s="20">
        <v>1021.58461421094</v>
      </c>
      <c r="C2096" s="20">
        <v>116.605054606336</v>
      </c>
      <c r="D2096" s="20">
        <v>310.31807105354102</v>
      </c>
      <c r="E2096" s="20">
        <v>-0.200487729465473</v>
      </c>
      <c r="F2096" s="20">
        <v>-0.12851045538165501</v>
      </c>
      <c r="G2096" s="20">
        <v>0.23813917529172099</v>
      </c>
      <c r="H2096" s="20">
        <v>6.0623801116715297E-3</v>
      </c>
      <c r="I2096" s="20">
        <v>178.998178243159</v>
      </c>
      <c r="L2096" s="20">
        <f t="shared" si="70"/>
        <v>1028.2178090036477</v>
      </c>
      <c r="M2096" s="20">
        <f t="shared" si="71"/>
        <v>-13.058366174398561</v>
      </c>
    </row>
    <row r="2097" spans="1:13" x14ac:dyDescent="0.2">
      <c r="A2097" s="23">
        <v>517.5</v>
      </c>
      <c r="B2097" s="20">
        <v>1021.6840582224399</v>
      </c>
      <c r="C2097" s="20">
        <v>116.591539105712</v>
      </c>
      <c r="D2097" s="20">
        <v>310.27814219522497</v>
      </c>
      <c r="E2097" s="20">
        <v>-0.200351054349069</v>
      </c>
      <c r="F2097" s="20">
        <v>-0.127623936323842</v>
      </c>
      <c r="G2097" s="20">
        <v>0.237546656683641</v>
      </c>
      <c r="H2097" s="20">
        <v>6.0492844252347704E-3</v>
      </c>
      <c r="I2097" s="20">
        <v>179.04834464195901</v>
      </c>
      <c r="L2097" s="20">
        <f t="shared" si="70"/>
        <v>1028.3150790574418</v>
      </c>
      <c r="M2097" s="20">
        <f t="shared" si="71"/>
        <v>-13.059601504081749</v>
      </c>
    </row>
    <row r="2098" spans="1:13" x14ac:dyDescent="0.2">
      <c r="A2098" s="23">
        <v>517.75</v>
      </c>
      <c r="B2098" s="20">
        <v>1021.78322610228</v>
      </c>
      <c r="C2098" s="20">
        <v>116.577845081709</v>
      </c>
      <c r="D2098" s="20">
        <v>310.23816376643703</v>
      </c>
      <c r="E2098" s="20">
        <v>-0.20021465711115499</v>
      </c>
      <c r="F2098" s="20">
        <v>-0.126739334248818</v>
      </c>
      <c r="G2098" s="20">
        <v>0.23695731212176399</v>
      </c>
      <c r="H2098" s="20">
        <v>6.0362268464723397E-3</v>
      </c>
      <c r="I2098" s="20">
        <v>179.09833143501601</v>
      </c>
      <c r="L2098" s="20">
        <f t="shared" si="70"/>
        <v>1028.4120551159822</v>
      </c>
      <c r="M2098" s="20">
        <f t="shared" si="71"/>
        <v>-13.060833100025219</v>
      </c>
    </row>
    <row r="2099" spans="1:13" x14ac:dyDescent="0.2">
      <c r="A2099" s="23">
        <v>518</v>
      </c>
      <c r="B2099" s="20">
        <v>1021.88211877064</v>
      </c>
      <c r="C2099" s="20">
        <v>116.563972769757</v>
      </c>
      <c r="D2099" s="20">
        <v>310.19813564142697</v>
      </c>
      <c r="E2099" s="20">
        <v>-0.20007853541165599</v>
      </c>
      <c r="F2099" s="20">
        <v>-0.125856643790213</v>
      </c>
      <c r="G2099" s="20">
        <v>0.23637113850597299</v>
      </c>
      <c r="H2099" s="20">
        <v>6.0232075918931101E-3</v>
      </c>
      <c r="I2099" s="20">
        <v>179.14813794451501</v>
      </c>
      <c r="L2099" s="20">
        <f t="shared" si="70"/>
        <v>1028.5087381306203</v>
      </c>
      <c r="M2099" s="20">
        <f t="shared" si="71"/>
        <v>-13.062060974311127</v>
      </c>
    </row>
    <row r="2100" spans="1:13" x14ac:dyDescent="0.2">
      <c r="A2100" s="23">
        <v>518.25</v>
      </c>
      <c r="B2100" s="20">
        <v>1021.98073714521</v>
      </c>
      <c r="C2100" s="20">
        <v>116.549922405302</v>
      </c>
      <c r="D2100" s="20">
        <v>310.15805769450901</v>
      </c>
      <c r="E2100" s="20">
        <v>-0.199942686884409</v>
      </c>
      <c r="F2100" s="20">
        <v>-0.124975859553418</v>
      </c>
      <c r="G2100" s="20">
        <v>0.23578813267353499</v>
      </c>
      <c r="H2100" s="20">
        <v>6.0102268768470598E-3</v>
      </c>
      <c r="I2100" s="20">
        <v>179.19776349275301</v>
      </c>
      <c r="L2100" s="20">
        <f t="shared" si="70"/>
        <v>1028.6051290502826</v>
      </c>
      <c r="M2100" s="20">
        <f t="shared" si="71"/>
        <v>-13.063285138990842</v>
      </c>
    </row>
    <row r="2101" spans="1:13" x14ac:dyDescent="0.2">
      <c r="A2101" s="23">
        <v>518.5</v>
      </c>
      <c r="B2101" s="20">
        <v>1022.07908214125</v>
      </c>
      <c r="C2101" s="20">
        <v>116.535694223798</v>
      </c>
      <c r="D2101" s="20">
        <v>310.11792980006197</v>
      </c>
      <c r="E2101" s="20">
        <v>-0.199807109137107</v>
      </c>
      <c r="F2101" s="20">
        <v>-0.12409697611577999</v>
      </c>
      <c r="G2101" s="20">
        <v>0.23520829139893901</v>
      </c>
      <c r="H2101" s="20">
        <v>5.9972849155365496E-3</v>
      </c>
      <c r="I2101" s="20">
        <v>179.247207402096</v>
      </c>
      <c r="L2101" s="20">
        <f t="shared" si="70"/>
        <v>1028.7012288215285</v>
      </c>
      <c r="M2101" s="20">
        <f t="shared" si="71"/>
        <v>-13.064505606085669</v>
      </c>
    </row>
    <row r="2102" spans="1:13" x14ac:dyDescent="0.2">
      <c r="A2102" s="23">
        <v>518.75</v>
      </c>
      <c r="B2102" s="20">
        <v>1022.17715467152</v>
      </c>
      <c r="C2102" s="20">
        <v>116.521288460703</v>
      </c>
      <c r="D2102" s="20">
        <v>310.07775183253398</v>
      </c>
      <c r="E2102" s="20">
        <v>-0.19967179975124</v>
      </c>
      <c r="F2102" s="20">
        <v>-0.123219988026791</v>
      </c>
      <c r="G2102" s="20">
        <v>0.23463161139373701</v>
      </c>
      <c r="H2102" s="20">
        <v>5.9843819210280398E-3</v>
      </c>
      <c r="I2102" s="20">
        <v>179.296468994919</v>
      </c>
      <c r="L2102" s="20">
        <f t="shared" si="70"/>
        <v>1028.7970383884797</v>
      </c>
      <c r="M2102" s="20">
        <f t="shared" si="71"/>
        <v>-13.065722387585954</v>
      </c>
    </row>
    <row r="2103" spans="1:13" x14ac:dyDescent="0.2">
      <c r="A2103" s="23">
        <v>519</v>
      </c>
      <c r="B2103" s="20">
        <v>1022.2749556463</v>
      </c>
      <c r="C2103" s="20">
        <v>116.506705351466</v>
      </c>
      <c r="D2103" s="20">
        <v>310.03752366643999</v>
      </c>
      <c r="E2103" s="20">
        <v>-0.19953675628204101</v>
      </c>
      <c r="F2103" s="20">
        <v>-0.122344889808275</v>
      </c>
      <c r="G2103" s="20">
        <v>0.23405808930638899</v>
      </c>
      <c r="H2103" s="20">
        <v>5.9715181052636696E-3</v>
      </c>
      <c r="I2103" s="20">
        <v>179.345547593558</v>
      </c>
      <c r="L2103" s="20">
        <f t="shared" si="70"/>
        <v>1028.8925586928394</v>
      </c>
      <c r="M2103" s="20">
        <f t="shared" si="71"/>
        <v>-13.066935495451329</v>
      </c>
    </row>
    <row r="2104" spans="1:13" x14ac:dyDescent="0.2">
      <c r="A2104" s="23">
        <v>519.25</v>
      </c>
      <c r="B2104" s="20">
        <v>1022.37248597334</v>
      </c>
      <c r="C2104" s="20">
        <v>116.491945131525</v>
      </c>
      <c r="D2104" s="20">
        <v>309.99724517636997</v>
      </c>
      <c r="E2104" s="20">
        <v>-0.19940197625842099</v>
      </c>
      <c r="F2104" s="20">
        <v>-0.121471675954582</v>
      </c>
      <c r="G2104" s="20">
        <v>0.233487721722105</v>
      </c>
      <c r="H2104" s="20">
        <v>5.9586936790731E-3</v>
      </c>
      <c r="I2104" s="20">
        <v>179.39444252025601</v>
      </c>
      <c r="L2104" s="20">
        <f t="shared" si="70"/>
        <v>1028.9877906738413</v>
      </c>
      <c r="M2104" s="20">
        <f t="shared" si="71"/>
        <v>-13.068144941610058</v>
      </c>
    </row>
    <row r="2105" spans="1:13" x14ac:dyDescent="0.2">
      <c r="A2105" s="23">
        <v>519.5</v>
      </c>
      <c r="B2105" s="20">
        <v>1022.4697465579</v>
      </c>
      <c r="C2105" s="20">
        <v>116.477008036299</v>
      </c>
      <c r="D2105" s="20">
        <v>309.956916236984</v>
      </c>
      <c r="E2105" s="20">
        <v>-0.199267457182909</v>
      </c>
      <c r="F2105" s="20">
        <v>-0.120600340932776</v>
      </c>
      <c r="G2105" s="20">
        <v>0.232920505162693</v>
      </c>
      <c r="H2105" s="20">
        <v>5.9459088521854999E-3</v>
      </c>
      <c r="I2105" s="20">
        <v>179.443153097113</v>
      </c>
      <c r="L2105" s="20">
        <f t="shared" si="70"/>
        <v>1029.0827352682893</v>
      </c>
      <c r="M2105" s="20">
        <f t="shared" si="71"/>
        <v>-13.069350737959551</v>
      </c>
    </row>
    <row r="2106" spans="1:13" x14ac:dyDescent="0.2">
      <c r="A2106" s="23">
        <v>519.75</v>
      </c>
      <c r="B2106" s="20">
        <v>1022.56673830266</v>
      </c>
      <c r="C2106" s="20">
        <v>116.461894301176</v>
      </c>
      <c r="D2106" s="20">
        <v>309.916536723018</v>
      </c>
      <c r="E2106" s="20">
        <v>-0.19913319653158401</v>
      </c>
      <c r="F2106" s="20">
        <v>-0.119730879182818</v>
      </c>
      <c r="G2106" s="20">
        <v>0.23235643608640799</v>
      </c>
      <c r="H2106" s="20">
        <v>5.9331638332414602E-3</v>
      </c>
      <c r="I2106" s="20">
        <v>179.491678646031</v>
      </c>
      <c r="L2106" s="20">
        <f t="shared" si="70"/>
        <v>1029.1773934104651</v>
      </c>
      <c r="M2106" s="20">
        <f t="shared" si="71"/>
        <v>-13.070552896365189</v>
      </c>
    </row>
    <row r="2107" spans="1:13" x14ac:dyDescent="0.2">
      <c r="A2107" s="23">
        <v>520</v>
      </c>
      <c r="B2107" s="20">
        <v>1022.66346210778</v>
      </c>
      <c r="C2107" s="20">
        <v>116.44660416151601</v>
      </c>
      <c r="D2107" s="20">
        <v>309.87610650928502</v>
      </c>
      <c r="E2107" s="20">
        <v>-0.19899919175401301</v>
      </c>
      <c r="F2107" s="20">
        <v>-0.118863285117755</v>
      </c>
      <c r="G2107" s="20">
        <v>0.23179551088779801</v>
      </c>
      <c r="H2107" s="20">
        <v>5.9204588298053798E-3</v>
      </c>
      <c r="I2107" s="20">
        <v>179.54001848866201</v>
      </c>
      <c r="L2107" s="20">
        <f t="shared" si="70"/>
        <v>1029.2717660321882</v>
      </c>
      <c r="M2107" s="20">
        <f t="shared" si="71"/>
        <v>-13.071751428661077</v>
      </c>
    </row>
    <row r="2108" spans="1:13" x14ac:dyDescent="0.2">
      <c r="A2108" s="23">
        <v>520.25</v>
      </c>
      <c r="B2108" s="20">
        <v>1022.75991887084</v>
      </c>
      <c r="C2108" s="20">
        <v>116.431137852634</v>
      </c>
      <c r="D2108" s="20">
        <v>309.83562547067498</v>
      </c>
      <c r="E2108" s="20">
        <v>-0.19886544027317901</v>
      </c>
      <c r="F2108" s="20">
        <v>-0.117997553123907</v>
      </c>
      <c r="G2108" s="20">
        <v>0.231237725897559</v>
      </c>
      <c r="H2108" s="20">
        <v>5.9077940483776301E-3</v>
      </c>
      <c r="I2108" s="20">
        <v>179.588171946355</v>
      </c>
      <c r="L2108" s="20">
        <f t="shared" si="70"/>
        <v>1029.3658540627557</v>
      </c>
      <c r="M2108" s="20">
        <f t="shared" si="71"/>
        <v>-13.072946346649289</v>
      </c>
    </row>
    <row r="2109" spans="1:13" x14ac:dyDescent="0.2">
      <c r="A2109" s="23">
        <v>520.5</v>
      </c>
      <c r="B2109" s="20">
        <v>1022.85610948685</v>
      </c>
      <c r="C2109" s="20">
        <v>116.415495609798</v>
      </c>
      <c r="D2109" s="20">
        <v>309.79509348215902</v>
      </c>
      <c r="E2109" s="20">
        <v>-0.19873193948541301</v>
      </c>
      <c r="F2109" s="20">
        <v>-0.11713367756104801</v>
      </c>
      <c r="G2109" s="20">
        <v>0.230683077382389</v>
      </c>
      <c r="H2109" s="20">
        <v>5.8951696944070297E-3</v>
      </c>
      <c r="I2109" s="20">
        <v>179.63613834009999</v>
      </c>
      <c r="L2109" s="20">
        <f t="shared" si="70"/>
        <v>1029.4596584289495</v>
      </c>
      <c r="M2109" s="20">
        <f t="shared" si="71"/>
        <v>-13.074137662099956</v>
      </c>
    </row>
    <row r="2110" spans="1:13" x14ac:dyDescent="0.2">
      <c r="A2110" s="23">
        <v>520.75</v>
      </c>
      <c r="B2110" s="20">
        <v>1022.9520348482</v>
      </c>
      <c r="C2110" s="20">
        <v>116.399677668221</v>
      </c>
      <c r="D2110" s="20">
        <v>309.75451041879199</v>
      </c>
      <c r="E2110" s="20">
        <v>-0.198598686760317</v>
      </c>
      <c r="F2110" s="20">
        <v>-0.11627165276258999</v>
      </c>
      <c r="G2110" s="20">
        <v>0.23013156154484099</v>
      </c>
      <c r="H2110" s="20">
        <v>5.8825859723034904E-3</v>
      </c>
      <c r="I2110" s="20">
        <v>179.68391699047999</v>
      </c>
      <c r="L2110" s="20">
        <f t="shared" si="70"/>
        <v>1029.5531800549882</v>
      </c>
      <c r="M2110" s="20">
        <f t="shared" si="71"/>
        <v>-13.075325386750652</v>
      </c>
    </row>
    <row r="2111" spans="1:13" x14ac:dyDescent="0.2">
      <c r="A2111" s="23">
        <v>521</v>
      </c>
      <c r="B2111" s="20">
        <v>1023.0476958447</v>
      </c>
      <c r="C2111" s="20">
        <v>116.383684263055</v>
      </c>
      <c r="D2111" s="20">
        <v>309.71387615570899</v>
      </c>
      <c r="E2111" s="20">
        <v>-0.19846567944069499</v>
      </c>
      <c r="F2111" s="20">
        <v>-0.115411473035769</v>
      </c>
      <c r="G2111" s="20">
        <v>0.229583174523184</v>
      </c>
      <c r="H2111" s="20">
        <v>5.8700430854506398E-3</v>
      </c>
      <c r="I2111" s="20">
        <v>179.73150721761101</v>
      </c>
      <c r="L2111" s="20">
        <f t="shared" si="70"/>
        <v>1029.6464198625624</v>
      </c>
      <c r="M2111" s="20">
        <f t="shared" si="71"/>
        <v>-13.076509532306849</v>
      </c>
    </row>
    <row r="2112" spans="1:13" x14ac:dyDescent="0.2">
      <c r="A2112" s="23">
        <v>521.25</v>
      </c>
      <c r="B2112" s="20">
        <v>1023.14309336351</v>
      </c>
      <c r="C2112" s="20">
        <v>116.367515629381</v>
      </c>
      <c r="D2112" s="20">
        <v>309.673190568135</v>
      </c>
      <c r="E2112" s="20">
        <v>-0.19833291484247501</v>
      </c>
      <c r="F2112" s="20">
        <v>-0.114553132661822</v>
      </c>
      <c r="G2112" s="20">
        <v>0.229037912391266</v>
      </c>
      <c r="H2112" s="20">
        <v>5.8575412362188101E-3</v>
      </c>
      <c r="I2112" s="20">
        <v>179.77890834109101</v>
      </c>
      <c r="L2112" s="20">
        <f t="shared" si="70"/>
        <v>1029.7393787707676</v>
      </c>
      <c r="M2112" s="20">
        <f t="shared" si="71"/>
        <v>-13.077690110441059</v>
      </c>
    </row>
    <row r="2113" spans="1:13" x14ac:dyDescent="0.2">
      <c r="A2113" s="23">
        <v>521.5</v>
      </c>
      <c r="B2113" s="20">
        <v>1023.23822828918</v>
      </c>
      <c r="C2113" s="20">
        <v>116.35117200220699</v>
      </c>
      <c r="D2113" s="20">
        <v>309.63245353137899</v>
      </c>
      <c r="E2113" s="20">
        <v>-0.19820039025462599</v>
      </c>
      <c r="F2113" s="20">
        <v>-0.11369662589616999</v>
      </c>
      <c r="G2113" s="20">
        <v>0.228495771158373</v>
      </c>
      <c r="H2113" s="20">
        <v>5.8450806259778198E-3</v>
      </c>
      <c r="I2113" s="20">
        <v>179.82611967994799</v>
      </c>
      <c r="L2113" s="20">
        <f t="shared" si="70"/>
        <v>1029.8320576961407</v>
      </c>
      <c r="M2113" s="20">
        <f t="shared" si="71"/>
        <v>-13.078867132793304</v>
      </c>
    </row>
    <row r="2114" spans="1:13" x14ac:dyDescent="0.2">
      <c r="A2114" s="23">
        <v>521.75</v>
      </c>
      <c r="B2114" s="20">
        <v>1023.33310150359</v>
      </c>
      <c r="C2114" s="20">
        <v>116.334653616456</v>
      </c>
      <c r="D2114" s="20">
        <v>309.59166492084199</v>
      </c>
      <c r="E2114" s="20">
        <v>-0.198068102939083</v>
      </c>
      <c r="F2114" s="20">
        <v>-0.11284194696859801</v>
      </c>
      <c r="G2114" s="20">
        <v>0.22795674676909899</v>
      </c>
      <c r="H2114" s="20">
        <v>5.8326614551102197E-3</v>
      </c>
      <c r="I2114" s="20">
        <v>179.873140552579</v>
      </c>
      <c r="L2114" s="20">
        <f t="shared" si="70"/>
        <v>1029.9244575526002</v>
      </c>
      <c r="M2114" s="20">
        <f t="shared" si="71"/>
        <v>-13.080040610970341</v>
      </c>
    </row>
    <row r="2115" spans="1:13" x14ac:dyDescent="0.2">
      <c r="A2115" s="23">
        <v>522</v>
      </c>
      <c r="B2115" s="20">
        <v>1023.42771388596</v>
      </c>
      <c r="C2115" s="20">
        <v>116.31796070696301</v>
      </c>
      <c r="D2115" s="20">
        <v>309.55082461201403</v>
      </c>
      <c r="E2115" s="20">
        <v>-0.19793605013066401</v>
      </c>
      <c r="F2115" s="20">
        <v>-0.111989090083429</v>
      </c>
      <c r="G2115" s="20">
        <v>0.22742083510321301</v>
      </c>
      <c r="H2115" s="20">
        <v>5.8202839230246002E-3</v>
      </c>
      <c r="I2115" s="20">
        <v>179.919970276702</v>
      </c>
      <c r="L2115" s="20">
        <f t="shared" si="70"/>
        <v>1030.0165792514551</v>
      </c>
      <c r="M2115" s="20">
        <f t="shared" si="71"/>
        <v>-13.081210556545805</v>
      </c>
    </row>
    <row r="2116" spans="1:13" x14ac:dyDescent="0.2">
      <c r="A2116" s="23">
        <v>522.25</v>
      </c>
      <c r="B2116" s="20">
        <v>1023.52206631282</v>
      </c>
      <c r="C2116" s="20">
        <v>116.301093508466</v>
      </c>
      <c r="D2116" s="20">
        <v>309.50993248048098</v>
      </c>
      <c r="E2116" s="20">
        <v>-0.197804229036981</v>
      </c>
      <c r="F2116" s="20">
        <v>-0.11113804941970901</v>
      </c>
      <c r="G2116" s="20">
        <v>0.226888031975536</v>
      </c>
      <c r="H2116" s="20">
        <v>5.8079482281688201E-3</v>
      </c>
      <c r="I2116" s="20">
        <v>179.96660816929699</v>
      </c>
      <c r="L2116" s="20">
        <f t="shared" si="70"/>
        <v>1030.1084237013742</v>
      </c>
      <c r="M2116" s="20">
        <f t="shared" si="71"/>
        <v>-13.082376981059781</v>
      </c>
    </row>
    <row r="2117" spans="1:13" x14ac:dyDescent="0.2">
      <c r="A2117" s="23">
        <v>522.5</v>
      </c>
      <c r="B2117" s="20">
        <v>1023.61615965803</v>
      </c>
      <c r="C2117" s="20">
        <v>116.28405225559899</v>
      </c>
      <c r="D2117" s="20">
        <v>309.46898840192199</v>
      </c>
      <c r="E2117" s="20">
        <v>-0.19767263683835801</v>
      </c>
      <c r="F2117" s="20">
        <v>-0.110288819131377</v>
      </c>
      <c r="G2117" s="20">
        <v>0.226358333135811</v>
      </c>
      <c r="H2117" s="20">
        <v>5.7956545680437196E-3</v>
      </c>
      <c r="I2117" s="20">
        <v>180.01305354655301</v>
      </c>
      <c r="L2117" s="20">
        <f t="shared" si="70"/>
        <v>1030.1999918084045</v>
      </c>
      <c r="M2117" s="20">
        <f t="shared" si="71"/>
        <v>-13.083539896019072</v>
      </c>
    </row>
    <row r="2118" spans="1:13" x14ac:dyDescent="0.2">
      <c r="A2118" s="23">
        <v>522.75</v>
      </c>
      <c r="B2118" s="20">
        <v>1023.70999479272</v>
      </c>
      <c r="C2118" s="20">
        <v>116.266837182887</v>
      </c>
      <c r="D2118" s="20">
        <v>309.42799225211297</v>
      </c>
      <c r="E2118" s="20">
        <v>-0.19754127068774099</v>
      </c>
      <c r="F2118" s="20">
        <v>-0.109441393347444</v>
      </c>
      <c r="G2118" s="20">
        <v>0.22583173426858599</v>
      </c>
      <c r="H2118" s="20">
        <v>5.7834031392166698E-3</v>
      </c>
      <c r="I2118" s="20">
        <v>180.05930572381101</v>
      </c>
      <c r="L2118" s="20">
        <f t="shared" si="70"/>
        <v>1030.2912844759112</v>
      </c>
      <c r="M2118" s="20">
        <f t="shared" si="71"/>
        <v>-13.084699312896412</v>
      </c>
    </row>
    <row r="2119" spans="1:13" x14ac:dyDescent="0.2">
      <c r="A2119" s="23">
        <v>523</v>
      </c>
      <c r="B2119" s="20">
        <v>1023.80357258531</v>
      </c>
      <c r="C2119" s="20">
        <v>116.249448524738</v>
      </c>
      <c r="D2119" s="20">
        <v>309.38694390692802</v>
      </c>
      <c r="E2119" s="20">
        <v>-0.19741012771060801</v>
      </c>
      <c r="F2119" s="20">
        <v>-0.108595766172167</v>
      </c>
      <c r="G2119" s="20">
        <v>0.22530823099309599</v>
      </c>
      <c r="H2119" s="20">
        <v>5.7711941373354697E-3</v>
      </c>
      <c r="I2119" s="20">
        <v>180.10536401550999</v>
      </c>
      <c r="L2119" s="20">
        <f t="shared" si="70"/>
        <v>1030.3823026045964</v>
      </c>
      <c r="M2119" s="20">
        <f t="shared" si="71"/>
        <v>-13.085855243130718</v>
      </c>
    </row>
    <row r="2120" spans="1:13" x14ac:dyDescent="0.2">
      <c r="A2120" s="23">
        <v>523.25</v>
      </c>
      <c r="B2120" s="20">
        <v>1023.89689390148</v>
      </c>
      <c r="C2120" s="20">
        <v>116.231886515436</v>
      </c>
      <c r="D2120" s="20">
        <v>309.34584324234299</v>
      </c>
      <c r="E2120" s="20">
        <v>-0.197279205004873</v>
      </c>
      <c r="F2120" s="20">
        <v>-0.107751931685222</v>
      </c>
      <c r="G2120" s="20">
        <v>0.224787818863148</v>
      </c>
      <c r="H2120" s="20">
        <v>5.7590277571422698E-3</v>
      </c>
      <c r="I2120" s="20">
        <v>180.15122773512999</v>
      </c>
      <c r="L2120" s="20">
        <f t="shared" si="70"/>
        <v>1030.4730470924681</v>
      </c>
      <c r="M2120" s="20">
        <f t="shared" si="71"/>
        <v>-13.087007698126692</v>
      </c>
    </row>
    <row r="2121" spans="1:13" x14ac:dyDescent="0.2">
      <c r="A2121" s="23">
        <v>523.5</v>
      </c>
      <c r="B2121" s="20">
        <v>1023.9899596041701</v>
      </c>
      <c r="C2121" s="20">
        <v>116.214151389134</v>
      </c>
      <c r="D2121" s="20">
        <v>309.30469013443701</v>
      </c>
      <c r="E2121" s="20">
        <v>-0.197148499640796</v>
      </c>
      <c r="F2121" s="20">
        <v>-0.106909883941876</v>
      </c>
      <c r="G2121" s="20">
        <v>0.22427049336701099</v>
      </c>
      <c r="H2121" s="20">
        <v>5.7469041924877503E-3</v>
      </c>
      <c r="I2121" s="20">
        <v>180.19689619513599</v>
      </c>
      <c r="L2121" s="20">
        <f t="shared" si="70"/>
        <v>1030.5635188348394</v>
      </c>
      <c r="M2121" s="20">
        <f t="shared" si="71"/>
        <v>-13.088156689254815</v>
      </c>
    </row>
    <row r="2122" spans="1:13" x14ac:dyDescent="0.2">
      <c r="A2122" s="23">
        <v>523.75</v>
      </c>
      <c r="B2122" s="20">
        <v>1024.0827705535301</v>
      </c>
      <c r="C2122" s="20">
        <v>116.19624337984899</v>
      </c>
      <c r="D2122" s="20">
        <v>309.26348445939101</v>
      </c>
      <c r="E2122" s="20">
        <v>-0.19701800866088501</v>
      </c>
      <c r="F2122" s="20">
        <v>-0.106069616973161</v>
      </c>
      <c r="G2122" s="20">
        <v>0.223756249927312</v>
      </c>
      <c r="H2122" s="20">
        <v>5.7348236363453202E-3</v>
      </c>
      <c r="I2122" s="20">
        <v>180.24236870692499</v>
      </c>
      <c r="L2122" s="20">
        <f t="shared" si="70"/>
        <v>1030.6537187242782</v>
      </c>
      <c r="M2122" s="20">
        <f t="shared" si="71"/>
        <v>-13.089302227850691</v>
      </c>
    </row>
    <row r="2123" spans="1:13" x14ac:dyDescent="0.2">
      <c r="A2123" s="23">
        <v>524</v>
      </c>
      <c r="B2123" s="20">
        <v>1024.1753276069701</v>
      </c>
      <c r="C2123" s="20">
        <v>116.17816272145301</v>
      </c>
      <c r="D2123" s="20">
        <v>309.22222609349302</v>
      </c>
      <c r="E2123" s="20">
        <v>-0.19688772907979399</v>
      </c>
      <c r="F2123" s="20">
        <v>-0.105231124786043</v>
      </c>
      <c r="G2123" s="20">
        <v>0.22324508390093201</v>
      </c>
      <c r="H2123" s="20">
        <v>5.7227862808256003E-3</v>
      </c>
      <c r="I2123" s="20">
        <v>180.28764458076401</v>
      </c>
      <c r="L2123" s="20">
        <f t="shared" si="70"/>
        <v>1030.7436476506548</v>
      </c>
      <c r="M2123" s="20">
        <f t="shared" si="71"/>
        <v>-13.090444325215678</v>
      </c>
    </row>
    <row r="2124" spans="1:13" x14ac:dyDescent="0.2">
      <c r="A2124" s="23">
        <v>524.25</v>
      </c>
      <c r="B2124" s="20">
        <v>1024.26763161909</v>
      </c>
      <c r="C2124" s="20">
        <v>116.15990964766701</v>
      </c>
      <c r="D2124" s="20">
        <v>309.18091491313999</v>
      </c>
      <c r="E2124" s="20">
        <v>-0.196757657884227</v>
      </c>
      <c r="F2124" s="20">
        <v>-0.104394401363589</v>
      </c>
      <c r="G2124" s="20">
        <v>0.222736990578908</v>
      </c>
      <c r="H2124" s="20">
        <v>5.71079231719087E-3</v>
      </c>
      <c r="I2124" s="20">
        <v>180.33272312573899</v>
      </c>
      <c r="L2124" s="20">
        <f t="shared" si="70"/>
        <v>1030.8333065010725</v>
      </c>
      <c r="M2124" s="20">
        <f t="shared" si="71"/>
        <v>-13.091582992615988</v>
      </c>
    </row>
    <row r="2125" spans="1:13" x14ac:dyDescent="0.2">
      <c r="A2125" s="23">
        <v>524.5</v>
      </c>
      <c r="B2125" s="20">
        <v>1024.3596834416801</v>
      </c>
      <c r="C2125" s="20">
        <v>116.141484392058</v>
      </c>
      <c r="D2125" s="20">
        <v>309.13955079483901</v>
      </c>
      <c r="E2125" s="20">
        <v>-0.19662779203283301</v>
      </c>
      <c r="F2125" s="20">
        <v>-0.103559440665142</v>
      </c>
      <c r="G2125" s="20">
        <v>0.222231965186343</v>
      </c>
      <c r="H2125" s="20">
        <v>5.6988419358699298E-3</v>
      </c>
      <c r="I2125" s="20">
        <v>180.377603649695</v>
      </c>
      <c r="L2125" s="20">
        <f t="shared" si="70"/>
        <v>1030.9226961598672</v>
      </c>
      <c r="M2125" s="20">
        <f t="shared" si="71"/>
        <v>-13.092718241282686</v>
      </c>
    </row>
    <row r="2126" spans="1:13" x14ac:dyDescent="0.2">
      <c r="A2126" s="23">
        <v>524.75</v>
      </c>
      <c r="B2126" s="20">
        <v>1024.4514839237299</v>
      </c>
      <c r="C2126" s="20">
        <v>116.122887188024</v>
      </c>
      <c r="D2126" s="20">
        <v>309.09813361520798</v>
      </c>
      <c r="E2126" s="20">
        <v>-0.19649812845609901</v>
      </c>
      <c r="F2126" s="20">
        <v>-0.102726236626482</v>
      </c>
      <c r="G2126" s="20">
        <v>0.22173000288231101</v>
      </c>
      <c r="H2126" s="20">
        <v>5.6869353264729196E-3</v>
      </c>
      <c r="I2126" s="20">
        <v>180.42228545918101</v>
      </c>
      <c r="L2126" s="20">
        <f t="shared" si="70"/>
        <v>1031.0118175086136</v>
      </c>
      <c r="M2126" s="20">
        <f t="shared" si="71"/>
        <v>-13.093850082411768</v>
      </c>
    </row>
    <row r="2127" spans="1:13" x14ac:dyDescent="0.2">
      <c r="A2127" s="23">
        <v>525</v>
      </c>
      <c r="B2127" s="20">
        <v>1024.54303391137</v>
      </c>
      <c r="C2127" s="20">
        <v>116.104118268796</v>
      </c>
      <c r="D2127" s="20">
        <v>309.05666325097798</v>
      </c>
      <c r="E2127" s="20">
        <v>-0.19636866405624701</v>
      </c>
      <c r="F2127" s="20">
        <v>-0.101894783159997</v>
      </c>
      <c r="G2127" s="20">
        <v>0.22123109875977601</v>
      </c>
      <c r="H2127" s="20">
        <v>5.6750726778063499E-3</v>
      </c>
      <c r="I2127" s="20">
        <v>180.46676785938999</v>
      </c>
      <c r="L2127" s="20">
        <f t="shared" si="70"/>
        <v>1031.1006714260684</v>
      </c>
      <c r="M2127" s="20">
        <f t="shared" si="71"/>
        <v>-13.094978527163448</v>
      </c>
    </row>
    <row r="2128" spans="1:13" x14ac:dyDescent="0.2">
      <c r="A2128" s="23">
        <v>525.25</v>
      </c>
      <c r="B2128" s="20">
        <v>1024.6343342479099</v>
      </c>
      <c r="C2128" s="20">
        <v>116.085177867426</v>
      </c>
      <c r="D2128" s="20">
        <v>309.015139578998</v>
      </c>
      <c r="E2128" s="20">
        <v>-0.19623939570712201</v>
      </c>
      <c r="F2128" s="20">
        <v>-0.101065074154844</v>
      </c>
      <c r="G2128" s="20">
        <v>0.22073524784551399</v>
      </c>
      <c r="H2128" s="20">
        <v>5.6632541778882202E-3</v>
      </c>
      <c r="I2128" s="20">
        <v>180.51105015410599</v>
      </c>
      <c r="L2128" s="20">
        <f t="shared" si="70"/>
        <v>1031.189258788206</v>
      </c>
      <c r="M2128" s="20">
        <f t="shared" si="71"/>
        <v>-13.096103586662601</v>
      </c>
    </row>
    <row r="2129" spans="1:13" x14ac:dyDescent="0.2">
      <c r="A2129" s="23">
        <v>525.5</v>
      </c>
      <c r="B2129" s="20">
        <v>1024.7253857738001</v>
      </c>
      <c r="C2129" s="20">
        <v>116.06606621678399</v>
      </c>
      <c r="D2129" s="20">
        <v>308.97356247623298</v>
      </c>
      <c r="E2129" s="20">
        <v>-0.19611032025408401</v>
      </c>
      <c r="F2129" s="20">
        <v>-0.10023710347712</v>
      </c>
      <c r="G2129" s="20">
        <v>0.22024244510003499</v>
      </c>
      <c r="H2129" s="20">
        <v>5.6514800139634801E-3</v>
      </c>
      <c r="I2129" s="20">
        <v>180.555131645644</v>
      </c>
      <c r="L2129" s="20">
        <f t="shared" si="70"/>
        <v>1031.2775804681794</v>
      </c>
      <c r="M2129" s="20">
        <f t="shared" si="71"/>
        <v>-13.097225271998267</v>
      </c>
    </row>
    <row r="2130" spans="1:13" x14ac:dyDescent="0.2">
      <c r="A2130" s="23">
        <v>525.75</v>
      </c>
      <c r="B2130" s="20">
        <v>1024.8161893265999</v>
      </c>
      <c r="C2130" s="20">
        <v>116.046783549548</v>
      </c>
      <c r="D2130" s="20">
        <v>308.93193181976699</v>
      </c>
      <c r="E2130" s="20">
        <v>-0.19598143451389</v>
      </c>
      <c r="F2130" s="20">
        <v>-9.9410864970018997E-2</v>
      </c>
      <c r="G2130" s="20">
        <v>0.219752685417515</v>
      </c>
      <c r="H2130" s="20">
        <v>5.6397503725196E-3</v>
      </c>
      <c r="I2130" s="20">
        <v>180.599011634791</v>
      </c>
      <c r="L2130" s="20">
        <f t="shared" si="70"/>
        <v>1031.3656373362887</v>
      </c>
      <c r="M2130" s="20">
        <f t="shared" si="71"/>
        <v>-13.098343594223261</v>
      </c>
    </row>
    <row r="2131" spans="1:13" x14ac:dyDescent="0.2">
      <c r="A2131" s="23">
        <v>526</v>
      </c>
      <c r="B2131" s="20">
        <v>1024.9067457409999</v>
      </c>
      <c r="C2131" s="20">
        <v>116.027330098199</v>
      </c>
      <c r="D2131" s="20">
        <v>308.890247486806</v>
      </c>
      <c r="E2131" s="20">
        <v>-0.19585273527458399</v>
      </c>
      <c r="F2131" s="20">
        <v>-9.8586352453998397E-2</v>
      </c>
      <c r="G2131" s="20">
        <v>0.21926596362573</v>
      </c>
      <c r="H2131" s="20">
        <v>5.6280654393020104E-3</v>
      </c>
      <c r="I2131" s="20">
        <v>180.64268942075199</v>
      </c>
      <c r="L2131" s="20">
        <f t="shared" si="70"/>
        <v>1031.4534302600011</v>
      </c>
      <c r="M2131" s="20">
        <f t="shared" si="71"/>
        <v>-13.099458564354412</v>
      </c>
    </row>
    <row r="2132" spans="1:13" x14ac:dyDescent="0.2">
      <c r="A2132" s="23">
        <v>526.25</v>
      </c>
      <c r="B2132" s="20">
        <v>1024.9970558487701</v>
      </c>
      <c r="C2132" s="20">
        <v>116.007706095014</v>
      </c>
      <c r="D2132" s="20">
        <v>308.84850935468</v>
      </c>
      <c r="E2132" s="20">
        <v>-0.19572421929537701</v>
      </c>
      <c r="F2132" s="20">
        <v>-9.7763559726938801E-2</v>
      </c>
      <c r="G2132" s="20">
        <v>0.21878227448599999</v>
      </c>
      <c r="H2132" s="20">
        <v>5.6164253993302004E-3</v>
      </c>
      <c r="I2132" s="20">
        <v>180.68616430109</v>
      </c>
      <c r="L2132" s="20">
        <f t="shared" si="70"/>
        <v>1031.5409601038989</v>
      </c>
      <c r="M2132" s="20">
        <f t="shared" si="71"/>
        <v>-13.100570193371919</v>
      </c>
    </row>
    <row r="2133" spans="1:13" x14ac:dyDescent="0.2">
      <c r="A2133" s="23">
        <v>526.5</v>
      </c>
      <c r="B2133" s="20">
        <v>1025.08712047879</v>
      </c>
      <c r="C2133" s="20">
        <v>115.987911772063</v>
      </c>
      <c r="D2133" s="20">
        <v>308.80671730084401</v>
      </c>
      <c r="E2133" s="20">
        <v>-0.195595883306527</v>
      </c>
      <c r="F2133" s="20">
        <v>-9.6942480564304795E-2</v>
      </c>
      <c r="G2133" s="20">
        <v>0.21830161269313</v>
      </c>
      <c r="H2133" s="20">
        <v>5.6048304369135703E-3</v>
      </c>
      <c r="I2133" s="20">
        <v>180.72943557166499</v>
      </c>
      <c r="L2133" s="20">
        <f t="shared" si="70"/>
        <v>1031.6282277297094</v>
      </c>
      <c r="M2133" s="20">
        <f t="shared" si="71"/>
        <v>-13.101678492219715</v>
      </c>
    </row>
    <row r="2134" spans="1:13" x14ac:dyDescent="0.2">
      <c r="A2134" s="23">
        <v>526.75</v>
      </c>
      <c r="B2134" s="20">
        <v>1025.17694045698</v>
      </c>
      <c r="C2134" s="20">
        <v>115.967947361195</v>
      </c>
      <c r="D2134" s="20">
        <v>308.76487120287902</v>
      </c>
      <c r="E2134" s="20">
        <v>-0.19546772400922199</v>
      </c>
      <c r="F2134" s="20">
        <v>-9.6123108719304406E-2</v>
      </c>
      <c r="G2134" s="20">
        <v>0.21782397287536701</v>
      </c>
      <c r="H2134" s="20">
        <v>5.5932807356676804E-3</v>
      </c>
      <c r="I2134" s="20">
        <v>180.772502526582</v>
      </c>
      <c r="L2134" s="20">
        <f t="shared" si="70"/>
        <v>1031.7152339962336</v>
      </c>
      <c r="M2134" s="20">
        <f t="shared" si="71"/>
        <v>-13.102783471804576</v>
      </c>
    </row>
    <row r="2135" spans="1:13" x14ac:dyDescent="0.2">
      <c r="A2135" s="23">
        <v>527</v>
      </c>
      <c r="B2135" s="20">
        <v>1025.26651660637</v>
      </c>
      <c r="C2135" s="20">
        <v>115.94781309403901</v>
      </c>
      <c r="D2135" s="20">
        <v>308.72297093849699</v>
      </c>
      <c r="E2135" s="20">
        <v>-0.19533973807544899</v>
      </c>
      <c r="F2135" s="20">
        <v>-9.5305437923047298E-2</v>
      </c>
      <c r="G2135" s="20">
        <v>0.21734934959435401</v>
      </c>
      <c r="H2135" s="20">
        <v>5.5817764785305998E-3</v>
      </c>
      <c r="I2135" s="20">
        <v>180.81536445812799</v>
      </c>
      <c r="L2135" s="20">
        <f t="shared" si="70"/>
        <v>1031.8019797594161</v>
      </c>
      <c r="M2135" s="20">
        <f t="shared" si="71"/>
        <v>-13.103885142997001</v>
      </c>
    </row>
    <row r="2136" spans="1:13" x14ac:dyDescent="0.2">
      <c r="A2136" s="23">
        <v>527.25</v>
      </c>
      <c r="B2136" s="20">
        <v>1025.3558497469701</v>
      </c>
      <c r="C2136" s="20">
        <v>115.927509201994</v>
      </c>
      <c r="D2136" s="20">
        <v>308.68101638553799</v>
      </c>
      <c r="E2136" s="20">
        <v>-0.195211922147876</v>
      </c>
      <c r="F2136" s="20">
        <v>-9.4489461884702197E-2</v>
      </c>
      <c r="G2136" s="20">
        <v>0.21687773734509699</v>
      </c>
      <c r="H2136" s="20">
        <v>5.5703178477795002E-3</v>
      </c>
      <c r="I2136" s="20">
        <v>180.85802065671399</v>
      </c>
      <c r="L2136" s="20">
        <f t="shared" si="70"/>
        <v>1031.8884658722131</v>
      </c>
      <c r="M2136" s="20">
        <f t="shared" si="71"/>
        <v>-13.104983516629526</v>
      </c>
    </row>
    <row r="2137" spans="1:13" x14ac:dyDescent="0.2">
      <c r="A2137" s="23">
        <v>527.5</v>
      </c>
      <c r="B2137" s="20">
        <v>1025.4449406958799</v>
      </c>
      <c r="C2137" s="20">
        <v>115.907035916222</v>
      </c>
      <c r="D2137" s="20">
        <v>308.63900742197899</v>
      </c>
      <c r="E2137" s="20">
        <v>-0.19508427283971999</v>
      </c>
      <c r="F2137" s="20">
        <v>-9.3675174291652896E-2</v>
      </c>
      <c r="G2137" s="20">
        <v>0.216409130555931</v>
      </c>
      <c r="H2137" s="20">
        <v>5.5589050250472302E-3</v>
      </c>
      <c r="I2137" s="20">
        <v>180.90047041081601</v>
      </c>
      <c r="L2137" s="20">
        <f t="shared" si="70"/>
        <v>1031.9746931847028</v>
      </c>
      <c r="M2137" s="20">
        <f t="shared" si="71"/>
        <v>-13.106078603498151</v>
      </c>
    </row>
    <row r="2138" spans="1:13" x14ac:dyDescent="0.2">
      <c r="A2138" s="23">
        <v>527.75</v>
      </c>
      <c r="B2138" s="20">
        <v>1025.5337902671899</v>
      </c>
      <c r="C2138" s="20">
        <v>115.886393467643</v>
      </c>
      <c r="D2138" s="20">
        <v>308.596943925929</v>
      </c>
      <c r="E2138" s="20">
        <v>-0.194956786734619</v>
      </c>
      <c r="F2138" s="20">
        <v>-9.2862568809653698E-2</v>
      </c>
      <c r="G2138" s="20">
        <v>0.215943523588496</v>
      </c>
      <c r="H2138" s="20">
        <v>5.5475381913392598E-3</v>
      </c>
      <c r="I2138" s="20">
        <v>180.94271300691901</v>
      </c>
      <c r="L2138" s="20">
        <f t="shared" si="70"/>
        <v>1032.0606625439834</v>
      </c>
      <c r="M2138" s="20">
        <f t="shared" si="71"/>
        <v>-13.107170414361018</v>
      </c>
    </row>
    <row r="2139" spans="1:13" x14ac:dyDescent="0.2">
      <c r="A2139" s="23">
        <v>528</v>
      </c>
      <c r="B2139" s="20">
        <v>1025.6223992719799</v>
      </c>
      <c r="C2139" s="20">
        <v>115.865582086929</v>
      </c>
      <c r="D2139" s="20">
        <v>308.55482577563498</v>
      </c>
      <c r="E2139" s="20">
        <v>-0.19482946038649801</v>
      </c>
      <c r="F2139" s="20">
        <v>-9.20516390829835E-2</v>
      </c>
      <c r="G2139" s="20">
        <v>0.21548091073772199</v>
      </c>
      <c r="H2139" s="20">
        <v>5.5362175270507897E-3</v>
      </c>
      <c r="I2139" s="20">
        <v>180.98474772945301</v>
      </c>
      <c r="L2139" s="20">
        <f t="shared" si="70"/>
        <v>1032.1463747941741</v>
      </c>
      <c r="M2139" s="20">
        <f t="shared" si="71"/>
        <v>-13.108258959938446</v>
      </c>
    </row>
    <row r="2140" spans="1:13" x14ac:dyDescent="0.2">
      <c r="A2140" s="23">
        <v>528.25</v>
      </c>
      <c r="B2140" s="20">
        <v>1025.7107685183501</v>
      </c>
      <c r="C2140" s="20">
        <v>115.844602004495</v>
      </c>
      <c r="D2140" s="20">
        <v>308.51265284948198</v>
      </c>
      <c r="E2140" s="20">
        <v>-0.19470229031944</v>
      </c>
      <c r="F2140" s="20">
        <v>-9.1242378734599103E-2</v>
      </c>
      <c r="G2140" s="20">
        <v>0.21502128623181399</v>
      </c>
      <c r="H2140" s="20">
        <v>5.5249432119840198E-3</v>
      </c>
      <c r="I2140" s="20">
        <v>181.02657386073801</v>
      </c>
      <c r="L2140" s="20">
        <f t="shared" ref="L2140:L2203" si="72">SQRT(B2140^2+C2140^2)</f>
        <v>1032.2318307764415</v>
      </c>
      <c r="M2140" s="20">
        <f t="shared" ref="M2140:M2203" si="73">-L2140/A$25*100</f>
        <v>-13.109344250913244</v>
      </c>
    </row>
    <row r="2141" spans="1:13" x14ac:dyDescent="0.2">
      <c r="A2141" s="23">
        <v>528.5</v>
      </c>
      <c r="B2141" s="20">
        <v>1025.79889881137</v>
      </c>
      <c r="C2141" s="20">
        <v>115.823453450497</v>
      </c>
      <c r="D2141" s="20">
        <v>308.470425025998</v>
      </c>
      <c r="E2141" s="20">
        <v>-0.19457527302754499</v>
      </c>
      <c r="F2141" s="20">
        <v>-9.0434781366286895E-2</v>
      </c>
      <c r="G2141" s="20">
        <v>0.214564644232249</v>
      </c>
      <c r="H2141" s="20">
        <v>5.51371542536547E-3</v>
      </c>
      <c r="I2141" s="20">
        <v>181.06819068092301</v>
      </c>
      <c r="L2141" s="20">
        <f t="shared" si="72"/>
        <v>1032.3170313289511</v>
      </c>
      <c r="M2141" s="20">
        <f t="shared" si="73"/>
        <v>-13.11042629793012</v>
      </c>
    </row>
    <row r="2142" spans="1:13" x14ac:dyDescent="0.2">
      <c r="A2142" s="23">
        <v>528.75</v>
      </c>
      <c r="B2142" s="20">
        <v>1025.88679095305</v>
      </c>
      <c r="C2142" s="20">
        <v>115.80213665482</v>
      </c>
      <c r="D2142" s="20">
        <v>308.42814218385098</v>
      </c>
      <c r="E2142" s="20">
        <v>-0.19444840497479299</v>
      </c>
      <c r="F2142" s="20">
        <v>-8.9628840558814496E-2</v>
      </c>
      <c r="G2142" s="20">
        <v>0.214110978833778</v>
      </c>
      <c r="H2142" s="20">
        <v>5.5025343458636597E-3</v>
      </c>
      <c r="I2142" s="20">
        <v>181.109597467925</v>
      </c>
      <c r="L2142" s="20">
        <f t="shared" si="72"/>
        <v>1032.401977286836</v>
      </c>
      <c r="M2142" s="20">
        <f t="shared" si="73"/>
        <v>-13.111505111595262</v>
      </c>
    </row>
    <row r="2143" spans="1:13" x14ac:dyDescent="0.2">
      <c r="A2143" s="23">
        <v>529</v>
      </c>
      <c r="B2143" s="20">
        <v>1025.9744457423899</v>
      </c>
      <c r="C2143" s="20">
        <v>115.780651847078</v>
      </c>
      <c r="D2143" s="20">
        <v>308.38580420185502</v>
      </c>
      <c r="E2143" s="20">
        <v>-0.19432168259490601</v>
      </c>
      <c r="F2143" s="20">
        <v>-8.8824549872079994E-2</v>
      </c>
      <c r="G2143" s="20">
        <v>0.21366028406442999</v>
      </c>
      <c r="H2143" s="20">
        <v>5.4914001516070104E-3</v>
      </c>
      <c r="I2143" s="20">
        <v>181.15079349737201</v>
      </c>
      <c r="L2143" s="20">
        <f t="shared" si="72"/>
        <v>1032.4866694822449</v>
      </c>
      <c r="M2143" s="20">
        <f t="shared" si="73"/>
        <v>-13.112580702476961</v>
      </c>
    </row>
    <row r="2144" spans="1:13" x14ac:dyDescent="0.2">
      <c r="A2144" s="23">
        <v>529.25</v>
      </c>
      <c r="B2144" s="20">
        <v>1026.06186397529</v>
      </c>
      <c r="C2144" s="20">
        <v>115.758999256601</v>
      </c>
      <c r="D2144" s="20">
        <v>308.34341095897099</v>
      </c>
      <c r="E2144" s="20">
        <v>-0.19419510229120501</v>
      </c>
      <c r="F2144" s="20">
        <v>-8.8021902845261804E-2</v>
      </c>
      <c r="G2144" s="20">
        <v>0.21321255388553501</v>
      </c>
      <c r="H2144" s="20">
        <v>5.4803130202016404E-3</v>
      </c>
      <c r="I2144" s="20">
        <v>181.19177804254099</v>
      </c>
      <c r="L2144" s="20">
        <f t="shared" si="72"/>
        <v>1032.5711087442533</v>
      </c>
      <c r="M2144" s="20">
        <f t="shared" si="73"/>
        <v>-13.11365308110447</v>
      </c>
    </row>
    <row r="2145" spans="1:13" x14ac:dyDescent="0.2">
      <c r="A2145" s="23">
        <v>529.5</v>
      </c>
      <c r="B2145" s="20">
        <v>1026.1490464445801</v>
      </c>
      <c r="C2145" s="20">
        <v>115.737179112435</v>
      </c>
      <c r="D2145" s="20">
        <v>308.30096233430902</v>
      </c>
      <c r="E2145" s="20">
        <v>-0.19406866043646501</v>
      </c>
      <c r="F2145" s="20">
        <v>-8.7220892996965907E-2</v>
      </c>
      <c r="G2145" s="20">
        <v>0.212767782191741</v>
      </c>
      <c r="H2145" s="20">
        <v>5.4692731287497801E-3</v>
      </c>
      <c r="I2145" s="20">
        <v>181.232550374298</v>
      </c>
      <c r="L2145" s="20">
        <f t="shared" si="72"/>
        <v>1032.6552958988905</v>
      </c>
      <c r="M2145" s="20">
        <f t="shared" si="73"/>
        <v>-13.114722257968367</v>
      </c>
    </row>
    <row r="2146" spans="1:13" x14ac:dyDescent="0.2">
      <c r="A2146" s="23">
        <v>529.75</v>
      </c>
      <c r="B2146" s="20">
        <v>1026.2359939400301</v>
      </c>
      <c r="C2146" s="20">
        <v>115.715191643331</v>
      </c>
      <c r="D2146" s="20">
        <v>308.25845820712902</v>
      </c>
      <c r="E2146" s="20">
        <v>-0.19394235337276899</v>
      </c>
      <c r="F2146" s="20">
        <v>-8.6421513825372803E-2</v>
      </c>
      <c r="G2146" s="20">
        <v>0.21232596281104499</v>
      </c>
      <c r="H2146" s="20">
        <v>5.4582806538680598E-3</v>
      </c>
      <c r="I2146" s="20">
        <v>181.27310976104101</v>
      </c>
      <c r="L2146" s="20">
        <f t="shared" si="72"/>
        <v>1032.7392317691501</v>
      </c>
      <c r="M2146" s="20">
        <f t="shared" si="73"/>
        <v>-13.115788243520671</v>
      </c>
    </row>
    <row r="2147" spans="1:13" x14ac:dyDescent="0.2">
      <c r="A2147" s="23">
        <v>530</v>
      </c>
      <c r="B2147" s="20">
        <v>1026.32270724825</v>
      </c>
      <c r="C2147" s="20">
        <v>115.693037077741</v>
      </c>
      <c r="D2147" s="20">
        <v>308.21589845684298</v>
      </c>
      <c r="E2147" s="20">
        <v>-0.19381617741135901</v>
      </c>
      <c r="F2147" s="20">
        <v>-8.5623758808383604E-2</v>
      </c>
      <c r="G2147" s="20">
        <v>0.21188708950483001</v>
      </c>
      <c r="H2147" s="20">
        <v>5.4473357717061003E-3</v>
      </c>
      <c r="I2147" s="20">
        <v>181.313455468634</v>
      </c>
      <c r="L2147" s="20">
        <f t="shared" si="72"/>
        <v>1032.8229171748894</v>
      </c>
      <c r="M2147" s="20">
        <f t="shared" si="73"/>
        <v>-13.116851048173563</v>
      </c>
    </row>
    <row r="2148" spans="1:13" x14ac:dyDescent="0.2">
      <c r="A2148" s="23">
        <v>530.25</v>
      </c>
      <c r="B2148" s="20">
        <v>1026.4091871527901</v>
      </c>
      <c r="C2148" s="20">
        <v>115.670715643812</v>
      </c>
      <c r="D2148" s="20">
        <v>308.17328296301901</v>
      </c>
      <c r="E2148" s="20">
        <v>-0.19369012883248801</v>
      </c>
      <c r="F2148" s="20">
        <v>-8.4827621403764597E-2</v>
      </c>
      <c r="G2148" s="20">
        <v>0.211451155967912</v>
      </c>
      <c r="H2148" s="20">
        <v>5.4364386579652899E-3</v>
      </c>
      <c r="I2148" s="20">
        <v>181.35358676035099</v>
      </c>
      <c r="L2148" s="20">
        <f t="shared" si="72"/>
        <v>1032.9063529329283</v>
      </c>
      <c r="M2148" s="20">
        <f t="shared" si="73"/>
        <v>-13.117910682300661</v>
      </c>
    </row>
    <row r="2149" spans="1:13" x14ac:dyDescent="0.2">
      <c r="A2149" s="23">
        <v>530.5</v>
      </c>
      <c r="B2149" s="20">
        <v>1026.4954344340199</v>
      </c>
      <c r="C2149" s="20">
        <v>115.64822756937799</v>
      </c>
      <c r="D2149" s="20">
        <v>308.130611605382</v>
      </c>
      <c r="E2149" s="20">
        <v>-0.19356420388526199</v>
      </c>
      <c r="F2149" s="20">
        <v>-8.4033095049290907E-2</v>
      </c>
      <c r="G2149" s="20">
        <v>0.21101815582858899</v>
      </c>
      <c r="H2149" s="20">
        <v>5.4255894879178604E-3</v>
      </c>
      <c r="I2149" s="20">
        <v>181.39350289681701</v>
      </c>
      <c r="L2149" s="20">
        <f t="shared" si="72"/>
        <v>1032.989539856927</v>
      </c>
      <c r="M2149" s="20">
        <f t="shared" si="73"/>
        <v>-13.118967156235447</v>
      </c>
    </row>
    <row r="2150" spans="1:13" x14ac:dyDescent="0.2">
      <c r="A2150" s="23">
        <v>530.75</v>
      </c>
      <c r="B2150" s="20">
        <v>1026.5814498692</v>
      </c>
      <c r="C2150" s="20">
        <v>115.62557308195601</v>
      </c>
      <c r="D2150" s="20">
        <v>308.08788426381398</v>
      </c>
      <c r="E2150" s="20">
        <v>-0.193438398787493</v>
      </c>
      <c r="F2150" s="20">
        <v>-8.3240173162889203E-2</v>
      </c>
      <c r="G2150" s="20">
        <v>0.21058808264870299</v>
      </c>
      <c r="H2150" s="20">
        <v>5.4147884364259902E-3</v>
      </c>
      <c r="I2150" s="20">
        <v>181.43320313593901</v>
      </c>
      <c r="L2150" s="20">
        <f t="shared" si="72"/>
        <v>1033.0724787574584</v>
      </c>
      <c r="M2150" s="20">
        <f t="shared" si="73"/>
        <v>-13.120020480272201</v>
      </c>
    </row>
    <row r="2151" spans="1:13" x14ac:dyDescent="0.2">
      <c r="A2151" s="23">
        <v>531</v>
      </c>
      <c r="B2151" s="20">
        <v>1026.66723423241</v>
      </c>
      <c r="C2151" s="20">
        <v>115.602752408738</v>
      </c>
      <c r="D2151" s="20">
        <v>308.045100818359</v>
      </c>
      <c r="E2151" s="20">
        <v>-0.19331270972553599</v>
      </c>
      <c r="F2151" s="20">
        <v>-8.2448849142779501E-2</v>
      </c>
      <c r="G2151" s="20">
        <v>0.21016092992370899</v>
      </c>
      <c r="H2151" s="20">
        <v>5.4040356779613196E-3</v>
      </c>
      <c r="I2151" s="20">
        <v>181.472686732856</v>
      </c>
      <c r="L2151" s="20">
        <f t="shared" si="72"/>
        <v>1033.1551704419342</v>
      </c>
      <c r="M2151" s="20">
        <f t="shared" si="73"/>
        <v>-13.12107066466505</v>
      </c>
    </row>
    <row r="2152" spans="1:13" x14ac:dyDescent="0.2">
      <c r="A2152" s="23">
        <v>531.25</v>
      </c>
      <c r="B2152" s="20">
        <v>1026.7527882945701</v>
      </c>
      <c r="C2152" s="20">
        <v>115.579765776586</v>
      </c>
      <c r="D2152" s="20">
        <v>308.00226114922401</v>
      </c>
      <c r="E2152" s="20">
        <v>-0.193187132854132</v>
      </c>
      <c r="F2152" s="20">
        <v>-8.1659116367615095E-2</v>
      </c>
      <c r="G2152" s="20">
        <v>0.20973669108274701</v>
      </c>
      <c r="H2152" s="20">
        <v>5.3933313866243804E-3</v>
      </c>
      <c r="I2152" s="20">
        <v>181.51195293986899</v>
      </c>
      <c r="L2152" s="20">
        <f t="shared" si="72"/>
        <v>1033.2376157146259</v>
      </c>
      <c r="M2152" s="20">
        <f t="shared" si="73"/>
        <v>-13.122117719628237</v>
      </c>
    </row>
    <row r="2153" spans="1:13" x14ac:dyDescent="0.2">
      <c r="A2153" s="23">
        <v>531.5</v>
      </c>
      <c r="B2153" s="20">
        <v>1026.8381128234</v>
      </c>
      <c r="C2153" s="20">
        <v>115.556613412025</v>
      </c>
      <c r="D2153" s="20">
        <v>307.95936513677901</v>
      </c>
      <c r="E2153" s="20">
        <v>-0.19306166429624799</v>
      </c>
      <c r="F2153" s="20">
        <v>-8.0870968196622997E-2</v>
      </c>
      <c r="G2153" s="20">
        <v>0.20931535948873001</v>
      </c>
      <c r="H2153" s="20">
        <v>5.3826757361647402E-3</v>
      </c>
      <c r="I2153" s="20">
        <v>181.55100100638401</v>
      </c>
      <c r="L2153" s="20">
        <f t="shared" si="72"/>
        <v>1033.319815376623</v>
      </c>
      <c r="M2153" s="20">
        <f t="shared" si="73"/>
        <v>-13.123161655335606</v>
      </c>
    </row>
    <row r="2154" spans="1:13" x14ac:dyDescent="0.2">
      <c r="A2154" s="23">
        <v>531.75</v>
      </c>
      <c r="B2154" s="20">
        <v>1026.9232085834201</v>
      </c>
      <c r="C2154" s="20">
        <v>115.533295541237</v>
      </c>
      <c r="D2154" s="20">
        <v>307.91641266156302</v>
      </c>
      <c r="E2154" s="20">
        <v>-0.19293630014291299</v>
      </c>
      <c r="F2154" s="20">
        <v>-8.0084397969741303E-2</v>
      </c>
      <c r="G2154" s="20">
        <v>0.20889692843843299</v>
      </c>
      <c r="H2154" s="20">
        <v>5.3720689000007499E-3</v>
      </c>
      <c r="I2154" s="20">
        <v>181.58983017885299</v>
      </c>
      <c r="L2154" s="20">
        <f t="shared" si="72"/>
        <v>1033.4017702258329</v>
      </c>
      <c r="M2154" s="20">
        <f t="shared" si="73"/>
        <v>-13.124202481920575</v>
      </c>
    </row>
    <row r="2155" spans="1:13" x14ac:dyDescent="0.2">
      <c r="A2155" s="23">
        <v>532</v>
      </c>
      <c r="B2155" s="20">
        <v>1027.0080763359599</v>
      </c>
      <c r="C2155" s="20">
        <v>115.50981239005399</v>
      </c>
      <c r="D2155" s="20">
        <v>307.873403604283</v>
      </c>
      <c r="E2155" s="20">
        <v>-0.192811036453053</v>
      </c>
      <c r="F2155" s="20">
        <v>-7.9299399007757496E-2</v>
      </c>
      <c r="G2155" s="20">
        <v>0.20848139116259801</v>
      </c>
      <c r="H2155" s="20">
        <v>5.3615110512399604E-3</v>
      </c>
      <c r="I2155" s="20">
        <v>181.62843970070699</v>
      </c>
      <c r="L2155" s="20">
        <f t="shared" si="72"/>
        <v>1033.4834810569903</v>
      </c>
      <c r="M2155" s="20">
        <f t="shared" si="73"/>
        <v>-13.125240209476278</v>
      </c>
    </row>
    <row r="2156" spans="1:13" x14ac:dyDescent="0.2">
      <c r="A2156" s="23">
        <v>532.25</v>
      </c>
      <c r="B2156" s="20">
        <v>1027.0927168390899</v>
      </c>
      <c r="C2156" s="20">
        <v>115.486164183957</v>
      </c>
      <c r="D2156" s="20">
        <v>307.830337845815</v>
      </c>
      <c r="E2156" s="20">
        <v>-0.19268586925332601</v>
      </c>
      <c r="F2156" s="20">
        <v>-7.8515964612443895E-2</v>
      </c>
      <c r="G2156" s="20">
        <v>0.20806874082603699</v>
      </c>
      <c r="H2156" s="20">
        <v>5.3510023626995896E-3</v>
      </c>
      <c r="I2156" s="20">
        <v>181.66682881229801</v>
      </c>
      <c r="L2156" s="20">
        <f t="shared" si="72"/>
        <v>1033.564948661586</v>
      </c>
      <c r="M2156" s="20">
        <f t="shared" si="73"/>
        <v>-13.126274848054647</v>
      </c>
    </row>
    <row r="2157" spans="1:13" x14ac:dyDescent="0.2">
      <c r="A2157" s="23">
        <v>532.5</v>
      </c>
      <c r="B2157" s="20">
        <v>1027.17713084767</v>
      </c>
      <c r="C2157" s="20">
        <v>115.462351148062</v>
      </c>
      <c r="D2157" s="20">
        <v>307.78721526721102</v>
      </c>
      <c r="E2157" s="20">
        <v>-0.192560794537949</v>
      </c>
      <c r="F2157" s="20">
        <v>-7.7734088066693796E-2</v>
      </c>
      <c r="G2157" s="20">
        <v>0.20765897052775401</v>
      </c>
      <c r="H2157" s="20">
        <v>5.3405430069271998E-3</v>
      </c>
      <c r="I2157" s="20">
        <v>181.70499675083701</v>
      </c>
      <c r="L2157" s="20">
        <f t="shared" si="72"/>
        <v>1033.6461738279156</v>
      </c>
      <c r="M2157" s="20">
        <f t="shared" si="73"/>
        <v>-13.127306407667039</v>
      </c>
    </row>
    <row r="2158" spans="1:13" x14ac:dyDescent="0.2">
      <c r="A2158" s="23">
        <v>532.75</v>
      </c>
      <c r="B2158" s="20">
        <v>1027.26131911328</v>
      </c>
      <c r="C2158" s="20">
        <v>115.438373507118</v>
      </c>
      <c r="D2158" s="20">
        <v>307.74403574969602</v>
      </c>
      <c r="E2158" s="20">
        <v>-0.19243580826852899</v>
      </c>
      <c r="F2158" s="20">
        <v>-7.6953762634654893E-2</v>
      </c>
      <c r="G2158" s="20">
        <v>0.20725207330107201</v>
      </c>
      <c r="H2158" s="20">
        <v>5.3301331562216501E-3</v>
      </c>
      <c r="I2158" s="20">
        <v>181.74294275033299</v>
      </c>
      <c r="L2158" s="20">
        <f t="shared" si="72"/>
        <v>1033.7271573410098</v>
      </c>
      <c r="M2158" s="20">
        <f t="shared" si="73"/>
        <v>-13.12833489828334</v>
      </c>
    </row>
    <row r="2159" spans="1:13" x14ac:dyDescent="0.2">
      <c r="A2159" s="23">
        <v>533</v>
      </c>
      <c r="B2159" s="20">
        <v>1027.3452823842399</v>
      </c>
      <c r="C2159" s="20">
        <v>115.414231485503</v>
      </c>
      <c r="D2159" s="20">
        <v>307.70079917467098</v>
      </c>
      <c r="E2159" s="20">
        <v>-0.19231090637389001</v>
      </c>
      <c r="F2159" s="20">
        <v>-7.6174981561862795E-2</v>
      </c>
      <c r="G2159" s="20">
        <v>0.20684804211376401</v>
      </c>
      <c r="H2159" s="20">
        <v>5.3197729826543099E-3</v>
      </c>
      <c r="I2159" s="20">
        <v>181.78066604152801</v>
      </c>
      <c r="L2159" s="20">
        <f t="shared" si="72"/>
        <v>1033.807899982653</v>
      </c>
      <c r="M2159" s="20">
        <f t="shared" si="73"/>
        <v>-13.12936032983221</v>
      </c>
    </row>
    <row r="2160" spans="1:13" x14ac:dyDescent="0.2">
      <c r="A2160" s="23">
        <v>533.25</v>
      </c>
      <c r="B2160" s="20">
        <v>1027.4290214056</v>
      </c>
      <c r="C2160" s="20">
        <v>115.389925307214</v>
      </c>
      <c r="D2160" s="20">
        <v>307.65750542372001</v>
      </c>
      <c r="E2160" s="20">
        <v>-0.19218608474989701</v>
      </c>
      <c r="F2160" s="20">
        <v>-7.5397738075373102E-2</v>
      </c>
      <c r="G2160" s="20">
        <v>0.20644686986819899</v>
      </c>
      <c r="H2160" s="20">
        <v>5.3094626580902898E-3</v>
      </c>
      <c r="I2160" s="20">
        <v>181.818165851841</v>
      </c>
      <c r="L2160" s="20">
        <f t="shared" si="72"/>
        <v>1033.8884025313725</v>
      </c>
      <c r="M2160" s="20">
        <f t="shared" si="73"/>
        <v>-13.130382712200953</v>
      </c>
    </row>
    <row r="2161" spans="1:13" x14ac:dyDescent="0.2">
      <c r="A2161" s="23">
        <v>533.5</v>
      </c>
      <c r="B2161" s="20">
        <v>1027.5125369190901</v>
      </c>
      <c r="C2161" s="20">
        <v>115.365455195864</v>
      </c>
      <c r="D2161" s="20">
        <v>307.61415437860302</v>
      </c>
      <c r="E2161" s="20">
        <v>-0.19206133925927699</v>
      </c>
      <c r="F2161" s="20">
        <v>-7.4622025383892204E-2</v>
      </c>
      <c r="G2161" s="20">
        <v>0.206048549401497</v>
      </c>
      <c r="H2161" s="20">
        <v>5.2992023542103297E-3</v>
      </c>
      <c r="I2161" s="20">
        <v>181.855441405298</v>
      </c>
      <c r="L2161" s="20">
        <f t="shared" si="72"/>
        <v>1033.9686657623881</v>
      </c>
      <c r="M2161" s="20">
        <f t="shared" si="73"/>
        <v>-13.131402055234856</v>
      </c>
    </row>
    <row r="2162" spans="1:13" x14ac:dyDescent="0.2">
      <c r="A2162" s="23">
        <v>533.75</v>
      </c>
      <c r="B2162" s="20">
        <v>1027.59582966315</v>
      </c>
      <c r="C2162" s="20">
        <v>115.340821374673</v>
      </c>
      <c r="D2162" s="20">
        <v>307.57074592126799</v>
      </c>
      <c r="E2162" s="20">
        <v>-0.191936665731442</v>
      </c>
      <c r="F2162" s="20">
        <v>-7.3847836677907494E-2</v>
      </c>
      <c r="G2162" s="20">
        <v>0.20565307348568901</v>
      </c>
      <c r="H2162" s="20">
        <v>5.2889922425324101E-3</v>
      </c>
      <c r="I2162" s="20">
        <v>181.89249192247601</v>
      </c>
      <c r="L2162" s="20">
        <f t="shared" si="72"/>
        <v>1034.0486904476411</v>
      </c>
      <c r="M2162" s="20">
        <f t="shared" si="73"/>
        <v>-13.132418368737572</v>
      </c>
    </row>
    <row r="2163" spans="1:13" x14ac:dyDescent="0.2">
      <c r="A2163" s="23">
        <v>534</v>
      </c>
      <c r="B2163" s="20">
        <v>1027.67890037289</v>
      </c>
      <c r="C2163" s="20">
        <v>115.316024066465</v>
      </c>
      <c r="D2163" s="20">
        <v>307.527279933844</v>
      </c>
      <c r="E2163" s="20">
        <v>-0.19181205996230599</v>
      </c>
      <c r="F2163" s="20">
        <v>-7.3075165129815906E-2</v>
      </c>
      <c r="G2163" s="20">
        <v>0.205260434827887</v>
      </c>
      <c r="H2163" s="20">
        <v>5.2788324944339597E-3</v>
      </c>
      <c r="I2163" s="20">
        <v>181.92931662043901</v>
      </c>
      <c r="L2163" s="20">
        <f t="shared" si="72"/>
        <v>1034.1284773557538</v>
      </c>
      <c r="M2163" s="20">
        <f t="shared" si="73"/>
        <v>-13.133431662470606</v>
      </c>
    </row>
    <row r="2164" spans="1:13" x14ac:dyDescent="0.2">
      <c r="A2164" s="23">
        <v>534.25</v>
      </c>
      <c r="B2164" s="20">
        <v>1027.76174978007</v>
      </c>
      <c r="C2164" s="20">
        <v>115.29106349366</v>
      </c>
      <c r="D2164" s="20">
        <v>307.48375629864898</v>
      </c>
      <c r="E2164" s="20">
        <v>-0.191687517714101</v>
      </c>
      <c r="F2164" s="20">
        <v>-7.2304003894052102E-2</v>
      </c>
      <c r="G2164" s="20">
        <v>0.20487062607046699</v>
      </c>
      <c r="H2164" s="20">
        <v>5.2687232811741598E-3</v>
      </c>
      <c r="I2164" s="20">
        <v>181.96591471267399</v>
      </c>
      <c r="L2164" s="20">
        <f t="shared" si="72"/>
        <v>1034.2080272520082</v>
      </c>
      <c r="M2164" s="20">
        <f t="shared" si="73"/>
        <v>-13.134441946153041</v>
      </c>
    </row>
    <row r="2165" spans="1:13" x14ac:dyDescent="0.2">
      <c r="A2165" s="23">
        <v>534.5</v>
      </c>
      <c r="B2165" s="20">
        <v>1027.8443786131199</v>
      </c>
      <c r="C2165" s="20">
        <v>115.265939878268</v>
      </c>
      <c r="D2165" s="20">
        <v>307.44017489819203</v>
      </c>
      <c r="E2165" s="20">
        <v>-0.19156303471519301</v>
      </c>
      <c r="F2165" s="20">
        <v>-7.1534346107214999E-2</v>
      </c>
      <c r="G2165" s="20">
        <v>0.204483639791259</v>
      </c>
      <c r="H2165" s="20">
        <v>5.2586647739166796E-3</v>
      </c>
      <c r="I2165" s="20">
        <v>182.002285409032</v>
      </c>
      <c r="L2165" s="20">
        <f t="shared" si="72"/>
        <v>1034.2873408983653</v>
      </c>
      <c r="M2165" s="20">
        <f t="shared" si="73"/>
        <v>-13.135449229461782</v>
      </c>
    </row>
    <row r="2166" spans="1:13" x14ac:dyDescent="0.2">
      <c r="A2166" s="23">
        <v>534.75</v>
      </c>
      <c r="B2166" s="20">
        <v>1027.9267875971</v>
      </c>
      <c r="C2166" s="20">
        <v>115.240653441886</v>
      </c>
      <c r="D2166" s="20">
        <v>307.39653561517099</v>
      </c>
      <c r="E2166" s="20">
        <v>-0.19143860665989201</v>
      </c>
      <c r="F2166" s="20">
        <v>-7.0766184888193501E-2</v>
      </c>
      <c r="G2166" s="20">
        <v>0.204099468503745</v>
      </c>
      <c r="H2166" s="20">
        <v>5.2486571437521702E-3</v>
      </c>
      <c r="I2166" s="20">
        <v>182.038427915661</v>
      </c>
      <c r="L2166" s="20">
        <f t="shared" si="72"/>
        <v>1034.3664190534255</v>
      </c>
      <c r="M2166" s="20">
        <f t="shared" si="73"/>
        <v>-13.136453522031049</v>
      </c>
    </row>
    <row r="2167" spans="1:13" x14ac:dyDescent="0.2">
      <c r="A2167" s="23">
        <v>535</v>
      </c>
      <c r="B2167" s="20">
        <v>1028.00897745367</v>
      </c>
      <c r="C2167" s="20">
        <v>115.21520440568899</v>
      </c>
      <c r="D2167" s="20">
        <v>307.35283833248002</v>
      </c>
      <c r="E2167" s="20">
        <v>-0.19131422920826399</v>
      </c>
      <c r="F2167" s="20">
        <v>-6.9999513338291103E-2</v>
      </c>
      <c r="G2167" s="20">
        <v>0.203718104657268</v>
      </c>
      <c r="H2167" s="20">
        <v>5.2387005617216802E-3</v>
      </c>
      <c r="I2167" s="20">
        <v>182.074341434947</v>
      </c>
      <c r="L2167" s="20">
        <f t="shared" si="72"/>
        <v>1034.4452624723963</v>
      </c>
      <c r="M2167" s="20">
        <f t="shared" si="73"/>
        <v>-13.137454833451983</v>
      </c>
    </row>
    <row r="2168" spans="1:13" x14ac:dyDescent="0.2">
      <c r="A2168" s="23">
        <v>535.25</v>
      </c>
      <c r="B2168" s="20">
        <v>1028.0909489011201</v>
      </c>
      <c r="C2168" s="20">
        <v>115.189592990422</v>
      </c>
      <c r="D2168" s="20">
        <v>307.30908293320499</v>
      </c>
      <c r="E2168" s="20">
        <v>-0.191189897985936</v>
      </c>
      <c r="F2168" s="20">
        <v>-6.9234324541349701E-2</v>
      </c>
      <c r="G2168" s="20">
        <v>0.20333954063725401</v>
      </c>
      <c r="H2168" s="20">
        <v>5.2287951988398496E-3</v>
      </c>
      <c r="I2168" s="20">
        <v>182.11002516544801</v>
      </c>
      <c r="L2168" s="20">
        <f t="shared" si="72"/>
        <v>1034.5238719071226</v>
      </c>
      <c r="M2168" s="20">
        <f t="shared" si="73"/>
        <v>-13.138453173273012</v>
      </c>
    </row>
    <row r="2169" spans="1:13" x14ac:dyDescent="0.2">
      <c r="A2169" s="23">
        <v>535.5</v>
      </c>
      <c r="B2169" s="20">
        <v>1028.1727026543199</v>
      </c>
      <c r="C2169" s="20">
        <v>115.16381941640201</v>
      </c>
      <c r="D2169" s="20">
        <v>307.26526930063301</v>
      </c>
      <c r="E2169" s="20">
        <v>-0.191065608583906</v>
      </c>
      <c r="F2169" s="20">
        <v>-6.84706115638717E-2</v>
      </c>
      <c r="G2169" s="20">
        <v>0.20296376876543501</v>
      </c>
      <c r="H2169" s="20">
        <v>5.2189412261183701E-3</v>
      </c>
      <c r="I2169" s="20">
        <v>182.145478301835</v>
      </c>
      <c r="L2169" s="20">
        <f t="shared" si="72"/>
        <v>1034.6022481060354</v>
      </c>
      <c r="M2169" s="20">
        <f t="shared" si="73"/>
        <v>-13.139448550999209</v>
      </c>
    </row>
    <row r="2170" spans="1:13" x14ac:dyDescent="0.2">
      <c r="A2170" s="23">
        <v>535.75</v>
      </c>
      <c r="B2170" s="20">
        <v>1028.25423942473</v>
      </c>
      <c r="C2170" s="20">
        <v>115.137883903502</v>
      </c>
      <c r="D2170" s="20">
        <v>307.22139731824899</v>
      </c>
      <c r="E2170" s="20">
        <v>-0.19094135655834699</v>
      </c>
      <c r="F2170" s="20">
        <v>-6.7708367455141694E-2</v>
      </c>
      <c r="G2170" s="20">
        <v>0.202590781300093</v>
      </c>
      <c r="H2170" s="20">
        <v>5.2091388145900303E-3</v>
      </c>
      <c r="I2170" s="20">
        <v>182.18070003482401</v>
      </c>
      <c r="L2170" s="20">
        <f t="shared" si="72"/>
        <v>1034.6803918141613</v>
      </c>
      <c r="M2170" s="20">
        <f t="shared" si="73"/>
        <v>-13.14044097609241</v>
      </c>
    </row>
    <row r="2171" spans="1:13" x14ac:dyDescent="0.2">
      <c r="A2171" s="23">
        <v>536</v>
      </c>
      <c r="B2171" s="20">
        <v>1028.3355599203601</v>
      </c>
      <c r="C2171" s="20">
        <v>115.11178667115399</v>
      </c>
      <c r="D2171" s="20">
        <v>307.17746686974198</v>
      </c>
      <c r="E2171" s="20">
        <v>-0.19081713743040299</v>
      </c>
      <c r="F2171" s="20">
        <v>-6.6947585247346897E-2</v>
      </c>
      <c r="G2171" s="20">
        <v>0.20222057043630401</v>
      </c>
      <c r="H2171" s="20">
        <v>5.1993881353327E-3</v>
      </c>
      <c r="I2171" s="20">
        <v>182.215689551119</v>
      </c>
      <c r="L2171" s="20">
        <f t="shared" si="72"/>
        <v>1034.7583037730819</v>
      </c>
      <c r="M2171" s="20">
        <f t="shared" si="73"/>
        <v>-13.141430457970706</v>
      </c>
    </row>
    <row r="2172" spans="1:13" x14ac:dyDescent="0.2">
      <c r="A2172" s="23">
        <v>536.25</v>
      </c>
      <c r="B2172" s="20">
        <v>1028.4166648457899</v>
      </c>
      <c r="C2172" s="20">
        <v>115.08552793833699</v>
      </c>
      <c r="D2172" s="20">
        <v>307.133477839004</v>
      </c>
      <c r="E2172" s="20">
        <v>-0.19069294668599701</v>
      </c>
      <c r="F2172" s="20">
        <v>-6.6188257955696203E-2</v>
      </c>
      <c r="G2172" s="20">
        <v>0.201853128306197</v>
      </c>
      <c r="H2172" s="20">
        <v>5.1896893594936197E-3</v>
      </c>
      <c r="I2172" s="20">
        <v>182.250446033342</v>
      </c>
      <c r="L2172" s="20">
        <f t="shared" si="72"/>
        <v>1034.8359847209526</v>
      </c>
      <c r="M2172" s="20">
        <f t="shared" si="73"/>
        <v>-13.142417006008669</v>
      </c>
    </row>
    <row r="2173" spans="1:13" x14ac:dyDescent="0.2">
      <c r="A2173" s="23">
        <v>536.5</v>
      </c>
      <c r="B2173" s="20">
        <v>1028.4975549021101</v>
      </c>
      <c r="C2173" s="20">
        <v>115.059107923574</v>
      </c>
      <c r="D2173" s="20">
        <v>307.08943011013099</v>
      </c>
      <c r="E2173" s="20">
        <v>-0.190568779775623</v>
      </c>
      <c r="F2173" s="20">
        <v>-6.54303785785387E-2</v>
      </c>
      <c r="G2173" s="20">
        <v>0.20148844697922699</v>
      </c>
      <c r="H2173" s="20">
        <v>5.1800426583141204E-3</v>
      </c>
      <c r="I2173" s="20">
        <v>182.28496865997701</v>
      </c>
      <c r="L2173" s="20">
        <f t="shared" si="72"/>
        <v>1034.9134353924426</v>
      </c>
      <c r="M2173" s="20">
        <f t="shared" si="73"/>
        <v>-13.143400629536595</v>
      </c>
    </row>
    <row r="2174" spans="1:13" x14ac:dyDescent="0.2">
      <c r="A2174" s="23">
        <v>536.75</v>
      </c>
      <c r="B2174" s="20">
        <v>1028.5782307869499</v>
      </c>
      <c r="C2174" s="20">
        <v>115.032526844926</v>
      </c>
      <c r="D2174" s="20">
        <v>307.04532356743101</v>
      </c>
      <c r="E2174" s="20">
        <v>-0.190444632114145</v>
      </c>
      <c r="F2174" s="20">
        <v>-6.46739400974808E-2</v>
      </c>
      <c r="G2174" s="20">
        <v>0.201126518462446</v>
      </c>
      <c r="H2174" s="20">
        <v>5.17044820315449E-3</v>
      </c>
      <c r="I2174" s="20">
        <v>182.31925660529899</v>
      </c>
      <c r="L2174" s="20">
        <f t="shared" si="72"/>
        <v>1034.9906565187632</v>
      </c>
      <c r="M2174" s="20">
        <f t="shared" si="73"/>
        <v>-13.144381337840871</v>
      </c>
    </row>
    <row r="2175" spans="1:13" x14ac:dyDescent="0.2">
      <c r="A2175" s="23">
        <v>537</v>
      </c>
      <c r="B2175" s="20">
        <v>1028.6586931944601</v>
      </c>
      <c r="C2175" s="20">
        <v>115.005784919985</v>
      </c>
      <c r="D2175" s="20">
        <v>307.00115809541899</v>
      </c>
      <c r="E2175" s="20">
        <v>-0.19032049908058901</v>
      </c>
      <c r="F2175" s="20">
        <v>-6.3918935477502201E-2</v>
      </c>
      <c r="G2175" s="20">
        <v>0.200767334700797</v>
      </c>
      <c r="H2175" s="20">
        <v>5.1609061655190297E-3</v>
      </c>
      <c r="I2175" s="20">
        <v>182.353309039317</v>
      </c>
      <c r="L2175" s="20">
        <f t="shared" si="72"/>
        <v>1035.0676488276483</v>
      </c>
      <c r="M2175" s="20">
        <f t="shared" si="73"/>
        <v>-13.145359140163714</v>
      </c>
    </row>
    <row r="2176" spans="1:13" x14ac:dyDescent="0.2">
      <c r="A2176" s="23">
        <v>537.25</v>
      </c>
      <c r="B2176" s="20">
        <v>1028.7389428152501</v>
      </c>
      <c r="C2176" s="20">
        <v>114.978882365869</v>
      </c>
      <c r="D2176" s="20">
        <v>306.95693357882601</v>
      </c>
      <c r="E2176" s="20">
        <v>-0.19019637601793701</v>
      </c>
      <c r="F2176" s="20">
        <v>-6.3165357667071098E-2</v>
      </c>
      <c r="G2176" s="20">
        <v>0.20041088757741099</v>
      </c>
      <c r="H2176" s="20">
        <v>5.1514167170816803E-3</v>
      </c>
      <c r="I2176" s="20">
        <v>182.387125127708</v>
      </c>
      <c r="L2176" s="20">
        <f t="shared" si="72"/>
        <v>1035.1444130432926</v>
      </c>
      <c r="M2176" s="20">
        <f t="shared" si="73"/>
        <v>-13.146334045702401</v>
      </c>
    </row>
    <row r="2177" spans="1:13" x14ac:dyDescent="0.2">
      <c r="A2177" s="23">
        <v>537.5</v>
      </c>
      <c r="B2177" s="20">
        <v>1028.8189803364301</v>
      </c>
      <c r="C2177" s="20">
        <v>114.951819399217</v>
      </c>
      <c r="D2177" s="20">
        <v>306.91264990259401</v>
      </c>
      <c r="E2177" s="20">
        <v>-0.19007225823291299</v>
      </c>
      <c r="F2177" s="20">
        <v>-6.2413199598258397E-2</v>
      </c>
      <c r="G2177" s="20">
        <v>0.20005716891391601</v>
      </c>
      <c r="H2177" s="20">
        <v>5.1419800297113896E-3</v>
      </c>
      <c r="I2177" s="20">
        <v>182.42070403175299</v>
      </c>
      <c r="L2177" s="20">
        <f t="shared" si="72"/>
        <v>1035.2209498863911</v>
      </c>
      <c r="M2177" s="20">
        <f t="shared" si="73"/>
        <v>-13.147306063609756</v>
      </c>
    </row>
    <row r="2178" spans="1:13" x14ac:dyDescent="0.2">
      <c r="A2178" s="23">
        <v>537.75</v>
      </c>
      <c r="B2178" s="20">
        <v>1028.8988064415801</v>
      </c>
      <c r="C2178" s="20">
        <v>114.924596236181</v>
      </c>
      <c r="D2178" s="20">
        <v>306.86830695188598</v>
      </c>
      <c r="E2178" s="20">
        <v>-0.18994814099577501</v>
      </c>
      <c r="F2178" s="20">
        <v>-6.1662454186849999E-2</v>
      </c>
      <c r="G2178" s="20">
        <v>0.19970617047076</v>
      </c>
      <c r="H2178" s="20">
        <v>5.1325962754984397E-3</v>
      </c>
      <c r="I2178" s="20">
        <v>182.45404490827201</v>
      </c>
      <c r="L2178" s="20">
        <f t="shared" si="72"/>
        <v>1035.2972600741091</v>
      </c>
      <c r="M2178" s="20">
        <f t="shared" si="73"/>
        <v>-13.148275202993778</v>
      </c>
    </row>
    <row r="2179" spans="1:13" x14ac:dyDescent="0.2">
      <c r="A2179" s="23">
        <v>538</v>
      </c>
      <c r="B2179" s="20">
        <v>1028.97842181073</v>
      </c>
      <c r="C2179" s="20">
        <v>114.897213092421</v>
      </c>
      <c r="D2179" s="20">
        <v>306.82390461207899</v>
      </c>
      <c r="E2179" s="20">
        <v>-0.189824019540099</v>
      </c>
      <c r="F2179" s="20">
        <v>-6.0913114332459398E-2</v>
      </c>
      <c r="G2179" s="20">
        <v>0.19935788394753601</v>
      </c>
      <c r="H2179" s="20">
        <v>5.1232656267803604E-3</v>
      </c>
      <c r="I2179" s="20">
        <v>182.48714690956399</v>
      </c>
      <c r="L2179" s="20">
        <f t="shared" si="72"/>
        <v>1035.3733443200601</v>
      </c>
      <c r="M2179" s="20">
        <f t="shared" si="73"/>
        <v>-13.14924147291736</v>
      </c>
    </row>
    <row r="2180" spans="1:13" x14ac:dyDescent="0.2">
      <c r="A2180" s="23">
        <v>538.25</v>
      </c>
      <c r="B2180" s="20">
        <v>1029.0578271203301</v>
      </c>
      <c r="C2180" s="20">
        <v>114.8696701831</v>
      </c>
      <c r="D2180" s="20">
        <v>306.77944276877599</v>
      </c>
      <c r="E2180" s="20">
        <v>-0.18969988906256199</v>
      </c>
      <c r="F2180" s="20">
        <v>-6.0165172918638099E-2</v>
      </c>
      <c r="G2180" s="20">
        <v>0.19901230098332601</v>
      </c>
      <c r="H2180" s="20">
        <v>5.11398825616864E-3</v>
      </c>
      <c r="I2180" s="20">
        <v>182.52000918334099</v>
      </c>
      <c r="L2180" s="20">
        <f t="shared" si="72"/>
        <v>1035.4492033342772</v>
      </c>
      <c r="M2180" s="20">
        <f t="shared" si="73"/>
        <v>-13.150204882397921</v>
      </c>
    </row>
    <row r="2181" spans="1:13" x14ac:dyDescent="0.2">
      <c r="A2181" s="23">
        <v>538.5</v>
      </c>
      <c r="B2181" s="20">
        <v>1029.1370230432699</v>
      </c>
      <c r="C2181" s="20">
        <v>114.84196772288</v>
      </c>
      <c r="D2181" s="20">
        <v>306.73492130780102</v>
      </c>
      <c r="E2181" s="20">
        <v>-0.18957574472272401</v>
      </c>
      <c r="F2181" s="20">
        <v>-5.9418622812985399E-2</v>
      </c>
      <c r="G2181" s="20">
        <v>0.198669413157052</v>
      </c>
      <c r="H2181" s="20">
        <v>5.1047643365755803E-3</v>
      </c>
      <c r="I2181" s="20">
        <v>182.552630872663</v>
      </c>
      <c r="L2181" s="20">
        <f t="shared" si="72"/>
        <v>1035.52483782323</v>
      </c>
      <c r="M2181" s="20">
        <f t="shared" si="73"/>
        <v>-13.151165440407626</v>
      </c>
    </row>
    <row r="2182" spans="1:13" x14ac:dyDescent="0.2">
      <c r="A2182" s="23">
        <v>538.75</v>
      </c>
      <c r="B2182" s="20">
        <v>1029.2160102488399</v>
      </c>
      <c r="C2182" s="20">
        <v>114.814105925909</v>
      </c>
      <c r="D2182" s="20">
        <v>306.69034011520199</v>
      </c>
      <c r="E2182" s="20">
        <v>-0.18945158164281001</v>
      </c>
      <c r="F2182" s="20">
        <v>-5.8673456867257397E-2</v>
      </c>
      <c r="G2182" s="20">
        <v>0.19832921198783701</v>
      </c>
      <c r="H2182" s="20">
        <v>5.0955940412412198E-3</v>
      </c>
      <c r="I2182" s="20">
        <v>182.58501111587501</v>
      </c>
      <c r="L2182" s="20">
        <f t="shared" si="72"/>
        <v>1035.6002484897858</v>
      </c>
      <c r="M2182" s="20">
        <f t="shared" si="73"/>
        <v>-13.152123155872889</v>
      </c>
    </row>
    <row r="2183" spans="1:13" x14ac:dyDescent="0.2">
      <c r="A2183" s="23">
        <v>539</v>
      </c>
      <c r="B2183" s="20">
        <v>1029.29478940272</v>
      </c>
      <c r="C2183" s="20">
        <v>114.786085005826</v>
      </c>
      <c r="D2183" s="20">
        <v>306.64569907725797</v>
      </c>
      <c r="E2183" s="20">
        <v>-0.18932739490748501</v>
      </c>
      <c r="F2183" s="20">
        <v>-5.7929667917474198E-2</v>
      </c>
      <c r="G2183" s="20">
        <v>0.197991688935378</v>
      </c>
      <c r="H2183" s="20">
        <v>5.0864775437607403E-3</v>
      </c>
      <c r="I2183" s="20">
        <v>182.61714904654599</v>
      </c>
      <c r="L2183" s="20">
        <f t="shared" si="72"/>
        <v>1035.6754360331977</v>
      </c>
      <c r="M2183" s="20">
        <f t="shared" si="73"/>
        <v>-13.153078037674224</v>
      </c>
    </row>
    <row r="2184" spans="1:13" x14ac:dyDescent="0.2">
      <c r="A2184" s="23">
        <v>539.25</v>
      </c>
      <c r="B2184" s="20">
        <v>1029.37336116698</v>
      </c>
      <c r="C2184" s="20">
        <v>114.757905175744</v>
      </c>
      <c r="D2184" s="20">
        <v>306.60099808047499</v>
      </c>
      <c r="E2184" s="20">
        <v>-0.18920317956363</v>
      </c>
      <c r="F2184" s="20">
        <v>-5.7187248784026701E-2</v>
      </c>
      <c r="G2184" s="20">
        <v>0.19765683540033099</v>
      </c>
      <c r="H2184" s="20">
        <v>5.0774150181123103E-3</v>
      </c>
      <c r="I2184" s="20">
        <v>182.64904379340001</v>
      </c>
      <c r="L2184" s="20">
        <f t="shared" si="72"/>
        <v>1035.7504011491044</v>
      </c>
      <c r="M2184" s="20">
        <f t="shared" si="73"/>
        <v>-13.154030094646243</v>
      </c>
    </row>
    <row r="2185" spans="1:13" x14ac:dyDescent="0.2">
      <c r="A2185" s="23">
        <v>539.5</v>
      </c>
      <c r="B2185" s="20">
        <v>1029.45172620004</v>
      </c>
      <c r="C2185" s="20">
        <v>114.72956664825401</v>
      </c>
      <c r="D2185" s="20">
        <v>306.55623701159101</v>
      </c>
      <c r="E2185" s="20">
        <v>-0.18907893062011799</v>
      </c>
      <c r="F2185" s="20">
        <v>-5.6446192271782103E-2</v>
      </c>
      <c r="G2185" s="20">
        <v>0.19732464272469999</v>
      </c>
      <c r="H2185" s="20">
        <v>5.0684066386847398E-3</v>
      </c>
      <c r="I2185" s="20">
        <v>182.68069448025301</v>
      </c>
      <c r="L2185" s="20">
        <f t="shared" si="72"/>
        <v>1035.8251445294895</v>
      </c>
      <c r="M2185" s="20">
        <f t="shared" si="73"/>
        <v>-13.154979335577138</v>
      </c>
    </row>
    <row r="2186" spans="1:13" x14ac:dyDescent="0.2">
      <c r="A2186" s="23">
        <v>539.75</v>
      </c>
      <c r="B2186" s="20">
        <v>1029.5298851566699</v>
      </c>
      <c r="C2186" s="20">
        <v>114.701069635412</v>
      </c>
      <c r="D2186" s="20">
        <v>306.51141575758101</v>
      </c>
      <c r="E2186" s="20">
        <v>-0.188954643047584</v>
      </c>
      <c r="F2186" s="20">
        <v>-5.5706491170188499E-2</v>
      </c>
      <c r="G2186" s="20">
        <v>0.196995102192248</v>
      </c>
      <c r="H2186" s="20">
        <v>5.0594525803060002E-3</v>
      </c>
      <c r="I2186" s="20">
        <v>182.71210022595099</v>
      </c>
      <c r="L2186" s="20">
        <f t="shared" si="72"/>
        <v>1035.899666862681</v>
      </c>
      <c r="M2186" s="20">
        <f t="shared" si="73"/>
        <v>-13.155925769208674</v>
      </c>
    </row>
    <row r="2187" spans="1:13" x14ac:dyDescent="0.2">
      <c r="A2187" s="23">
        <v>540</v>
      </c>
      <c r="B2187" s="20">
        <v>1029.6078386879999</v>
      </c>
      <c r="C2187" s="20">
        <v>114.672414348738</v>
      </c>
      <c r="D2187" s="20">
        <v>306.46653420565298</v>
      </c>
      <c r="E2187" s="20">
        <v>-0.18883031177819501</v>
      </c>
      <c r="F2187" s="20">
        <v>-5.4968138253377999E-2</v>
      </c>
      <c r="G2187" s="20">
        <v>0.196668205028909</v>
      </c>
      <c r="H2187" s="20">
        <v>5.0505530182715901E-3</v>
      </c>
      <c r="I2187" s="20">
        <v>182.74326014430599</v>
      </c>
      <c r="L2187" s="20">
        <f t="shared" si="72"/>
        <v>1035.9739688333598</v>
      </c>
      <c r="M2187" s="20">
        <f t="shared" si="73"/>
        <v>-13.156869404236296</v>
      </c>
    </row>
    <row r="2188" spans="1:13" x14ac:dyDescent="0.2">
      <c r="A2188" s="23">
        <v>540.25</v>
      </c>
      <c r="B2188" s="20">
        <v>1029.68558744144</v>
      </c>
      <c r="C2188" s="20">
        <v>114.643600999207</v>
      </c>
      <c r="D2188" s="20">
        <v>306.42159224325599</v>
      </c>
      <c r="E2188" s="20">
        <v>-0.18870593170541899</v>
      </c>
      <c r="F2188" s="20">
        <v>-5.4231126280269402E-2</v>
      </c>
      <c r="G2188" s="20">
        <v>0.19634394240321401</v>
      </c>
      <c r="H2188" s="20">
        <v>5.0417081283734696E-3</v>
      </c>
      <c r="I2188" s="20">
        <v>182.77417334402799</v>
      </c>
      <c r="L2188" s="20">
        <f t="shared" si="72"/>
        <v>1036.0480511224798</v>
      </c>
      <c r="M2188" s="20">
        <f t="shared" si="73"/>
        <v>-13.157810249308124</v>
      </c>
    </row>
    <row r="2189" spans="1:13" x14ac:dyDescent="0.2">
      <c r="A2189" s="23">
        <v>540.5</v>
      </c>
      <c r="B2189" s="20">
        <v>1029.76313206074</v>
      </c>
      <c r="C2189" s="20">
        <v>114.614629797245</v>
      </c>
      <c r="D2189" s="20">
        <v>306.37658975807801</v>
      </c>
      <c r="E2189" s="20">
        <v>-0.18858149768378801</v>
      </c>
      <c r="F2189" s="20">
        <v>-5.3495447994669203E-2</v>
      </c>
      <c r="G2189" s="20">
        <v>0.19602230542673199</v>
      </c>
      <c r="H2189" s="20">
        <v>5.0329180869291496E-3</v>
      </c>
      <c r="I2189" s="20">
        <v>182.804838928664</v>
      </c>
      <c r="L2189" s="20">
        <f t="shared" si="72"/>
        <v>1036.121914407327</v>
      </c>
      <c r="M2189" s="20">
        <f t="shared" si="73"/>
        <v>-13.15874831302569</v>
      </c>
    </row>
    <row r="2190" spans="1:13" x14ac:dyDescent="0.2">
      <c r="A2190" s="23">
        <v>540.75</v>
      </c>
      <c r="B2190" s="20">
        <v>1029.84047318592</v>
      </c>
      <c r="C2190" s="20">
        <v>114.585500952723</v>
      </c>
      <c r="D2190" s="20">
        <v>306.33152663804998</v>
      </c>
      <c r="E2190" s="20">
        <v>-0.18845700452866801</v>
      </c>
      <c r="F2190" s="20">
        <v>-5.2761096125372102E-2</v>
      </c>
      <c r="G2190" s="20">
        <v>0.19570328515451399</v>
      </c>
      <c r="H2190" s="20">
        <v>5.0241830708111102E-3</v>
      </c>
      <c r="I2190" s="20">
        <v>182.83525599653001</v>
      </c>
      <c r="L2190" s="20">
        <f t="shared" si="72"/>
        <v>1036.1955593614491</v>
      </c>
      <c r="M2190" s="20">
        <f t="shared" si="73"/>
        <v>-13.159683603943042</v>
      </c>
    </row>
    <row r="2191" spans="1:13" x14ac:dyDescent="0.2">
      <c r="A2191" s="23">
        <v>541</v>
      </c>
      <c r="B2191" s="20">
        <v>1029.91761145328</v>
      </c>
      <c r="C2191" s="20">
        <v>114.55621467495099</v>
      </c>
      <c r="D2191" s="20">
        <v>306.286402771349</v>
      </c>
      <c r="E2191" s="20">
        <v>-0.18833244701601301</v>
      </c>
      <c r="F2191" s="20">
        <v>-5.2028063386259898E-2</v>
      </c>
      <c r="G2191" s="20">
        <v>0.19538687258555501</v>
      </c>
      <c r="H2191" s="20">
        <v>5.0155032574765298E-3</v>
      </c>
      <c r="I2191" s="20">
        <v>182.86542364065301</v>
      </c>
      <c r="L2191" s="20">
        <f t="shared" si="72"/>
        <v>1036.2689866546632</v>
      </c>
      <c r="M2191" s="20">
        <f t="shared" si="73"/>
        <v>-13.160616130566865</v>
      </c>
    </row>
    <row r="2192" spans="1:13" x14ac:dyDescent="0.2">
      <c r="A2192" s="23">
        <v>541.25</v>
      </c>
      <c r="B2192" s="20">
        <v>1029.9945474953699</v>
      </c>
      <c r="C2192" s="20">
        <v>114.52677117267299</v>
      </c>
      <c r="D2192" s="20">
        <v>306.24121804639901</v>
      </c>
      <c r="E2192" s="20">
        <v>-0.18820781988213101</v>
      </c>
      <c r="F2192" s="20">
        <v>-5.1296342476399998E-2</v>
      </c>
      <c r="G2192" s="20">
        <v>0.19507305866326299</v>
      </c>
      <c r="H2192" s="20">
        <v>5.0068788249975002E-3</v>
      </c>
      <c r="I2192" s="20">
        <v>182.89534094869899</v>
      </c>
      <c r="L2192" s="20">
        <f t="shared" si="72"/>
        <v>1036.3421969530286</v>
      </c>
      <c r="M2192" s="20">
        <f t="shared" si="73"/>
        <v>-13.161545901356112</v>
      </c>
    </row>
    <row r="2193" spans="1:13" x14ac:dyDescent="0.2">
      <c r="A2193" s="23">
        <v>541.5</v>
      </c>
      <c r="B2193" s="20">
        <v>1030.0712819410101</v>
      </c>
      <c r="C2193" s="20">
        <v>114.497170654059</v>
      </c>
      <c r="D2193" s="20">
        <v>306.19597235187302</v>
      </c>
      <c r="E2193" s="20">
        <v>-0.18808311782344</v>
      </c>
      <c r="F2193" s="20">
        <v>-5.0565926080142098E-2</v>
      </c>
      <c r="G2193" s="20">
        <v>0.19476183427593899</v>
      </c>
      <c r="H2193" s="20">
        <v>4.9983099520910599E-3</v>
      </c>
      <c r="I2193" s="20">
        <v>182.925007002912</v>
      </c>
      <c r="L2193" s="20">
        <f t="shared" si="72"/>
        <v>1036.4151909188618</v>
      </c>
      <c r="M2193" s="20">
        <f t="shared" si="73"/>
        <v>-13.162472924722193</v>
      </c>
    </row>
    <row r="2194" spans="1:13" x14ac:dyDescent="0.2">
      <c r="A2194" s="23">
        <v>541.75</v>
      </c>
      <c r="B2194" s="20">
        <v>1030.1478154152401</v>
      </c>
      <c r="C2194" s="20">
        <v>114.467413326703</v>
      </c>
      <c r="D2194" s="20">
        <v>306.15066557669797</v>
      </c>
      <c r="E2194" s="20">
        <v>-0.18795833549622601</v>
      </c>
      <c r="F2194" s="20">
        <v>-4.9836806867214499E-2</v>
      </c>
      <c r="G2194" s="20">
        <v>0.194453190257275</v>
      </c>
      <c r="H2194" s="20">
        <v>4.98979681815012E-3</v>
      </c>
      <c r="I2194" s="20">
        <v>182.95442088005001</v>
      </c>
      <c r="L2194" s="20">
        <f t="shared" si="72"/>
        <v>1036.4879692106888</v>
      </c>
      <c r="M2194" s="20">
        <f t="shared" si="73"/>
        <v>-13.163397209028401</v>
      </c>
    </row>
    <row r="2195" spans="1:13" x14ac:dyDescent="0.2">
      <c r="A2195" s="23">
        <v>542</v>
      </c>
      <c r="B2195" s="20">
        <v>1030.2241485392999</v>
      </c>
      <c r="C2195" s="20">
        <v>114.437499397615</v>
      </c>
      <c r="D2195" s="20">
        <v>306.10529761005103</v>
      </c>
      <c r="E2195" s="20">
        <v>-0.18783346751639399</v>
      </c>
      <c r="F2195" s="20">
        <v>-4.9108977492819103E-2</v>
      </c>
      <c r="G2195" s="20">
        <v>0.19414711738684701</v>
      </c>
      <c r="H2195" s="20">
        <v>4.9813396032742704E-3</v>
      </c>
      <c r="I2195" s="20">
        <v>182.983581651321</v>
      </c>
      <c r="L2195" s="20">
        <f t="shared" si="72"/>
        <v>1036.5605324832238</v>
      </c>
      <c r="M2195" s="20">
        <f t="shared" si="73"/>
        <v>-13.1643187625896</v>
      </c>
    </row>
    <row r="2196" spans="1:13" x14ac:dyDescent="0.2">
      <c r="A2196" s="23">
        <v>542.25</v>
      </c>
      <c r="B2196" s="20">
        <v>1030.30028193064</v>
      </c>
      <c r="C2196" s="20">
        <v>114.407429073212</v>
      </c>
      <c r="D2196" s="20">
        <v>306.05986834136797</v>
      </c>
      <c r="E2196" s="20">
        <v>-0.18770850845922099</v>
      </c>
      <c r="F2196" s="20">
        <v>-4.83824305977252E-2</v>
      </c>
      <c r="G2196" s="20">
        <v>0.19384360639063999</v>
      </c>
      <c r="H2196" s="20">
        <v>4.9729384883012203E-3</v>
      </c>
      <c r="I2196" s="20">
        <v>183.01248838231299</v>
      </c>
      <c r="L2196" s="20">
        <f t="shared" si="72"/>
        <v>1036.6328813873783</v>
      </c>
      <c r="M2196" s="20">
        <f t="shared" si="73"/>
        <v>-13.165237593672366</v>
      </c>
    </row>
    <row r="2197" spans="1:13" x14ac:dyDescent="0.2">
      <c r="A2197" s="23">
        <v>542.5</v>
      </c>
      <c r="B2197" s="20">
        <v>1030.37621620289</v>
      </c>
      <c r="C2197" s="20">
        <v>114.37720255932</v>
      </c>
      <c r="D2197" s="20">
        <v>306.014377660344</v>
      </c>
      <c r="E2197" s="20">
        <v>-0.18758345285911099</v>
      </c>
      <c r="F2197" s="20">
        <v>-4.7657158808362299E-2</v>
      </c>
      <c r="G2197" s="20">
        <v>0.19354264794156301</v>
      </c>
      <c r="H2197" s="20">
        <v>4.9645936548381097E-3</v>
      </c>
      <c r="I2197" s="20">
        <v>183.04114013293599</v>
      </c>
      <c r="L2197" s="20">
        <f t="shared" si="72"/>
        <v>1036.7050165702299</v>
      </c>
      <c r="M2197" s="20">
        <f t="shared" si="73"/>
        <v>-13.166153710494585</v>
      </c>
    </row>
    <row r="2198" spans="1:13" x14ac:dyDescent="0.2">
      <c r="A2198" s="23">
        <v>542.75</v>
      </c>
      <c r="B2198" s="20">
        <v>1030.45195196587</v>
      </c>
      <c r="C2198" s="20">
        <v>114.346820061163</v>
      </c>
      <c r="D2198" s="20">
        <v>305.968825456932</v>
      </c>
      <c r="E2198" s="20">
        <v>-0.18745829520933799</v>
      </c>
      <c r="F2198" s="20">
        <v>-4.6933154736912203E-2</v>
      </c>
      <c r="G2198" s="20">
        <v>0.19324423265999499</v>
      </c>
      <c r="H2198" s="20">
        <v>4.9563052852936397E-3</v>
      </c>
      <c r="I2198" s="20">
        <v>183.069535957353</v>
      </c>
      <c r="L2198" s="20">
        <f t="shared" si="72"/>
        <v>1036.7769386750324</v>
      </c>
      <c r="M2198" s="20">
        <f t="shared" si="73"/>
        <v>-13.167067121225582</v>
      </c>
    </row>
    <row r="2199" spans="1:13" x14ac:dyDescent="0.2">
      <c r="A2199" s="23">
        <v>543</v>
      </c>
      <c r="B2199" s="20">
        <v>1030.52748982553</v>
      </c>
      <c r="C2199" s="20">
        <v>114.316281783355</v>
      </c>
      <c r="D2199" s="20">
        <v>305.92321162134999</v>
      </c>
      <c r="E2199" s="20">
        <v>-0.18733302996179399</v>
      </c>
      <c r="F2199" s="20">
        <v>-4.6210410981399899E-2</v>
      </c>
      <c r="G2199" s="20">
        <v>0.19294835111432401</v>
      </c>
      <c r="H2199" s="20">
        <v>4.9480735629102296E-3</v>
      </c>
      <c r="I2199" s="20">
        <v>183.09767490391701</v>
      </c>
      <c r="L2199" s="20">
        <f t="shared" si="72"/>
        <v>1036.8486483411546</v>
      </c>
      <c r="M2199" s="20">
        <f t="shared" si="73"/>
        <v>-13.167977833985336</v>
      </c>
    </row>
    <row r="2200" spans="1:13" x14ac:dyDescent="0.2">
      <c r="A2200" s="23">
        <v>543.25</v>
      </c>
      <c r="B2200" s="20">
        <v>1030.6028303839601</v>
      </c>
      <c r="C2200" s="20">
        <v>114.28558792990199</v>
      </c>
      <c r="D2200" s="20">
        <v>305.87753604408101</v>
      </c>
      <c r="E2200" s="20">
        <v>-0.18720765152673599</v>
      </c>
      <c r="F2200" s="20">
        <v>-4.54889201257829E-2</v>
      </c>
      <c r="G2200" s="20">
        <v>0.192654993821509</v>
      </c>
      <c r="H2200" s="20">
        <v>4.9398986717964898E-3</v>
      </c>
      <c r="I2200" s="20">
        <v>183.12555601510499</v>
      </c>
      <c r="L2200" s="20">
        <f t="shared" si="72"/>
        <v>1036.9201462040908</v>
      </c>
      <c r="M2200" s="20">
        <f t="shared" si="73"/>
        <v>-13.168885856844629</v>
      </c>
    </row>
    <row r="2201" spans="1:13" x14ac:dyDescent="0.2">
      <c r="A2201" s="23">
        <v>543.5</v>
      </c>
      <c r="B2201" s="20">
        <v>1030.6779742393901</v>
      </c>
      <c r="C2201" s="20">
        <v>114.25473870418899</v>
      </c>
      <c r="D2201" s="20">
        <v>305.83179861587502</v>
      </c>
      <c r="E2201" s="20">
        <v>-0.187082154272526</v>
      </c>
      <c r="F2201" s="20">
        <v>-4.47686747400401E-2</v>
      </c>
      <c r="G2201" s="20">
        <v>0.19236415124764999</v>
      </c>
      <c r="H2201" s="20">
        <v>4.9317807969600598E-3</v>
      </c>
      <c r="I2201" s="20">
        <v>183.15317832745399</v>
      </c>
      <c r="L2201" s="20">
        <f t="shared" si="72"/>
        <v>1036.9914328954583</v>
      </c>
      <c r="M2201" s="20">
        <f t="shared" si="73"/>
        <v>-13.169791197825001</v>
      </c>
    </row>
    <row r="2202" spans="1:13" x14ac:dyDescent="0.2">
      <c r="A2202" s="23">
        <v>543.75</v>
      </c>
      <c r="B2202" s="20">
        <v>1030.7529219861301</v>
      </c>
      <c r="C2202" s="20">
        <v>114.223734308977</v>
      </c>
      <c r="D2202" s="20">
        <v>305.78599922775101</v>
      </c>
      <c r="E2202" s="20">
        <v>-0.186956532525374</v>
      </c>
      <c r="F2202" s="20">
        <v>-4.4049667380259797E-2</v>
      </c>
      <c r="G2202" s="20">
        <v>0.192075813808566</v>
      </c>
      <c r="H2202" s="20">
        <v>4.92372012434088E-3</v>
      </c>
      <c r="I2202" s="20">
        <v>183.18054087149599</v>
      </c>
      <c r="L2202" s="20">
        <f t="shared" si="72"/>
        <v>1037.0625090429376</v>
      </c>
      <c r="M2202" s="20">
        <f t="shared" si="73"/>
        <v>-13.17069386489799</v>
      </c>
    </row>
    <row r="2203" spans="1:13" x14ac:dyDescent="0.2">
      <c r="A2203" s="23">
        <v>544</v>
      </c>
      <c r="B2203" s="20">
        <v>1030.8276742146199</v>
      </c>
      <c r="C2203" s="20">
        <v>114.19257494639901</v>
      </c>
      <c r="D2203" s="20">
        <v>305.740137771001</v>
      </c>
      <c r="E2203" s="20">
        <v>-0.18683078056907601</v>
      </c>
      <c r="F2203" s="20">
        <v>-4.3331890588725899E-2</v>
      </c>
      <c r="G2203" s="20">
        <v>0.19178997187038699</v>
      </c>
      <c r="H2203" s="20">
        <v>4.9157168408444796E-3</v>
      </c>
      <c r="I2203" s="20">
        <v>183.207642671694</v>
      </c>
      <c r="L2203" s="20">
        <f t="shared" si="72"/>
        <v>1037.1333752703226</v>
      </c>
      <c r="M2203" s="20">
        <f t="shared" si="73"/>
        <v>-13.171593865985784</v>
      </c>
    </row>
    <row r="2204" spans="1:13" x14ac:dyDescent="0.2">
      <c r="A2204" s="23">
        <v>544.25</v>
      </c>
      <c r="B2204" s="20">
        <v>1030.90223151132</v>
      </c>
      <c r="C2204" s="20">
        <v>114.161260817951</v>
      </c>
      <c r="D2204" s="20">
        <v>305.69421413719101</v>
      </c>
      <c r="E2204" s="20">
        <v>-0.18670489264475201</v>
      </c>
      <c r="F2204" s="20">
        <v>-4.2615336894003701E-2</v>
      </c>
      <c r="G2204" s="20">
        <v>0.19150661575015601</v>
      </c>
      <c r="H2204" s="20">
        <v>4.90777113437598E-3</v>
      </c>
      <c r="I2204" s="20">
        <v>183.234482746373</v>
      </c>
      <c r="L2204" s="20">
        <f t="shared" ref="L2204:L2267" si="74">SQRT(B2204^2+C2204^2)</f>
        <v>1037.2040321974089</v>
      </c>
      <c r="M2204" s="20">
        <f t="shared" ref="M2204:M2267" si="75">-L2204/A$25*100</f>
        <v>-13.172491208959784</v>
      </c>
    </row>
    <row r="2205" spans="1:13" x14ac:dyDescent="0.2">
      <c r="A2205" s="23">
        <v>544.5</v>
      </c>
      <c r="B2205" s="20">
        <v>1030.97659445881</v>
      </c>
      <c r="C2205" s="20">
        <v>114.129792124487</v>
      </c>
      <c r="D2205" s="20">
        <v>305.64822821816301</v>
      </c>
      <c r="E2205" s="20">
        <v>-0.18657886295057899</v>
      </c>
      <c r="F2205" s="20">
        <v>-4.1899998811024498E-2</v>
      </c>
      <c r="G2205" s="20">
        <v>0.191225735716443</v>
      </c>
      <c r="H2205" s="20">
        <v>4.8998831938740399E-3</v>
      </c>
      <c r="I2205" s="20">
        <v>183.26106010766</v>
      </c>
      <c r="L2205" s="20">
        <f t="shared" si="74"/>
        <v>1037.2744804400927</v>
      </c>
      <c r="M2205" s="20">
        <f t="shared" si="75"/>
        <v>-13.17338590164187</v>
      </c>
    </row>
    <row r="2206" spans="1:13" x14ac:dyDescent="0.2">
      <c r="A2206" s="23">
        <v>544.75</v>
      </c>
      <c r="B2206" s="20">
        <v>1031.0507636356799</v>
      </c>
      <c r="C2206" s="20">
        <v>114.098169066217</v>
      </c>
      <c r="D2206" s="20">
        <v>305.602179906039</v>
      </c>
      <c r="E2206" s="20">
        <v>-0.186452685641528</v>
      </c>
      <c r="F2206" s="20">
        <v>-4.1185868841169003E-2</v>
      </c>
      <c r="G2206" s="20">
        <v>0.190947321989968</v>
      </c>
      <c r="H2206" s="20">
        <v>4.8920532093453097E-3</v>
      </c>
      <c r="I2206" s="20">
        <v>183.287373761418</v>
      </c>
      <c r="L2206" s="20">
        <f t="shared" si="74"/>
        <v>1037.3447206102617</v>
      </c>
      <c r="M2206" s="20">
        <f t="shared" si="75"/>
        <v>-13.17427795180302</v>
      </c>
    </row>
    <row r="2207" spans="1:13" x14ac:dyDescent="0.2">
      <c r="A2207" s="23">
        <v>545</v>
      </c>
      <c r="B2207" s="20">
        <v>1031.12473961654</v>
      </c>
      <c r="C2207" s="20">
        <v>114.066391842694</v>
      </c>
      <c r="D2207" s="20">
        <v>305.55606909322</v>
      </c>
      <c r="E2207" s="20">
        <v>-0.18632635482909399</v>
      </c>
      <c r="F2207" s="20">
        <v>-4.0472939472349999E-2</v>
      </c>
      <c r="G2207" s="20">
        <v>0.19067136474423699</v>
      </c>
      <c r="H2207" s="20">
        <v>4.8842813718993402E-3</v>
      </c>
      <c r="I2207" s="20">
        <v>183.31342270717701</v>
      </c>
      <c r="L2207" s="20">
        <f t="shared" si="74"/>
        <v>1037.414753315803</v>
      </c>
      <c r="M2207" s="20">
        <f t="shared" si="75"/>
        <v>-13.175167367163398</v>
      </c>
    </row>
    <row r="2208" spans="1:13" x14ac:dyDescent="0.2">
      <c r="A2208" s="23">
        <v>545.25</v>
      </c>
      <c r="B2208" s="20">
        <v>1031.1985229720499</v>
      </c>
      <c r="C2208" s="20">
        <v>114.03446065281599</v>
      </c>
      <c r="D2208" s="20">
        <v>305.509895672391</v>
      </c>
      <c r="E2208" s="20">
        <v>-0.186199864581025</v>
      </c>
      <c r="F2208" s="20">
        <v>-3.9761203179093402E-2</v>
      </c>
      <c r="G2208" s="20">
        <v>0.19039785410618801</v>
      </c>
      <c r="H2208" s="20">
        <v>4.8765678737834302E-3</v>
      </c>
      <c r="I2208" s="20">
        <v>183.33920593807699</v>
      </c>
      <c r="L2208" s="20">
        <f t="shared" si="74"/>
        <v>1037.4845791606331</v>
      </c>
      <c r="M2208" s="20">
        <f t="shared" si="75"/>
        <v>-13.176054155392745</v>
      </c>
    </row>
    <row r="2209" spans="1:13" x14ac:dyDescent="0.2">
      <c r="A2209" s="23">
        <v>545.5</v>
      </c>
      <c r="B2209" s="20">
        <v>1031.2721142688199</v>
      </c>
      <c r="C2209" s="20">
        <v>114.002375694815</v>
      </c>
      <c r="D2209" s="20">
        <v>305.46365953652497</v>
      </c>
      <c r="E2209" s="20">
        <v>-0.18607320892105</v>
      </c>
      <c r="F2209" s="20">
        <v>-3.9050652422619299E-2</v>
      </c>
      <c r="G2209" s="20">
        <v>0.19012678015684401</v>
      </c>
      <c r="H2209" s="20">
        <v>4.8689129084181796E-3</v>
      </c>
      <c r="I2209" s="20">
        <v>183.36472244079201</v>
      </c>
      <c r="L2209" s="20">
        <f t="shared" si="74"/>
        <v>1037.5541987445974</v>
      </c>
      <c r="M2209" s="20">
        <f t="shared" si="75"/>
        <v>-13.176938324109095</v>
      </c>
    </row>
    <row r="2210" spans="1:13" x14ac:dyDescent="0.2">
      <c r="A2210" s="23">
        <v>545.75</v>
      </c>
      <c r="B2210" s="20">
        <v>1031.34551406947</v>
      </c>
      <c r="C2210" s="20">
        <v>113.970137166252</v>
      </c>
      <c r="D2210" s="20">
        <v>305.41736057887999</v>
      </c>
      <c r="E2210" s="20">
        <v>-0.18594638182860801</v>
      </c>
      <c r="F2210" s="20">
        <v>-3.8341279650920899E-2</v>
      </c>
      <c r="G2210" s="20">
        <v>0.189858132931988</v>
      </c>
      <c r="H2210" s="20">
        <v>4.8613166704330997E-3</v>
      </c>
      <c r="I2210" s="20">
        <v>183.38997119547599</v>
      </c>
      <c r="L2210" s="20">
        <f t="shared" si="74"/>
        <v>1037.6236126635292</v>
      </c>
      <c r="M2210" s="20">
        <f t="shared" si="75"/>
        <v>-13.177819880879532</v>
      </c>
    </row>
    <row r="2211" spans="1:13" x14ac:dyDescent="0.2">
      <c r="A2211" s="23">
        <v>546</v>
      </c>
      <c r="B2211" s="20">
        <v>1031.4187229325801</v>
      </c>
      <c r="C2211" s="20">
        <v>113.93774526401501</v>
      </c>
      <c r="D2211" s="20">
        <v>305.37099869300499</v>
      </c>
      <c r="E2211" s="20">
        <v>-0.18581937723856801</v>
      </c>
      <c r="F2211" s="20">
        <v>-3.7633077298843E-2</v>
      </c>
      <c r="G2211" s="20">
        <v>0.189591902422835</v>
      </c>
      <c r="H2211" s="20">
        <v>4.8537793557027302E-3</v>
      </c>
      <c r="I2211" s="20">
        <v>183.41495117569099</v>
      </c>
      <c r="L2211" s="20">
        <f t="shared" si="74"/>
        <v>1037.6928215091989</v>
      </c>
      <c r="M2211" s="20">
        <f t="shared" si="75"/>
        <v>-13.17869883321954</v>
      </c>
    </row>
    <row r="2212" spans="1:13" x14ac:dyDescent="0.2">
      <c r="A2212" s="23">
        <v>546.25</v>
      </c>
      <c r="B2212" s="20">
        <v>1031.4917414126701</v>
      </c>
      <c r="C2212" s="20">
        <v>113.90520018430701</v>
      </c>
      <c r="D2212" s="20">
        <v>305.32457377274102</v>
      </c>
      <c r="E2212" s="20">
        <v>-0.185692189040954</v>
      </c>
      <c r="F2212" s="20">
        <v>-3.6926037788159297E-2</v>
      </c>
      <c r="G2212" s="20">
        <v>0.18932807857672301</v>
      </c>
      <c r="H2212" s="20">
        <v>4.8463011613829998E-3</v>
      </c>
      <c r="I2212" s="20">
        <v>183.43966134834301</v>
      </c>
      <c r="L2212" s="20">
        <f t="shared" si="74"/>
        <v>1037.7618258692935</v>
      </c>
      <c r="M2212" s="20">
        <f t="shared" si="75"/>
        <v>-13.179575188592747</v>
      </c>
    </row>
    <row r="2213" spans="1:13" x14ac:dyDescent="0.2">
      <c r="A2213" s="23">
        <v>546.5</v>
      </c>
      <c r="B2213" s="20">
        <v>1031.5645700601899</v>
      </c>
      <c r="C2213" s="20">
        <v>113.872502122645</v>
      </c>
      <c r="D2213" s="20">
        <v>305.27808571222602</v>
      </c>
      <c r="E2213" s="20">
        <v>-0.185564811080667</v>
      </c>
      <c r="F2213" s="20">
        <v>-3.6220153527648902E-2</v>
      </c>
      <c r="G2213" s="20">
        <v>0.189066651297816</v>
      </c>
      <c r="H2213" s="20">
        <v>4.8388822859477196E-3</v>
      </c>
      <c r="I2213" s="20">
        <v>183.464100673621</v>
      </c>
      <c r="L2213" s="20">
        <f t="shared" si="74"/>
        <v>1037.8306263274062</v>
      </c>
      <c r="M2213" s="20">
        <f t="shared" si="75"/>
        <v>-13.180448954410782</v>
      </c>
    </row>
    <row r="2214" spans="1:13" x14ac:dyDescent="0.2">
      <c r="A2214" s="23">
        <v>546.75</v>
      </c>
      <c r="B2214" s="20">
        <v>1031.6372094215101</v>
      </c>
      <c r="C2214" s="20">
        <v>113.839651273852</v>
      </c>
      <c r="D2214" s="20">
        <v>305.231534405893</v>
      </c>
      <c r="E2214" s="20">
        <v>-0.18543723715720001</v>
      </c>
      <c r="F2214" s="20">
        <v>-3.5515416913171498E-2</v>
      </c>
      <c r="G2214" s="20">
        <v>0.18880761044781</v>
      </c>
      <c r="H2214" s="20">
        <v>4.8315229292258399E-3</v>
      </c>
      <c r="I2214" s="20">
        <v>183.488268104925</v>
      </c>
      <c r="L2214" s="20">
        <f t="shared" si="74"/>
        <v>1037.8992234630264</v>
      </c>
      <c r="M2214" s="20">
        <f t="shared" si="75"/>
        <v>-13.181320138033161</v>
      </c>
    </row>
    <row r="2215" spans="1:13" x14ac:dyDescent="0.2">
      <c r="A2215" s="23">
        <v>547</v>
      </c>
      <c r="B2215" s="20">
        <v>1031.70966003889</v>
      </c>
      <c r="C2215" s="20">
        <v>113.80664783205199</v>
      </c>
      <c r="D2215" s="20">
        <v>305.18491974847399</v>
      </c>
      <c r="E2215" s="20">
        <v>-0.18530946102435999</v>
      </c>
      <c r="F2215" s="20">
        <v>-3.4811820327741598E-2</v>
      </c>
      <c r="G2215" s="20">
        <v>0.18855094584665899</v>
      </c>
      <c r="H2215" s="20">
        <v>4.8242232924385698E-3</v>
      </c>
      <c r="I2215" s="20">
        <v>183.512162588808</v>
      </c>
      <c r="L2215" s="20">
        <f t="shared" si="74"/>
        <v>1037.9676178515065</v>
      </c>
      <c r="M2215" s="20">
        <f t="shared" si="75"/>
        <v>-13.182188746766862</v>
      </c>
    </row>
    <row r="2216" spans="1:13" x14ac:dyDescent="0.2">
      <c r="A2216" s="23">
        <v>547.25</v>
      </c>
      <c r="B2216" s="20">
        <v>1031.7819224504899</v>
      </c>
      <c r="C2216" s="20">
        <v>113.773491990663</v>
      </c>
      <c r="D2216" s="20">
        <v>305.13824163500601</v>
      </c>
      <c r="E2216" s="20">
        <v>-0.18518147638997701</v>
      </c>
      <c r="F2216" s="20">
        <v>-3.4109356141602001E-2</v>
      </c>
      <c r="G2216" s="20">
        <v>0.188296647273302</v>
      </c>
      <c r="H2216" s="20">
        <v>4.8169835782370203E-3</v>
      </c>
      <c r="I2216" s="20">
        <v>183.535783064908</v>
      </c>
      <c r="L2216" s="20">
        <f t="shared" si="74"/>
        <v>1038.035810064074</v>
      </c>
      <c r="M2216" s="20">
        <f t="shared" si="75"/>
        <v>-13.183054787866471</v>
      </c>
    </row>
    <row r="2217" spans="1:13" x14ac:dyDescent="0.2">
      <c r="A2217" s="23">
        <v>547.5</v>
      </c>
      <c r="B2217" s="20">
        <v>1031.8539971903001</v>
      </c>
      <c r="C2217" s="20">
        <v>113.740183942394</v>
      </c>
      <c r="D2217" s="20">
        <v>305.09149996082698</v>
      </c>
      <c r="E2217" s="20">
        <v>-0.18505327691562501</v>
      </c>
      <c r="F2217" s="20">
        <v>-3.3408016712295603E-2</v>
      </c>
      <c r="G2217" s="20">
        <v>0.188044704466411</v>
      </c>
      <c r="H2217" s="20">
        <v>4.8098039907402204E-3</v>
      </c>
      <c r="I2217" s="20">
        <v>183.55912846588001</v>
      </c>
      <c r="L2217" s="20">
        <f t="shared" si="74"/>
        <v>1038.1038006677604</v>
      </c>
      <c r="M2217" s="20">
        <f t="shared" si="75"/>
        <v>-13.183918268533294</v>
      </c>
    </row>
    <row r="2218" spans="1:13" x14ac:dyDescent="0.2">
      <c r="A2218" s="23">
        <v>547.75</v>
      </c>
      <c r="B2218" s="20">
        <v>1031.9258847881899</v>
      </c>
      <c r="C2218" s="20">
        <v>113.706723879235</v>
      </c>
      <c r="D2218" s="20">
        <v>305.04469462158198</v>
      </c>
      <c r="E2218" s="20">
        <v>-0.18492485621632801</v>
      </c>
      <c r="F2218" s="20">
        <v>-3.2707794384737199E-2</v>
      </c>
      <c r="G2218" s="20">
        <v>0.187795107125143</v>
      </c>
      <c r="H2218" s="20">
        <v>4.8026847355733902E-3</v>
      </c>
      <c r="I2218" s="20">
        <v>183.58219771733701</v>
      </c>
      <c r="L2218" s="20">
        <f t="shared" si="74"/>
        <v>1038.1715902254489</v>
      </c>
      <c r="M2218" s="20">
        <f t="shared" si="75"/>
        <v>-13.18477919591594</v>
      </c>
    </row>
    <row r="2219" spans="1:13" x14ac:dyDescent="0.2">
      <c r="A2219" s="23">
        <v>548</v>
      </c>
      <c r="B2219" s="20">
        <v>1031.99758576984</v>
      </c>
      <c r="C2219" s="20">
        <v>113.673111992454</v>
      </c>
      <c r="D2219" s="20">
        <v>304.99782551322602</v>
      </c>
      <c r="E2219" s="20">
        <v>-0.18479620786027301</v>
      </c>
      <c r="F2219" s="20">
        <v>-3.2008681491283303E-2</v>
      </c>
      <c r="G2219" s="20">
        <v>0.18754784490989901</v>
      </c>
      <c r="H2219" s="20">
        <v>4.79562601990631E-3</v>
      </c>
      <c r="I2219" s="20">
        <v>183.60498973778101</v>
      </c>
      <c r="L2219" s="20">
        <f t="shared" si="74"/>
        <v>1038.2391792958053</v>
      </c>
      <c r="M2219" s="20">
        <f t="shared" si="75"/>
        <v>-13.185637577109471</v>
      </c>
    </row>
    <row r="2220" spans="1:13" x14ac:dyDescent="0.2">
      <c r="A2220" s="23">
        <v>548.25</v>
      </c>
      <c r="B2220" s="20">
        <v>1032.0691006567599</v>
      </c>
      <c r="C2220" s="20">
        <v>113.639348472591</v>
      </c>
      <c r="D2220" s="20">
        <v>304.950892532024</v>
      </c>
      <c r="E2220" s="20">
        <v>-0.18466732536851599</v>
      </c>
      <c r="F2220" s="20">
        <v>-3.1310670351801399E-2</v>
      </c>
      <c r="G2220" s="20">
        <v>0.18730290744310599</v>
      </c>
      <c r="H2220" s="20">
        <v>4.7886280524925004E-3</v>
      </c>
      <c r="I2220" s="20">
        <v>183.62750343853801</v>
      </c>
      <c r="L2220" s="20">
        <f t="shared" si="74"/>
        <v>1038.3065684332967</v>
      </c>
      <c r="M2220" s="20">
        <f t="shared" si="75"/>
        <v>-13.186493419155616</v>
      </c>
    </row>
    <row r="2221" spans="1:13" x14ac:dyDescent="0.2">
      <c r="A2221" s="23">
        <v>548.5</v>
      </c>
      <c r="B2221" s="20">
        <v>1032.1404299662499</v>
      </c>
      <c r="C2221" s="20">
        <v>113.605433509449</v>
      </c>
      <c r="D2221" s="20">
        <v>304.90389557455501</v>
      </c>
      <c r="E2221" s="20">
        <v>-0.184538202214693</v>
      </c>
      <c r="F2221" s="20">
        <v>-3.06137532737384E-2</v>
      </c>
      <c r="G2221" s="20">
        <v>0.187060284309995</v>
      </c>
      <c r="H2221" s="20">
        <v>4.7816910437081597E-3</v>
      </c>
      <c r="I2221" s="20">
        <v>183.64973772369399</v>
      </c>
      <c r="L2221" s="20">
        <f t="shared" si="74"/>
        <v>1038.3737581881512</v>
      </c>
      <c r="M2221" s="20">
        <f t="shared" si="75"/>
        <v>-13.187346729042272</v>
      </c>
    </row>
    <row r="2222" spans="1:13" x14ac:dyDescent="0.2">
      <c r="A2222" s="23">
        <v>548.75</v>
      </c>
      <c r="B2222" s="20">
        <v>1032.2115742113799</v>
      </c>
      <c r="C2222" s="20">
        <v>113.57136729209201</v>
      </c>
      <c r="D2222" s="20">
        <v>304.85683453771401</v>
      </c>
      <c r="E2222" s="20">
        <v>-0.18440883182471901</v>
      </c>
      <c r="F2222" s="20">
        <v>-2.99179225521875E-2</v>
      </c>
      <c r="G2222" s="20">
        <v>0.18681996505940199</v>
      </c>
      <c r="H2222" s="20">
        <v>4.7748152055918404E-3</v>
      </c>
      <c r="I2222" s="20">
        <v>183.671691490033</v>
      </c>
      <c r="L2222" s="20">
        <f t="shared" si="74"/>
        <v>1038.4407491063369</v>
      </c>
      <c r="M2222" s="20">
        <f t="shared" si="75"/>
        <v>-13.188197513703232</v>
      </c>
    </row>
    <row r="2223" spans="1:13" x14ac:dyDescent="0.2">
      <c r="A2223" s="23">
        <v>549</v>
      </c>
      <c r="B2223" s="20">
        <v>1032.2825339009901</v>
      </c>
      <c r="C2223" s="20">
        <v>113.537150008838</v>
      </c>
      <c r="D2223" s="20">
        <v>304.809709318714</v>
      </c>
      <c r="E2223" s="20">
        <v>-0.18427920757649499</v>
      </c>
      <c r="F2223" s="20">
        <v>-2.9223170469954599E-2</v>
      </c>
      <c r="G2223" s="20">
        <v>0.186581939204568</v>
      </c>
      <c r="H2223" s="20">
        <v>4.7680007518840998E-3</v>
      </c>
      <c r="I2223" s="20">
        <v>183.693363626966</v>
      </c>
      <c r="L2223" s="20">
        <f t="shared" si="74"/>
        <v>1038.507541729562</v>
      </c>
      <c r="M2223" s="20">
        <f t="shared" si="75"/>
        <v>-13.189045780018194</v>
      </c>
    </row>
    <row r="2224" spans="1:13" x14ac:dyDescent="0.2">
      <c r="A2224" s="23">
        <v>549.25</v>
      </c>
      <c r="B2224" s="20">
        <v>1032.3533095396699</v>
      </c>
      <c r="C2224" s="20">
        <v>113.502781847251</v>
      </c>
      <c r="D2224" s="20">
        <v>304.76251981508699</v>
      </c>
      <c r="E2224" s="20">
        <v>-0.18414932279960899</v>
      </c>
      <c r="F2224" s="20">
        <v>-2.8529489297623299E-2</v>
      </c>
      <c r="G2224" s="20">
        <v>0.18634619622395801</v>
      </c>
      <c r="H2224" s="20">
        <v>4.7612478980677804E-3</v>
      </c>
      <c r="I2224" s="20">
        <v>183.71475301647101</v>
      </c>
      <c r="L2224" s="20">
        <f t="shared" si="74"/>
        <v>1038.5741365952526</v>
      </c>
      <c r="M2224" s="20">
        <f t="shared" si="75"/>
        <v>-13.189891534812467</v>
      </c>
    </row>
    <row r="2225" spans="1:13" x14ac:dyDescent="0.2">
      <c r="A2225" s="23">
        <v>549.5</v>
      </c>
      <c r="B2225" s="20">
        <v>1032.4239016277299</v>
      </c>
      <c r="C2225" s="20">
        <v>113.46826299413701</v>
      </c>
      <c r="D2225" s="20">
        <v>304.71526592469098</v>
      </c>
      <c r="E2225" s="20">
        <v>-0.18401917077503399</v>
      </c>
      <c r="F2225" s="20">
        <v>-2.7836871293619399E-2</v>
      </c>
      <c r="G2225" s="20">
        <v>0.18611272556208699</v>
      </c>
      <c r="H2225" s="20">
        <v>4.7545568614082998E-3</v>
      </c>
      <c r="I2225" s="20">
        <v>183.735858533026</v>
      </c>
      <c r="L2225" s="20">
        <f t="shared" si="74"/>
        <v>1038.6405342365235</v>
      </c>
      <c r="M2225" s="20">
        <f t="shared" si="75"/>
        <v>-13.190734784856611</v>
      </c>
    </row>
    <row r="2226" spans="1:13" x14ac:dyDescent="0.2">
      <c r="A2226" s="23">
        <v>549.75</v>
      </c>
      <c r="B2226" s="20">
        <v>1032.49431066119</v>
      </c>
      <c r="C2226" s="20">
        <v>113.43359363553699</v>
      </c>
      <c r="D2226" s="20">
        <v>304.66794754570702</v>
      </c>
      <c r="E2226" s="20">
        <v>-0.183888744734828</v>
      </c>
      <c r="F2226" s="20">
        <v>-2.7145308704273698E-2</v>
      </c>
      <c r="G2226" s="20">
        <v>0.18588151663035499</v>
      </c>
      <c r="H2226" s="20">
        <v>4.7479278609944102E-3</v>
      </c>
      <c r="I2226" s="20">
        <v>183.75667904354401</v>
      </c>
      <c r="L2226" s="20">
        <f t="shared" si="74"/>
        <v>1038.7067351821679</v>
      </c>
      <c r="M2226" s="20">
        <f t="shared" si="75"/>
        <v>-13.191575536866299</v>
      </c>
    </row>
    <row r="2227" spans="1:13" x14ac:dyDescent="0.2">
      <c r="A2227" s="23">
        <v>550</v>
      </c>
      <c r="B2227" s="20">
        <v>1032.5645371317601</v>
      </c>
      <c r="C2227" s="20">
        <v>113.398773956722</v>
      </c>
      <c r="D2227" s="20">
        <v>304.62056457664403</v>
      </c>
      <c r="E2227" s="20">
        <v>-0.18375803786182901</v>
      </c>
      <c r="F2227" s="20">
        <v>-2.6454793763884502E-2</v>
      </c>
      <c r="G2227" s="20">
        <v>0.185652558807896</v>
      </c>
      <c r="H2227" s="20">
        <v>4.7413611177791496E-3</v>
      </c>
      <c r="I2227" s="20">
        <v>183.77721340730901</v>
      </c>
      <c r="L2227" s="20">
        <f t="shared" si="74"/>
        <v>1038.7727399566343</v>
      </c>
      <c r="M2227" s="20">
        <f t="shared" si="75"/>
        <v>-13.192413797502025</v>
      </c>
    </row>
    <row r="2228" spans="1:13" x14ac:dyDescent="0.2">
      <c r="A2228" s="23">
        <v>550.25</v>
      </c>
      <c r="B2228" s="20">
        <v>1032.6345815268301</v>
      </c>
      <c r="C2228" s="20">
        <v>113.363804142185</v>
      </c>
      <c r="D2228" s="20">
        <v>304.573116916343</v>
      </c>
      <c r="E2228" s="20">
        <v>-0.18362704328935101</v>
      </c>
      <c r="F2228" s="20">
        <v>-2.5765318694778699E-2</v>
      </c>
      <c r="G2228" s="20">
        <v>0.18542584144242799</v>
      </c>
      <c r="H2228" s="20">
        <v>4.7348568546213103E-3</v>
      </c>
      <c r="I2228" s="20">
        <v>183.79746047591399</v>
      </c>
      <c r="L2228" s="20">
        <f t="shared" si="74"/>
        <v>1038.838549080019</v>
      </c>
      <c r="M2228" s="20">
        <f t="shared" si="75"/>
        <v>-13.193249573369014</v>
      </c>
    </row>
    <row r="2229" spans="1:13" x14ac:dyDescent="0.2">
      <c r="A2229" s="23">
        <v>550.5</v>
      </c>
      <c r="B2229" s="20">
        <v>1032.7044443294401</v>
      </c>
      <c r="C2229" s="20">
        <v>113.32868437563801</v>
      </c>
      <c r="D2229" s="20">
        <v>304.52560446397302</v>
      </c>
      <c r="E2229" s="20">
        <v>-0.18349575410087399</v>
      </c>
      <c r="F2229" s="20">
        <v>-2.5076875707371798E-2</v>
      </c>
      <c r="G2229" s="20">
        <v>0.18520135385113001</v>
      </c>
      <c r="H2229" s="20">
        <v>4.7284152963268204E-3</v>
      </c>
      <c r="I2229" s="20">
        <v>183.81741909319001</v>
      </c>
      <c r="L2229" s="20">
        <f t="shared" si="74"/>
        <v>1038.9041630680333</v>
      </c>
      <c r="M2229" s="20">
        <f t="shared" si="75"/>
        <v>-13.1940828710168</v>
      </c>
    </row>
    <row r="2230" spans="1:13" x14ac:dyDescent="0.2">
      <c r="A2230" s="23">
        <v>550.75</v>
      </c>
      <c r="B2230" s="20">
        <v>1032.77412601828</v>
      </c>
      <c r="C2230" s="20">
        <v>113.293414840002</v>
      </c>
      <c r="D2230" s="20">
        <v>304.47802711904302</v>
      </c>
      <c r="E2230" s="20">
        <v>-0.18336416332974001</v>
      </c>
      <c r="F2230" s="20">
        <v>-2.4389457000227498E-2</v>
      </c>
      <c r="G2230" s="20">
        <v>0.184979085321507</v>
      </c>
      <c r="H2230" s="20">
        <v>4.7220366696907098E-3</v>
      </c>
      <c r="I2230" s="20">
        <v>183.83708809514599</v>
      </c>
      <c r="L2230" s="20">
        <f t="shared" si="74"/>
        <v>1038.9695824320031</v>
      </c>
      <c r="M2230" s="20">
        <f t="shared" si="75"/>
        <v>-13.194913696939221</v>
      </c>
    </row>
    <row r="2231" spans="1:13" x14ac:dyDescent="0.2">
      <c r="A2231" s="23">
        <v>551</v>
      </c>
      <c r="B2231" s="20">
        <v>1032.84362706766</v>
      </c>
      <c r="C2231" s="20">
        <v>113.25799571740301</v>
      </c>
      <c r="D2231" s="20">
        <v>304.43038478139601</v>
      </c>
      <c r="E2231" s="20">
        <v>-0.18323226395883799</v>
      </c>
      <c r="F2231" s="20">
        <v>-2.3703054760115701E-2</v>
      </c>
      <c r="G2231" s="20">
        <v>0.18475902511228601</v>
      </c>
      <c r="H2231" s="20">
        <v>4.7157212035393104E-3</v>
      </c>
      <c r="I2231" s="20">
        <v>183.856466309903</v>
      </c>
      <c r="L2231" s="20">
        <f t="shared" si="74"/>
        <v>1039.0348076788393</v>
      </c>
      <c r="M2231" s="20">
        <f t="shared" si="75"/>
        <v>-13.195742057574043</v>
      </c>
    </row>
    <row r="2232" spans="1:13" x14ac:dyDescent="0.2">
      <c r="A2232" s="23">
        <v>551.25</v>
      </c>
      <c r="B2232" s="20">
        <v>1032.91294794747</v>
      </c>
      <c r="C2232" s="20">
        <v>113.222427189168</v>
      </c>
      <c r="D2232" s="20">
        <v>304.38267735121599</v>
      </c>
      <c r="E2232" s="20">
        <v>-0.18310004892029599</v>
      </c>
      <c r="F2232" s="20">
        <v>-2.30176611620697E-2</v>
      </c>
      <c r="G2232" s="20">
        <v>0.18454116245430599</v>
      </c>
      <c r="H2232" s="20">
        <v>4.7094691287726601E-3</v>
      </c>
      <c r="I2232" s="20">
        <v>183.87555255762999</v>
      </c>
      <c r="L2232" s="20">
        <f t="shared" si="74"/>
        <v>1039.0998393109967</v>
      </c>
      <c r="M2232" s="20">
        <f t="shared" si="75"/>
        <v>-13.196567959302444</v>
      </c>
    </row>
    <row r="2233" spans="1:13" x14ac:dyDescent="0.2">
      <c r="A2233" s="23">
        <v>551.5</v>
      </c>
      <c r="B2233" s="20">
        <v>1032.98208912321</v>
      </c>
      <c r="C2233" s="20">
        <v>113.186709435813</v>
      </c>
      <c r="D2233" s="20">
        <v>304.33490472902702</v>
      </c>
      <c r="E2233" s="20">
        <v>-0.18296751109516399</v>
      </c>
      <c r="F2233" s="20">
        <v>-2.2333268369442699E-2</v>
      </c>
      <c r="G2233" s="20">
        <v>0.184325486551428</v>
      </c>
      <c r="H2233" s="20">
        <v>4.7032806784072304E-3</v>
      </c>
      <c r="I2233" s="20">
        <v>183.89434565048001</v>
      </c>
      <c r="L2233" s="20">
        <f t="shared" si="74"/>
        <v>1039.1646778265024</v>
      </c>
      <c r="M2233" s="20">
        <f t="shared" si="75"/>
        <v>-13.197391408449372</v>
      </c>
    </row>
    <row r="2234" spans="1:13" x14ac:dyDescent="0.2">
      <c r="A2234" s="23">
        <v>551.75</v>
      </c>
      <c r="B2234" s="20">
        <v>1033.05105105594</v>
      </c>
      <c r="C2234" s="20">
        <v>113.150842637042</v>
      </c>
      <c r="D2234" s="20">
        <v>304.287066815701</v>
      </c>
      <c r="E2234" s="20">
        <v>-0.18283464331310201</v>
      </c>
      <c r="F2234" s="20">
        <v>-2.16498685339628E-2</v>
      </c>
      <c r="G2234" s="20">
        <v>0.18411198658144701</v>
      </c>
      <c r="H2234" s="20">
        <v>4.6971560876188602E-3</v>
      </c>
      <c r="I2234" s="20">
        <v>183.912844392522</v>
      </c>
      <c r="L2234" s="20">
        <f t="shared" si="74"/>
        <v>1039.229323718906</v>
      </c>
      <c r="M2234" s="20">
        <f t="shared" si="75"/>
        <v>-13.198212411282901</v>
      </c>
    </row>
    <row r="2235" spans="1:13" x14ac:dyDescent="0.2">
      <c r="A2235" s="23">
        <v>552</v>
      </c>
      <c r="B2235" s="20">
        <v>1033.1198342022501</v>
      </c>
      <c r="C2235" s="20">
        <v>113.11482697173901</v>
      </c>
      <c r="D2235" s="20">
        <v>304.23916351245299</v>
      </c>
      <c r="E2235" s="20">
        <v>-0.18270143835206001</v>
      </c>
      <c r="F2235" s="20">
        <v>-2.0967453795787499E-2</v>
      </c>
      <c r="G2235" s="20">
        <v>0.18390065169702399</v>
      </c>
      <c r="H2235" s="20">
        <v>4.6910955937860604E-3</v>
      </c>
      <c r="I2235" s="20">
        <v>183.931047579682</v>
      </c>
      <c r="L2235" s="20">
        <f t="shared" si="74"/>
        <v>1039.2937774772497</v>
      </c>
      <c r="M2235" s="20">
        <f t="shared" si="75"/>
        <v>-13.199030974013867</v>
      </c>
    </row>
    <row r="2236" spans="1:13" x14ac:dyDescent="0.2">
      <c r="A2236" s="23">
        <v>552.25</v>
      </c>
      <c r="B2236" s="20">
        <v>1033.18843901429</v>
      </c>
      <c r="C2236" s="20">
        <v>113.078662617961</v>
      </c>
      <c r="D2236" s="20">
        <v>304.19119472084998</v>
      </c>
      <c r="E2236" s="20">
        <v>-0.182567888937961</v>
      </c>
      <c r="F2236" s="20">
        <v>-2.0286016283557199E-2</v>
      </c>
      <c r="G2236" s="20">
        <v>0.18369147102661201</v>
      </c>
      <c r="H2236" s="20">
        <v>4.6850994365335201E-3</v>
      </c>
      <c r="I2236" s="20">
        <v>183.94895399967299</v>
      </c>
      <c r="L2236" s="20">
        <f t="shared" si="74"/>
        <v>1039.3580395860956</v>
      </c>
      <c r="M2236" s="20">
        <f t="shared" si="75"/>
        <v>-13.199847102796214</v>
      </c>
    </row>
    <row r="2237" spans="1:13" x14ac:dyDescent="0.2">
      <c r="A2237" s="23">
        <v>552.5</v>
      </c>
      <c r="B2237" s="20">
        <v>1033.2568659397</v>
      </c>
      <c r="C2237" s="20">
        <v>113.042349752934</v>
      </c>
      <c r="D2237" s="20">
        <v>304.14316034280898</v>
      </c>
      <c r="E2237" s="20">
        <v>-0.18243398774438399</v>
      </c>
      <c r="F2237" s="20">
        <v>-1.9605548114447102E-2</v>
      </c>
      <c r="G2237" s="20">
        <v>0.18348443367541001</v>
      </c>
      <c r="H2237" s="20">
        <v>4.6791678577758596E-3</v>
      </c>
      <c r="I2237" s="20">
        <v>183.96656243193601</v>
      </c>
      <c r="L2237" s="20">
        <f t="shared" si="74"/>
        <v>1039.4221105254571</v>
      </c>
      <c r="M2237" s="20">
        <f t="shared" si="75"/>
        <v>-13.200660803726109</v>
      </c>
    </row>
    <row r="2238" spans="1:13" x14ac:dyDescent="0.2">
      <c r="A2238" s="23">
        <v>552.75</v>
      </c>
      <c r="B2238" s="20">
        <v>1033.32511542161</v>
      </c>
      <c r="C2238" s="20">
        <v>113.00588855304299</v>
      </c>
      <c r="D2238" s="20">
        <v>304.09506028060201</v>
      </c>
      <c r="E2238" s="20">
        <v>-0.18229972739223699</v>
      </c>
      <c r="F2238" s="20">
        <v>-1.8926041394218902E-2</v>
      </c>
      <c r="G2238" s="20">
        <v>0.18327952872631301</v>
      </c>
      <c r="H2238" s="20">
        <v>4.67330110176159E-3</v>
      </c>
      <c r="I2238" s="20">
        <v>183.98387164757199</v>
      </c>
      <c r="L2238" s="20">
        <f t="shared" si="74"/>
        <v>1039.4859907707976</v>
      </c>
      <c r="M2238" s="20">
        <f t="shared" si="75"/>
        <v>-13.201472082841937</v>
      </c>
    </row>
    <row r="2239" spans="1:13" x14ac:dyDescent="0.2">
      <c r="A2239" s="23">
        <v>553</v>
      </c>
      <c r="B2239" s="20">
        <v>1033.39318789863</v>
      </c>
      <c r="C2239" s="20">
        <v>112.96927919382701</v>
      </c>
      <c r="D2239" s="20">
        <v>304.04689443685902</v>
      </c>
      <c r="E2239" s="20">
        <v>-0.18216510044943601</v>
      </c>
      <c r="F2239" s="20">
        <v>-1.8247488217271301E-2</v>
      </c>
      <c r="G2239" s="20">
        <v>0.183076745240876</v>
      </c>
      <c r="H2239" s="20">
        <v>4.6674994151174902E-3</v>
      </c>
      <c r="I2239" s="20">
        <v>184.00088040928</v>
      </c>
      <c r="L2239" s="20">
        <f t="shared" si="74"/>
        <v>1039.5496807930181</v>
      </c>
      <c r="M2239" s="20">
        <f t="shared" si="75"/>
        <v>-13.202280946124139</v>
      </c>
    </row>
    <row r="2240" spans="1:13" x14ac:dyDescent="0.2">
      <c r="A2240" s="23">
        <v>553.25</v>
      </c>
      <c r="B2240" s="20">
        <v>1033.46108380483</v>
      </c>
      <c r="C2240" s="20">
        <v>112.932521849976</v>
      </c>
      <c r="D2240" s="20">
        <v>303.998662714565</v>
      </c>
      <c r="E2240" s="20">
        <v>-0.18203009943058299</v>
      </c>
      <c r="F2240" s="20">
        <v>-1.7569880666689401E-2</v>
      </c>
      <c r="G2240" s="20">
        <v>0.18287607226028699</v>
      </c>
      <c r="H2240" s="20">
        <v>4.6617630468930903E-3</v>
      </c>
      <c r="I2240" s="20">
        <v>184.01758747129099</v>
      </c>
      <c r="L2240" s="20">
        <f t="shared" si="74"/>
        <v>1039.6131810584402</v>
      </c>
      <c r="M2240" s="20">
        <f t="shared" si="75"/>
        <v>-13.203087399495002</v>
      </c>
    </row>
    <row r="2241" spans="1:13" x14ac:dyDescent="0.2">
      <c r="A2241" s="23">
        <v>553.5</v>
      </c>
      <c r="B2241" s="20">
        <v>1033.5288035697099</v>
      </c>
      <c r="C2241" s="20">
        <v>112.895616695318</v>
      </c>
      <c r="D2241" s="20">
        <v>303.95036501707</v>
      </c>
      <c r="E2241" s="20">
        <v>-0.18189471679663599</v>
      </c>
      <c r="F2241" s="20">
        <v>-1.68932108142931E-2</v>
      </c>
      <c r="G2241" s="20">
        <v>0.18267749880635201</v>
      </c>
      <c r="H2241" s="20">
        <v>4.6560922486051596E-3</v>
      </c>
      <c r="I2241" s="20">
        <v>184.03399157930599</v>
      </c>
      <c r="L2241" s="20">
        <f t="shared" si="74"/>
        <v>1039.6764920287715</v>
      </c>
      <c r="M2241" s="20">
        <f t="shared" si="75"/>
        <v>-13.203891448818213</v>
      </c>
    </row>
    <row r="2242" spans="1:13" x14ac:dyDescent="0.2">
      <c r="A2242" s="23">
        <v>553.75</v>
      </c>
      <c r="B2242" s="20">
        <v>1033.5963476181701</v>
      </c>
      <c r="C2242" s="20">
        <v>112.858563902821</v>
      </c>
      <c r="D2242" s="20">
        <v>303.90200124808598</v>
      </c>
      <c r="E2242" s="20">
        <v>-0.181758944954584</v>
      </c>
      <c r="F2242" s="20">
        <v>-1.6217470720684701E-2</v>
      </c>
      <c r="G2242" s="20">
        <v>0.182481013882485</v>
      </c>
      <c r="H2242" s="20">
        <v>4.6504872742830798E-3</v>
      </c>
      <c r="I2242" s="20">
        <v>184.05009147042901</v>
      </c>
      <c r="L2242" s="20">
        <f t="shared" si="74"/>
        <v>1039.7396141610784</v>
      </c>
      <c r="M2242" s="20">
        <f t="shared" si="75"/>
        <v>-13.204693099898515</v>
      </c>
    </row>
    <row r="2243" spans="1:13" x14ac:dyDescent="0.2">
      <c r="A2243" s="23">
        <v>554</v>
      </c>
      <c r="B2243" s="20">
        <v>1033.66371637054</v>
      </c>
      <c r="C2243" s="20">
        <v>112.821363644576</v>
      </c>
      <c r="D2243" s="20">
        <v>303.85357131169201</v>
      </c>
      <c r="E2243" s="20">
        <v>-0.18162277625711501</v>
      </c>
      <c r="F2243" s="20">
        <v>-1.5542652435295699E-2</v>
      </c>
      <c r="G2243" s="20">
        <v>0.18228660647471201</v>
      </c>
      <c r="H2243" s="20">
        <v>4.6449483805136998E-3</v>
      </c>
      <c r="I2243" s="20">
        <v>184.06588587310799</v>
      </c>
      <c r="L2243" s="20">
        <f t="shared" si="74"/>
        <v>1039.8025479078121</v>
      </c>
      <c r="M2243" s="20">
        <f t="shared" si="75"/>
        <v>-13.205492358482038</v>
      </c>
    </row>
    <row r="2244" spans="1:13" x14ac:dyDescent="0.2">
      <c r="A2244" s="23">
        <v>554.25</v>
      </c>
      <c r="B2244" s="20">
        <v>1033.7309102424899</v>
      </c>
      <c r="C2244" s="20">
        <v>112.78401609180101</v>
      </c>
      <c r="D2244" s="20">
        <v>303.80507511233702</v>
      </c>
      <c r="E2244" s="20">
        <v>-0.18148620300228699</v>
      </c>
      <c r="F2244" s="20">
        <v>-1.4868747996431999E-2</v>
      </c>
      <c r="G2244" s="20">
        <v>0.18209426555267699</v>
      </c>
      <c r="H2244" s="20">
        <v>4.63947582648683E-3</v>
      </c>
      <c r="I2244" s="20">
        <v>184.081373507065</v>
      </c>
      <c r="L2244" s="20">
        <f t="shared" si="74"/>
        <v>1039.865293716721</v>
      </c>
      <c r="M2244" s="20">
        <f t="shared" si="75"/>
        <v>-13.206289230255184</v>
      </c>
    </row>
    <row r="2245" spans="1:13" x14ac:dyDescent="0.2">
      <c r="A2245" s="23">
        <v>554.5</v>
      </c>
      <c r="B2245" s="20">
        <v>1033.7979296450801</v>
      </c>
      <c r="C2245" s="20">
        <v>112.74652141482601</v>
      </c>
      <c r="D2245" s="20">
        <v>303.75651255483899</v>
      </c>
      <c r="E2245" s="20">
        <v>-0.18134921743319601</v>
      </c>
      <c r="F2245" s="20">
        <v>-1.41957494313192E-2</v>
      </c>
      <c r="G2245" s="20">
        <v>0.18190398007066599</v>
      </c>
      <c r="H2245" s="20">
        <v>4.6340698740408104E-3</v>
      </c>
      <c r="I2245" s="20">
        <v>184.096553083239</v>
      </c>
      <c r="L2245" s="20">
        <f t="shared" si="74"/>
        <v>1039.9278520308983</v>
      </c>
      <c r="M2245" s="20">
        <f t="shared" si="75"/>
        <v>-13.207083720845237</v>
      </c>
    </row>
    <row r="2246" spans="1:13" x14ac:dyDescent="0.2">
      <c r="A2246" s="23">
        <v>554.75</v>
      </c>
      <c r="B2246" s="20">
        <v>1033.86477498469</v>
      </c>
      <c r="C2246" s="20">
        <v>112.708879783092</v>
      </c>
      <c r="D2246" s="20">
        <v>303.70788354438997</v>
      </c>
      <c r="E2246" s="20">
        <v>-0.181211811737641</v>
      </c>
      <c r="F2246" s="20">
        <v>-1.35236487561458E-2</v>
      </c>
      <c r="G2246" s="20">
        <v>0.18171573896863699</v>
      </c>
      <c r="H2246" s="20">
        <v>4.6287307877083701E-3</v>
      </c>
      <c r="I2246" s="20">
        <v>184.111423303717</v>
      </c>
      <c r="L2246" s="20">
        <f t="shared" si="74"/>
        <v>1039.9902232887111</v>
      </c>
      <c r="M2246" s="20">
        <f t="shared" si="75"/>
        <v>-13.207875835819463</v>
      </c>
    </row>
    <row r="2247" spans="1:13" x14ac:dyDescent="0.2">
      <c r="A2247" s="23">
        <v>555</v>
      </c>
      <c r="B2247" s="20">
        <v>1033.9314466630301</v>
      </c>
      <c r="C2247" s="20">
        <v>112.671091365141</v>
      </c>
      <c r="D2247" s="20">
        <v>303.659187986559</v>
      </c>
      <c r="E2247" s="20">
        <v>-0.18107397804778799</v>
      </c>
      <c r="F2247" s="20">
        <v>-1.28524379761064E-2</v>
      </c>
      <c r="G2247" s="20">
        <v>0.18152953117325199</v>
      </c>
      <c r="H2247" s="20">
        <v>4.6234588347625304E-3</v>
      </c>
      <c r="I2247" s="20">
        <v>184.12598286167301</v>
      </c>
      <c r="L2247" s="20">
        <f t="shared" si="74"/>
        <v>1040.0524079238114</v>
      </c>
      <c r="M2247" s="20">
        <f t="shared" si="75"/>
        <v>-13.208665580685238</v>
      </c>
    </row>
    <row r="2248" spans="1:13" x14ac:dyDescent="0.2">
      <c r="A2248" s="23">
        <v>555.25</v>
      </c>
      <c r="B2248" s="20">
        <v>1033.99794507708</v>
      </c>
      <c r="C2248" s="20">
        <v>112.63315632861</v>
      </c>
      <c r="D2248" s="20">
        <v>303.61042578729399</v>
      </c>
      <c r="E2248" s="20">
        <v>-0.180935708439837</v>
      </c>
      <c r="F2248" s="20">
        <v>-1.2182109085443401E-2</v>
      </c>
      <c r="G2248" s="20">
        <v>0.18134534559893001</v>
      </c>
      <c r="H2248" s="20">
        <v>4.61825428526278E-3</v>
      </c>
      <c r="I2248" s="20">
        <v>184.14023044130201</v>
      </c>
      <c r="L2248" s="20">
        <f t="shared" si="74"/>
        <v>1040.1144063650736</v>
      </c>
      <c r="M2248" s="20">
        <f t="shared" si="75"/>
        <v>-13.209452960889273</v>
      </c>
    </row>
    <row r="2249" spans="1:13" x14ac:dyDescent="0.2">
      <c r="A2249" s="23">
        <v>555.5</v>
      </c>
      <c r="B2249" s="20">
        <v>1034.06427061915</v>
      </c>
      <c r="C2249" s="20">
        <v>112.595074840226</v>
      </c>
      <c r="D2249" s="20">
        <v>303.56159685292403</v>
      </c>
      <c r="E2249" s="20">
        <v>-0.18079699493367901</v>
      </c>
      <c r="F2249" s="20">
        <v>-1.15126540674877E-2</v>
      </c>
      <c r="G2249" s="20">
        <v>0.18116317114890201</v>
      </c>
      <c r="H2249" s="20">
        <v>4.6131174121014301E-3</v>
      </c>
      <c r="I2249" s="20">
        <v>184.154164717762</v>
      </c>
      <c r="L2249" s="20">
        <f t="shared" si="74"/>
        <v>1040.1762190366549</v>
      </c>
      <c r="M2249" s="20">
        <f t="shared" si="75"/>
        <v>-13.210237981818358</v>
      </c>
    </row>
    <row r="2250" spans="1:13" x14ac:dyDescent="0.2">
      <c r="A2250" s="23">
        <v>555.75</v>
      </c>
      <c r="B2250" s="20">
        <v>1034.1304236767701</v>
      </c>
      <c r="C2250" s="20">
        <v>112.556847065797</v>
      </c>
      <c r="D2250" s="20">
        <v>303.51270109016002</v>
      </c>
      <c r="E2250" s="20">
        <v>-0.18065782949255799</v>
      </c>
      <c r="F2250" s="20">
        <v>-1.08440648946994E-2</v>
      </c>
      <c r="G2250" s="20">
        <v>0.18098299671627399</v>
      </c>
      <c r="H2250" s="20">
        <v>4.6080484910500799E-3</v>
      </c>
      <c r="I2250" s="20">
        <v>184.16778435710401</v>
      </c>
      <c r="L2250" s="20">
        <f t="shared" si="74"/>
        <v>1040.2378463578843</v>
      </c>
      <c r="M2250" s="20">
        <f t="shared" si="75"/>
        <v>-13.211020648797975</v>
      </c>
    </row>
    <row r="2251" spans="1:13" x14ac:dyDescent="0.2">
      <c r="A2251" s="23">
        <v>556</v>
      </c>
      <c r="B2251" s="20">
        <v>1034.19640463271</v>
      </c>
      <c r="C2251" s="20">
        <v>112.51847317020599</v>
      </c>
      <c r="D2251" s="20">
        <v>303.46373840609999</v>
      </c>
      <c r="E2251" s="20">
        <v>-0.180518204022733</v>
      </c>
      <c r="F2251" s="20">
        <v>-1.0176333528706101E-2</v>
      </c>
      <c r="G2251" s="20">
        <v>0.180804811185102</v>
      </c>
      <c r="H2251" s="20">
        <v>4.6030478008063699E-3</v>
      </c>
      <c r="I2251" s="20">
        <v>184.181088016215</v>
      </c>
      <c r="L2251" s="20">
        <f t="shared" si="74"/>
        <v>1040.299288743282</v>
      </c>
      <c r="M2251" s="20">
        <f t="shared" si="75"/>
        <v>-13.211800967092529</v>
      </c>
    </row>
    <row r="2252" spans="1:13" x14ac:dyDescent="0.2">
      <c r="A2252" s="23">
        <v>556.25</v>
      </c>
      <c r="B2252" s="20">
        <v>1034.2622138649699</v>
      </c>
      <c r="C2252" s="20">
        <v>112.47995331740501</v>
      </c>
      <c r="D2252" s="20">
        <v>303.41470870823201</v>
      </c>
      <c r="E2252" s="20">
        <v>-0.18037811037312901</v>
      </c>
      <c r="F2252" s="20">
        <v>-9.5094519203415204E-3</v>
      </c>
      <c r="G2252" s="20">
        <v>0.18062860343147799</v>
      </c>
      <c r="H2252" s="20">
        <v>4.5981156230405799E-3</v>
      </c>
      <c r="I2252" s="20">
        <v>184.19407434275001</v>
      </c>
      <c r="L2252" s="20">
        <f t="shared" si="74"/>
        <v>1040.360546602549</v>
      </c>
      <c r="M2252" s="20">
        <f t="shared" si="75"/>
        <v>-13.212578941905223</v>
      </c>
    </row>
    <row r="2253" spans="1:13" x14ac:dyDescent="0.2">
      <c r="A2253" s="23">
        <v>556.5</v>
      </c>
      <c r="B2253" s="20">
        <v>1034.32785174676</v>
      </c>
      <c r="C2253" s="20">
        <v>112.44128767040399</v>
      </c>
      <c r="D2253" s="20">
        <v>303.36561190443302</v>
      </c>
      <c r="E2253" s="20">
        <v>-0.180237540335</v>
      </c>
      <c r="F2253" s="20">
        <v>-8.8434120096824807E-3</v>
      </c>
      <c r="G2253" s="20">
        <v>0.18045436232461601</v>
      </c>
      <c r="H2253" s="20">
        <v>4.5932522424427698E-3</v>
      </c>
      <c r="I2253" s="20">
        <v>184.20674197507199</v>
      </c>
      <c r="L2253" s="20">
        <f t="shared" si="74"/>
        <v>1040.4216203405454</v>
      </c>
      <c r="M2253" s="20">
        <f t="shared" si="75"/>
        <v>-13.213354578377782</v>
      </c>
    </row>
    <row r="2254" spans="1:13" x14ac:dyDescent="0.2">
      <c r="A2254" s="23">
        <v>556.75</v>
      </c>
      <c r="B2254" s="20">
        <v>1034.3933186464401</v>
      </c>
      <c r="C2254" s="20">
        <v>112.40247639127</v>
      </c>
      <c r="D2254" s="20">
        <v>303.31644790297401</v>
      </c>
      <c r="E2254" s="20">
        <v>-0.18009648564157801</v>
      </c>
      <c r="F2254" s="20">
        <v>-8.1782057260853802E-3</v>
      </c>
      <c r="G2254" s="20">
        <v>0.18028207672795801</v>
      </c>
      <c r="H2254" s="20">
        <v>4.5884579467697596E-3</v>
      </c>
      <c r="I2254" s="20">
        <v>184.21908954218699</v>
      </c>
      <c r="L2254" s="20">
        <f t="shared" si="74"/>
        <v>1040.4825103572311</v>
      </c>
      <c r="M2254" s="20">
        <f t="shared" si="75"/>
        <v>-13.214127881589693</v>
      </c>
    </row>
    <row r="2255" spans="1:13" x14ac:dyDescent="0.2">
      <c r="A2255" s="23">
        <v>557</v>
      </c>
      <c r="B2255" s="20">
        <v>1034.4586149275401</v>
      </c>
      <c r="C2255" s="20">
        <v>112.36351964111699</v>
      </c>
      <c r="D2255" s="20">
        <v>303.26721661252299</v>
      </c>
      <c r="E2255" s="20">
        <v>-0.17995493796772999</v>
      </c>
      <c r="F2255" s="20">
        <v>-7.5138249882214696E-3</v>
      </c>
      <c r="G2255" s="20">
        <v>0.18011173550028101</v>
      </c>
      <c r="H2255" s="20">
        <v>4.5837330268922501E-3</v>
      </c>
      <c r="I2255" s="20">
        <v>184.23111566368399</v>
      </c>
      <c r="L2255" s="20">
        <f t="shared" si="74"/>
        <v>1040.5432170476845</v>
      </c>
      <c r="M2255" s="20">
        <f t="shared" si="75"/>
        <v>-13.214898856558452</v>
      </c>
    </row>
    <row r="2256" spans="1:13" x14ac:dyDescent="0.2">
      <c r="A2256" s="23">
        <v>557.25</v>
      </c>
      <c r="B2256" s="20">
        <v>1034.5237409487399</v>
      </c>
      <c r="C2256" s="20">
        <v>112.324417580096</v>
      </c>
      <c r="D2256" s="20">
        <v>303.21791794214499</v>
      </c>
      <c r="E2256" s="20">
        <v>-0.17981288892960801</v>
      </c>
      <c r="F2256" s="20">
        <v>-6.8502617041113897E-3</v>
      </c>
      <c r="G2256" s="20">
        <v>0.17994332749681599</v>
      </c>
      <c r="H2256" s="20">
        <v>4.5790777768421904E-3</v>
      </c>
      <c r="I2256" s="20">
        <v>184.24281894967001</v>
      </c>
      <c r="L2256" s="20">
        <f t="shared" si="74"/>
        <v>1040.6037408020804</v>
      </c>
      <c r="M2256" s="20">
        <f t="shared" si="75"/>
        <v>-13.215667508239285</v>
      </c>
    </row>
    <row r="2257" spans="1:13" x14ac:dyDescent="0.2">
      <c r="A2257" s="23">
        <v>557.5</v>
      </c>
      <c r="B2257" s="20">
        <v>1034.5886970638101</v>
      </c>
      <c r="C2257" s="20">
        <v>112.285170367395</v>
      </c>
      <c r="D2257" s="20">
        <v>303.16855180130801</v>
      </c>
      <c r="E2257" s="20">
        <v>-0.179670330084299</v>
      </c>
      <c r="F2257" s="20">
        <v>-6.1875077711586596E-3</v>
      </c>
      <c r="G2257" s="20">
        <v>0.17977684157037299</v>
      </c>
      <c r="H2257" s="20">
        <v>4.5744924938600799E-3</v>
      </c>
      <c r="I2257" s="20">
        <v>184.25419800071001</v>
      </c>
      <c r="L2257" s="20">
        <f t="shared" si="74"/>
        <v>1040.6640820056332</v>
      </c>
      <c r="M2257" s="20">
        <f t="shared" si="75"/>
        <v>-13.216433841524408</v>
      </c>
    </row>
    <row r="2258" spans="1:13" x14ac:dyDescent="0.2">
      <c r="A2258" s="23">
        <v>557.75</v>
      </c>
      <c r="B2258" s="20">
        <v>1034.6534836216199</v>
      </c>
      <c r="C2258" s="20">
        <v>112.245778161223</v>
      </c>
      <c r="D2258" s="20">
        <v>303.119118099883</v>
      </c>
      <c r="E2258" s="20">
        <v>-0.179527252929475</v>
      </c>
      <c r="F2258" s="20">
        <v>-5.5255550761824099E-3</v>
      </c>
      <c r="G2258" s="20">
        <v>0.17961226657248</v>
      </c>
      <c r="H2258" s="20">
        <v>4.5699774784424803E-3</v>
      </c>
      <c r="I2258" s="20">
        <v>184.265251407759</v>
      </c>
      <c r="L2258" s="20">
        <f t="shared" si="74"/>
        <v>1040.7242410386011</v>
      </c>
      <c r="M2258" s="20">
        <f t="shared" si="75"/>
        <v>-13.217197861243104</v>
      </c>
    </row>
    <row r="2259" spans="1:13" x14ac:dyDescent="0.2">
      <c r="A2259" s="23">
        <v>558</v>
      </c>
      <c r="B2259" s="20">
        <v>1034.7181009661399</v>
      </c>
      <c r="C2259" s="20">
        <v>112.20624111881</v>
      </c>
      <c r="D2259" s="20">
        <v>303.06961674814499</v>
      </c>
      <c r="E2259" s="20">
        <v>-0.17938364890304301</v>
      </c>
      <c r="F2259" s="20">
        <v>-4.8643954954491102E-3</v>
      </c>
      <c r="G2259" s="20">
        <v>0.17944959135452601</v>
      </c>
      <c r="H2259" s="20">
        <v>4.5655330343895599E-3</v>
      </c>
      <c r="I2259" s="20">
        <v>184.27597775210899</v>
      </c>
      <c r="L2259" s="20">
        <f t="shared" si="74"/>
        <v>1040.7842182762897</v>
      </c>
      <c r="M2259" s="20">
        <f t="shared" si="75"/>
        <v>-13.217959572161753</v>
      </c>
    </row>
    <row r="2260" spans="1:13" x14ac:dyDescent="0.2">
      <c r="A2260" s="23">
        <v>558.25</v>
      </c>
      <c r="B2260" s="20">
        <v>1034.7825494363699</v>
      </c>
      <c r="C2260" s="20">
        <v>112.16655939639701</v>
      </c>
      <c r="D2260" s="20">
        <v>303.02004765677998</v>
      </c>
      <c r="E2260" s="20">
        <v>-0.17923950938278599</v>
      </c>
      <c r="F2260" s="20">
        <v>-4.2040208947034001E-3</v>
      </c>
      <c r="G2260" s="20">
        <v>0.17928880476891201</v>
      </c>
      <c r="H2260" s="20">
        <v>4.56115946885257E-3</v>
      </c>
      <c r="I2260" s="20">
        <v>184.28637560531701</v>
      </c>
      <c r="L2260" s="20">
        <f t="shared" si="74"/>
        <v>1040.8440140889791</v>
      </c>
      <c r="M2260" s="20">
        <f t="shared" si="75"/>
        <v>-13.21871897898291</v>
      </c>
    </row>
    <row r="2261" spans="1:13" x14ac:dyDescent="0.2">
      <c r="A2261" s="23">
        <v>558.5</v>
      </c>
      <c r="B2261" s="20">
        <v>1034.84682936633</v>
      </c>
      <c r="C2261" s="20">
        <v>112.126733149226</v>
      </c>
      <c r="D2261" s="20">
        <v>302.97041073688501</v>
      </c>
      <c r="E2261" s="20">
        <v>-0.17909482568601301</v>
      </c>
      <c r="F2261" s="20">
        <v>-3.5444231291980898E-3</v>
      </c>
      <c r="G2261" s="20">
        <v>0.17912989567021501</v>
      </c>
      <c r="H2261" s="20">
        <v>4.5568570923816597E-3</v>
      </c>
      <c r="I2261" s="20">
        <v>184.29644352915</v>
      </c>
      <c r="L2261" s="20">
        <f t="shared" si="74"/>
        <v>1040.9036288419134</v>
      </c>
      <c r="M2261" s="20">
        <f t="shared" si="75"/>
        <v>-13.219476086345178</v>
      </c>
    </row>
    <row r="2262" spans="1:13" x14ac:dyDescent="0.2">
      <c r="A2262" s="23">
        <v>558.75</v>
      </c>
      <c r="B2262" s="20">
        <v>1034.9109410850699</v>
      </c>
      <c r="C2262" s="20">
        <v>112.08676253153899</v>
      </c>
      <c r="D2262" s="20">
        <v>302.92070589996899</v>
      </c>
      <c r="E2262" s="20">
        <v>-0.1789495890692</v>
      </c>
      <c r="F2262" s="20">
        <v>-2.8855940437231701E-3</v>
      </c>
      <c r="G2262" s="20">
        <v>0.178972852916359</v>
      </c>
      <c r="H2262" s="20">
        <v>4.5526262189733799E-3</v>
      </c>
      <c r="I2262" s="20">
        <v>184.30618007551899</v>
      </c>
      <c r="L2262" s="20">
        <f t="shared" si="74"/>
        <v>1040.9630628953107</v>
      </c>
      <c r="M2262" s="20">
        <f t="shared" si="75"/>
        <v>-13.220230898823326</v>
      </c>
    </row>
    <row r="2263" spans="1:13" x14ac:dyDescent="0.2">
      <c r="A2263" s="23">
        <v>559</v>
      </c>
      <c r="B2263" s="20">
        <v>1034.9748849166201</v>
      </c>
      <c r="C2263" s="20">
        <v>112.046647696562</v>
      </c>
      <c r="D2263" s="20">
        <v>302.87093305795901</v>
      </c>
      <c r="E2263" s="20">
        <v>-0.178803790727634</v>
      </c>
      <c r="F2263" s="20">
        <v>-2.2275254726340601E-3</v>
      </c>
      <c r="G2263" s="20">
        <v>0.17881766536979199</v>
      </c>
      <c r="H2263" s="20">
        <v>4.5484671661184797E-3</v>
      </c>
      <c r="I2263" s="20">
        <v>184.315583786422</v>
      </c>
      <c r="L2263" s="20">
        <f t="shared" si="74"/>
        <v>1041.022316604312</v>
      </c>
      <c r="M2263" s="20">
        <f t="shared" si="75"/>
        <v>-13.220983420927645</v>
      </c>
    </row>
    <row r="2264" spans="1:13" x14ac:dyDescent="0.2">
      <c r="A2264" s="23">
        <v>559.25</v>
      </c>
      <c r="B2264" s="20">
        <v>1035.0386611799699</v>
      </c>
      <c r="C2264" s="20">
        <v>112.006388796506</v>
      </c>
      <c r="D2264" s="20">
        <v>302.8210921232</v>
      </c>
      <c r="E2264" s="20">
        <v>-0.178657421795055</v>
      </c>
      <c r="F2264" s="20">
        <v>-1.57020923987886E-3</v>
      </c>
      <c r="G2264" s="20">
        <v>0.17866432189867401</v>
      </c>
      <c r="H2264" s="20">
        <v>4.5443802548495197E-3</v>
      </c>
      <c r="I2264" s="20">
        <v>184.324653193876</v>
      </c>
      <c r="L2264" s="20">
        <f t="shared" si="74"/>
        <v>1041.0813903189601</v>
      </c>
      <c r="M2264" s="20">
        <f t="shared" si="75"/>
        <v>-13.221733657103679</v>
      </c>
    </row>
    <row r="2265" spans="1:13" x14ac:dyDescent="0.2">
      <c r="A2265" s="23">
        <v>559.5</v>
      </c>
      <c r="B2265" s="20">
        <v>1035.1022701890799</v>
      </c>
      <c r="C2265" s="20">
        <v>111.965985982552</v>
      </c>
      <c r="D2265" s="20">
        <v>302.77118300845899</v>
      </c>
      <c r="E2265" s="20">
        <v>-0.17851047334329101</v>
      </c>
      <c r="F2265" s="20">
        <v>-9.1363715902477601E-4</v>
      </c>
      <c r="G2265" s="20">
        <v>0.17851281137807501</v>
      </c>
      <c r="H2265" s="20">
        <v>4.54036580978862E-3</v>
      </c>
      <c r="I2265" s="20">
        <v>184.33338681986001</v>
      </c>
      <c r="L2265" s="20">
        <f t="shared" si="74"/>
        <v>1041.1402843842093</v>
      </c>
      <c r="M2265" s="20">
        <f t="shared" si="75"/>
        <v>-13.222481611732348</v>
      </c>
    </row>
    <row r="2266" spans="1:13" x14ac:dyDescent="0.2">
      <c r="A2266" s="23">
        <v>559.75</v>
      </c>
      <c r="B2266" s="20">
        <v>1035.1657122527899</v>
      </c>
      <c r="C2266" s="20">
        <v>111.92543940485</v>
      </c>
      <c r="D2266" s="20">
        <v>302.72120562692498</v>
      </c>
      <c r="E2266" s="20">
        <v>-0.17836293638190501</v>
      </c>
      <c r="F2266" s="20">
        <v>-2.57801033283678E-4</v>
      </c>
      <c r="G2266" s="20">
        <v>0.17836312269117799</v>
      </c>
      <c r="H2266" s="20">
        <v>4.5364241591951899E-3</v>
      </c>
      <c r="I2266" s="20">
        <v>184.34178317625401</v>
      </c>
      <c r="L2266" s="20">
        <f t="shared" si="74"/>
        <v>1041.1989991398352</v>
      </c>
      <c r="M2266" s="20">
        <f t="shared" si="75"/>
        <v>-13.223227289128801</v>
      </c>
    </row>
    <row r="2267" spans="1:13" x14ac:dyDescent="0.2">
      <c r="A2267" s="23">
        <v>560</v>
      </c>
      <c r="B2267" s="20">
        <v>1035.22898767489</v>
      </c>
      <c r="C2267" s="20">
        <v>111.884749212504</v>
      </c>
      <c r="D2267" s="20">
        <v>302.67115989221497</v>
      </c>
      <c r="E2267" s="20">
        <v>-0.17821480185782301</v>
      </c>
      <c r="F2267" s="20">
        <v>3.9730734446327399E-4</v>
      </c>
      <c r="G2267" s="20">
        <v>0.178215244730492</v>
      </c>
      <c r="H2267" s="20">
        <v>4.5325556350134799E-3</v>
      </c>
      <c r="I2267" s="20">
        <v>184.349840764774</v>
      </c>
      <c r="L2267" s="20">
        <f t="shared" si="74"/>
        <v>1041.2575349205028</v>
      </c>
      <c r="M2267" s="20">
        <f t="shared" si="75"/>
        <v>-13.223970693543283</v>
      </c>
    </row>
    <row r="2268" spans="1:13" x14ac:dyDescent="0.2">
      <c r="A2268" s="23">
        <v>560.25</v>
      </c>
      <c r="B2268" s="20">
        <v>1035.2920967540001</v>
      </c>
      <c r="C2268" s="20">
        <v>111.843915553573</v>
      </c>
      <c r="D2268" s="20">
        <v>302.621045718375</v>
      </c>
      <c r="E2268" s="20">
        <v>-0.17806606065497799</v>
      </c>
      <c r="F2268" s="20">
        <v>1.0516961916418001E-3</v>
      </c>
      <c r="G2268" s="20">
        <v>0.178069166399076</v>
      </c>
      <c r="H2268" s="20">
        <v>4.5287605729201598E-3</v>
      </c>
      <c r="I2268" s="20">
        <v>184.35755807691601</v>
      </c>
      <c r="L2268" s="20">
        <f t="shared" ref="L2268:L2331" si="76">SQRT(B2268^2+C2268^2)</f>
        <v>1041.3158920556473</v>
      </c>
      <c r="M2268" s="20">
        <f t="shared" ref="M2268:M2331" si="77">-L2268/A$25*100</f>
        <v>-13.224711829159618</v>
      </c>
    </row>
    <row r="2269" spans="1:13" x14ac:dyDescent="0.2">
      <c r="A2269" s="23">
        <v>560.5</v>
      </c>
      <c r="B2269" s="20">
        <v>1035.35503978362</v>
      </c>
      <c r="C2269" s="20">
        <v>111.80293857505301</v>
      </c>
      <c r="D2269" s="20">
        <v>302.57086301988102</v>
      </c>
      <c r="E2269" s="20">
        <v>-0.17791670359394199</v>
      </c>
      <c r="F2269" s="20">
        <v>1.70537373596156E-3</v>
      </c>
      <c r="G2269" s="20">
        <v>0.177924876611771</v>
      </c>
      <c r="H2269" s="20">
        <v>4.5250393123719796E-3</v>
      </c>
      <c r="I2269" s="20">
        <v>184.36493359388999</v>
      </c>
      <c r="L2269" s="20">
        <f t="shared" si="76"/>
        <v>1041.3740708695211</v>
      </c>
      <c r="M2269" s="20">
        <f t="shared" si="77"/>
        <v>-13.22545070009582</v>
      </c>
    </row>
    <row r="2270" spans="1:13" x14ac:dyDescent="0.2">
      <c r="A2270" s="23">
        <v>560.75</v>
      </c>
      <c r="B2270" s="20">
        <v>1035.41781705209</v>
      </c>
      <c r="C2270" s="20">
        <v>111.76181842287799</v>
      </c>
      <c r="D2270" s="20">
        <v>302.52061171164598</v>
      </c>
      <c r="E2270" s="20">
        <v>-0.177766721431556</v>
      </c>
      <c r="F2270" s="20">
        <v>2.3583482153941202E-3</v>
      </c>
      <c r="G2270" s="20">
        <v>0.17778236429643299</v>
      </c>
      <c r="H2270" s="20">
        <v>4.5213921966531503E-3</v>
      </c>
      <c r="I2270" s="20">
        <v>184.371965786565</v>
      </c>
      <c r="L2270" s="20">
        <f t="shared" si="76"/>
        <v>1041.4320716811555</v>
      </c>
      <c r="M2270" s="20">
        <f t="shared" si="77"/>
        <v>-13.226187310403581</v>
      </c>
    </row>
    <row r="2271" spans="1:13" x14ac:dyDescent="0.2">
      <c r="A2271" s="23">
        <v>561</v>
      </c>
      <c r="B2271" s="20">
        <v>1035.4804288425401</v>
      </c>
      <c r="C2271" s="20">
        <v>111.720555241906</v>
      </c>
      <c r="D2271" s="20">
        <v>302.47029170901499</v>
      </c>
      <c r="E2271" s="20">
        <v>-0.177616104860571</v>
      </c>
      <c r="F2271" s="20">
        <v>3.0106278781517099E-3</v>
      </c>
      <c r="G2271" s="20">
        <v>0.17764161839518899</v>
      </c>
      <c r="H2271" s="20">
        <v>4.5178195729226297E-3</v>
      </c>
      <c r="I2271" s="20">
        <v>184.37865311540199</v>
      </c>
      <c r="L2271" s="20">
        <f t="shared" si="76"/>
        <v>1041.489894804309</v>
      </c>
      <c r="M2271" s="20">
        <f t="shared" si="77"/>
        <v>-13.226921664067632</v>
      </c>
    </row>
    <row r="2272" spans="1:13" x14ac:dyDescent="0.2">
      <c r="A2272" s="23">
        <v>561.25</v>
      </c>
      <c r="B2272" s="20">
        <v>1035.54287543291</v>
      </c>
      <c r="C2272" s="20">
        <v>111.679149175916</v>
      </c>
      <c r="D2272" s="20">
        <v>302.419902927777</v>
      </c>
      <c r="E2272" s="20">
        <v>-0.17746484450927</v>
      </c>
      <c r="F2272" s="20">
        <v>3.6622209826668501E-3</v>
      </c>
      <c r="G2272" s="20">
        <v>0.17750262786568899</v>
      </c>
      <c r="H2272" s="20">
        <v>4.51432179226145E-3</v>
      </c>
      <c r="I2272" s="20">
        <v>184.38499403040001</v>
      </c>
      <c r="L2272" s="20">
        <f t="shared" si="76"/>
        <v>1041.5475405474856</v>
      </c>
      <c r="M2272" s="20">
        <f t="shared" si="77"/>
        <v>-13.227653765005979</v>
      </c>
    </row>
    <row r="2273" spans="1:13" x14ac:dyDescent="0.2">
      <c r="A2273" s="23">
        <v>561.5</v>
      </c>
      <c r="B2273" s="20">
        <v>1035.60515709589</v>
      </c>
      <c r="C2273" s="20">
        <v>111.637600367592</v>
      </c>
      <c r="D2273" s="20">
        <v>302.36944528416001</v>
      </c>
      <c r="E2273" s="20">
        <v>-0.17731293094110601</v>
      </c>
      <c r="F2273" s="20">
        <v>4.3131357975728602E-3</v>
      </c>
      <c r="G2273" s="20">
        <v>0.17736538168237201</v>
      </c>
      <c r="H2273" s="20">
        <v>4.5108992097199303E-3</v>
      </c>
      <c r="I2273" s="20">
        <v>184.39098697103199</v>
      </c>
      <c r="L2273" s="20">
        <f t="shared" si="76"/>
        <v>1041.6050092138753</v>
      </c>
      <c r="M2273" s="20">
        <f t="shared" si="77"/>
        <v>-13.228383617069131</v>
      </c>
    </row>
    <row r="2274" spans="1:13" x14ac:dyDescent="0.2">
      <c r="A2274" s="23">
        <v>561.75</v>
      </c>
      <c r="B2274" s="20">
        <v>1035.66727409891</v>
      </c>
      <c r="C2274" s="20">
        <v>111.595908958525</v>
      </c>
      <c r="D2274" s="20">
        <v>302.31891869483701</v>
      </c>
      <c r="E2274" s="20">
        <v>-0.177160354654326</v>
      </c>
      <c r="F2274" s="20">
        <v>4.9633806016851504E-3</v>
      </c>
      <c r="G2274" s="20">
        <v>0.177229868837743</v>
      </c>
      <c r="H2274" s="20">
        <v>4.5075521843644297E-3</v>
      </c>
      <c r="I2274" s="20">
        <v>184.39663036618401</v>
      </c>
      <c r="L2274" s="20">
        <f t="shared" si="76"/>
        <v>1041.6623011013435</v>
      </c>
      <c r="M2274" s="20">
        <f t="shared" si="77"/>
        <v>-13.229111224039979</v>
      </c>
    </row>
    <row r="2275" spans="1:13" x14ac:dyDescent="0.2">
      <c r="A2275" s="23">
        <v>562</v>
      </c>
      <c r="B2275" s="20">
        <v>1035.72922670413</v>
      </c>
      <c r="C2275" s="20">
        <v>111.554075089197</v>
      </c>
      <c r="D2275" s="20">
        <v>302.268323076927</v>
      </c>
      <c r="E2275" s="20">
        <v>-0.177007106081601</v>
      </c>
      <c r="F2275" s="20">
        <v>5.6129636839834397E-3</v>
      </c>
      <c r="G2275" s="20">
        <v>0.17709607834365201</v>
      </c>
      <c r="H2275" s="20">
        <v>4.5042810793244599E-3</v>
      </c>
      <c r="I2275" s="20">
        <v>184.401922634101</v>
      </c>
      <c r="L2275" s="20">
        <f t="shared" si="76"/>
        <v>1041.7194165024196</v>
      </c>
      <c r="M2275" s="20">
        <f t="shared" si="77"/>
        <v>-13.229836589633647</v>
      </c>
    </row>
    <row r="2276" spans="1:13" x14ac:dyDescent="0.2">
      <c r="A2276" s="23">
        <v>562.25</v>
      </c>
      <c r="B2276" s="20">
        <v>1035.79101516841</v>
      </c>
      <c r="C2276" s="20">
        <v>111.512098898974</v>
      </c>
      <c r="D2276" s="20">
        <v>302.21765834800101</v>
      </c>
      <c r="E2276" s="20">
        <v>-0.17685317558965299</v>
      </c>
      <c r="F2276" s="20">
        <v>6.2618933435947197E-3</v>
      </c>
      <c r="G2276" s="20">
        <v>0.17696399923258799</v>
      </c>
      <c r="H2276" s="20">
        <v>4.5010862618390596E-3</v>
      </c>
      <c r="I2276" s="20">
        <v>184.406862182319</v>
      </c>
      <c r="L2276" s="20">
        <f t="shared" si="76"/>
        <v>1041.7763557042654</v>
      </c>
      <c r="M2276" s="20">
        <f t="shared" si="77"/>
        <v>-13.230559717497092</v>
      </c>
    </row>
    <row r="2277" spans="1:13" x14ac:dyDescent="0.2">
      <c r="A2277" s="23">
        <v>562.5</v>
      </c>
      <c r="B2277" s="20">
        <v>1035.8526397432499</v>
      </c>
      <c r="C2277" s="20">
        <v>111.4699805261</v>
      </c>
      <c r="D2277" s="20">
        <v>302.16692442608098</v>
      </c>
      <c r="E2277" s="20">
        <v>-0.17669855347888</v>
      </c>
      <c r="F2277" s="20">
        <v>6.9101778897770801E-3</v>
      </c>
      <c r="G2277" s="20">
        <v>0.176833620558979</v>
      </c>
      <c r="H2277" s="20">
        <v>4.4979681033034897E-3</v>
      </c>
      <c r="I2277" s="20">
        <v>184.41144740761399</v>
      </c>
      <c r="L2277" s="20">
        <f t="shared" si="76"/>
        <v>1041.8331189886162</v>
      </c>
      <c r="M2277" s="20">
        <f t="shared" si="77"/>
        <v>-13.231280611208351</v>
      </c>
    </row>
    <row r="2278" spans="1:13" x14ac:dyDescent="0.2">
      <c r="A2278" s="23">
        <v>562.75</v>
      </c>
      <c r="B2278" s="20">
        <v>1035.91410067483</v>
      </c>
      <c r="C2278" s="20">
        <v>111.427720107686</v>
      </c>
      <c r="D2278" s="20">
        <v>302.11612122964101</v>
      </c>
      <c r="E2278" s="20">
        <v>-0.176543229982978</v>
      </c>
      <c r="F2278" s="20">
        <v>7.5578256419044296E-3</v>
      </c>
      <c r="G2278" s="20">
        <v>0.176704931400502</v>
      </c>
      <c r="H2278" s="20">
        <v>4.4949269793152597E-3</v>
      </c>
      <c r="I2278" s="20">
        <v>184.41567669593701</v>
      </c>
      <c r="L2278" s="20">
        <f t="shared" si="76"/>
        <v>1041.8897066318193</v>
      </c>
      <c r="M2278" s="20">
        <f t="shared" si="77"/>
        <v>-13.231999274277035</v>
      </c>
    </row>
    <row r="2279" spans="1:13" x14ac:dyDescent="0.2">
      <c r="A2279" s="23">
        <v>563</v>
      </c>
      <c r="B2279" s="20">
        <v>1035.9753982039499</v>
      </c>
      <c r="C2279" s="20">
        <v>111.38531777970501</v>
      </c>
      <c r="D2279" s="20">
        <v>302.06524867761601</v>
      </c>
      <c r="E2279" s="20">
        <v>-0.176387195268571</v>
      </c>
      <c r="F2279" s="20">
        <v>8.2048449294518898E-3</v>
      </c>
      <c r="G2279" s="20">
        <v>0.17657792085940199</v>
      </c>
      <c r="H2279" s="20">
        <v>4.4919632697203102E-3</v>
      </c>
      <c r="I2279" s="20">
        <v>184.419548422356</v>
      </c>
      <c r="L2279" s="20">
        <f t="shared" si="76"/>
        <v>1041.9461189047724</v>
      </c>
      <c r="M2279" s="20">
        <f t="shared" si="77"/>
        <v>-13.232715710143541</v>
      </c>
    </row>
    <row r="2280" spans="1:13" x14ac:dyDescent="0.2">
      <c r="A2280" s="23">
        <v>563.25</v>
      </c>
      <c r="B2280" s="20">
        <v>1036.03653256601</v>
      </c>
      <c r="C2280" s="20">
        <v>111.342773676977</v>
      </c>
      <c r="D2280" s="20">
        <v>302.01430668939997</v>
      </c>
      <c r="E2280" s="20">
        <v>-0.176230439434827</v>
      </c>
      <c r="F2280" s="20">
        <v>8.8512440919821401E-3</v>
      </c>
      <c r="G2280" s="20">
        <v>0.17645257806381801</v>
      </c>
      <c r="H2280" s="20">
        <v>4.4890773586586698E-3</v>
      </c>
      <c r="I2280" s="20">
        <v>184.423060950999</v>
      </c>
      <c r="L2280" s="20">
        <f t="shared" si="76"/>
        <v>1042.0023560729041</v>
      </c>
      <c r="M2280" s="20">
        <f t="shared" si="77"/>
        <v>-13.233429922178816</v>
      </c>
    </row>
    <row r="2281" spans="1:13" x14ac:dyDescent="0.2">
      <c r="A2281" s="23">
        <v>563.5</v>
      </c>
      <c r="B2281" s="20">
        <v>1036.0975039909699</v>
      </c>
      <c r="C2281" s="20">
        <v>111.300087933165</v>
      </c>
      <c r="D2281" s="20">
        <v>301.96329518484703</v>
      </c>
      <c r="E2281" s="20">
        <v>-0.176072952513081</v>
      </c>
      <c r="F2281" s="20">
        <v>9.4970314791325491E-3</v>
      </c>
      <c r="G2281" s="20">
        <v>0.17632889216912101</v>
      </c>
      <c r="H2281" s="20">
        <v>4.4862696346101199E-3</v>
      </c>
      <c r="I2281" s="20">
        <v>184.42621263499299</v>
      </c>
      <c r="L2281" s="20">
        <f t="shared" si="76"/>
        <v>1042.0584183961321</v>
      </c>
      <c r="M2281" s="20">
        <f t="shared" si="77"/>
        <v>-13.234141913683814</v>
      </c>
    </row>
    <row r="2282" spans="1:13" x14ac:dyDescent="0.2">
      <c r="A2282" s="23">
        <v>563.75</v>
      </c>
      <c r="B2282" s="20">
        <v>1036.15831270337</v>
      </c>
      <c r="C2282" s="20">
        <v>111.257260680767</v>
      </c>
      <c r="D2282" s="20">
        <v>301.91221408427901</v>
      </c>
      <c r="E2282" s="20">
        <v>-0.17591472446646</v>
      </c>
      <c r="F2282" s="20">
        <v>1.01422154506031E-2</v>
      </c>
      <c r="G2282" s="20">
        <v>0.17620685235925701</v>
      </c>
      <c r="H2282" s="20">
        <v>4.4835404904391002E-3</v>
      </c>
      <c r="I2282" s="20">
        <v>184.429001816409</v>
      </c>
      <c r="L2282" s="20">
        <f t="shared" si="76"/>
        <v>1042.1143061288828</v>
      </c>
      <c r="M2282" s="20">
        <f t="shared" si="77"/>
        <v>-13.234851687889751</v>
      </c>
    </row>
    <row r="2283" spans="1:13" x14ac:dyDescent="0.2">
      <c r="A2283" s="23">
        <v>564</v>
      </c>
      <c r="B2283" s="20">
        <v>1036.2189589222701</v>
      </c>
      <c r="C2283" s="20">
        <v>111.21429205110201</v>
      </c>
      <c r="D2283" s="20">
        <v>301.861063308486</v>
      </c>
      <c r="E2283" s="20">
        <v>-0.175755745189493</v>
      </c>
      <c r="F2283" s="20">
        <v>1.07868043761449E-2</v>
      </c>
      <c r="G2283" s="20">
        <v>0.17608644784810401</v>
      </c>
      <c r="H2283" s="20">
        <v>4.4808903234399497E-3</v>
      </c>
      <c r="I2283" s="20">
        <v>184.43142682619899</v>
      </c>
      <c r="L2283" s="20">
        <f t="shared" si="76"/>
        <v>1042.1700195200306</v>
      </c>
      <c r="M2283" s="20">
        <f t="shared" si="77"/>
        <v>-13.235559247957331</v>
      </c>
    </row>
    <row r="2284" spans="1:13" x14ac:dyDescent="0.2">
      <c r="A2284" s="23">
        <v>564.25</v>
      </c>
      <c r="B2284" s="20">
        <v>1036.2794428612101</v>
      </c>
      <c r="C2284" s="20">
        <v>111.171182174306</v>
      </c>
      <c r="D2284" s="20">
        <v>301.809842778725</v>
      </c>
      <c r="E2284" s="20">
        <v>-0.17559600450773699</v>
      </c>
      <c r="F2284" s="20">
        <v>1.14308066355501E-2</v>
      </c>
      <c r="G2284" s="20">
        <v>0.17596766788083701</v>
      </c>
      <c r="H2284" s="20">
        <v>4.4783195353813596E-3</v>
      </c>
      <c r="I2284" s="20">
        <v>184.43348598414201</v>
      </c>
      <c r="L2284" s="20">
        <f t="shared" si="76"/>
        <v>1042.2255588128573</v>
      </c>
      <c r="M2284" s="20">
        <f t="shared" si="77"/>
        <v>-13.236264596976232</v>
      </c>
    </row>
    <row r="2285" spans="1:13" x14ac:dyDescent="0.2">
      <c r="A2285" s="23">
        <v>564.5</v>
      </c>
      <c r="B2285" s="20">
        <v>1036.33976472824</v>
      </c>
      <c r="C2285" s="20">
        <v>111.127931179321</v>
      </c>
      <c r="D2285" s="20">
        <v>301.75855241672798</v>
      </c>
      <c r="E2285" s="20">
        <v>-0.17543549217739399</v>
      </c>
      <c r="F2285" s="20">
        <v>1.20742306186419E-2</v>
      </c>
      <c r="G2285" s="20">
        <v>0.17585050173529901</v>
      </c>
      <c r="H2285" s="20">
        <v>4.4758285325504701E-3</v>
      </c>
      <c r="I2285" s="20">
        <v>184.43517759878401</v>
      </c>
      <c r="L2285" s="20">
        <f t="shared" si="76"/>
        <v>1042.2809242450808</v>
      </c>
      <c r="M2285" s="20">
        <f t="shared" si="77"/>
        <v>-13.236967737965474</v>
      </c>
    </row>
    <row r="2286" spans="1:13" x14ac:dyDescent="0.2">
      <c r="A2286" s="23">
        <v>564.75</v>
      </c>
      <c r="B2286" s="20">
        <v>1036.39992472586</v>
      </c>
      <c r="C2286" s="20">
        <v>111.084539193883</v>
      </c>
      <c r="D2286" s="20">
        <v>301.70719214470398</v>
      </c>
      <c r="E2286" s="20">
        <v>-0.17527419788491999</v>
      </c>
      <c r="F2286" s="20">
        <v>1.2717084725265599E-2</v>
      </c>
      <c r="G2286" s="20">
        <v>0.175734938723384</v>
      </c>
      <c r="H2286" s="20">
        <v>4.4734177257970296E-3</v>
      </c>
      <c r="I2286" s="20">
        <v>184.43649996738199</v>
      </c>
      <c r="L2286" s="20">
        <f t="shared" si="76"/>
        <v>1042.3361160487943</v>
      </c>
      <c r="M2286" s="20">
        <f t="shared" si="77"/>
        <v>-13.237668673872637</v>
      </c>
    </row>
    <row r="2287" spans="1:13" x14ac:dyDescent="0.2">
      <c r="A2287" s="23">
        <v>565</v>
      </c>
      <c r="B2287" s="20">
        <v>1036.45992305099</v>
      </c>
      <c r="C2287" s="20">
        <v>111.041006344518</v>
      </c>
      <c r="D2287" s="20">
        <v>301.65576188533799</v>
      </c>
      <c r="E2287" s="20">
        <v>-0.17511211124664799</v>
      </c>
      <c r="F2287" s="20">
        <v>1.3359377365281E-2</v>
      </c>
      <c r="G2287" s="20">
        <v>0.17562096819243</v>
      </c>
      <c r="H2287" s="20">
        <v>4.4710875305766697E-3</v>
      </c>
      <c r="I2287" s="20">
        <v>184.43745137584301</v>
      </c>
      <c r="L2287" s="20">
        <f t="shared" si="76"/>
        <v>1042.3911344504363</v>
      </c>
      <c r="M2287" s="20">
        <f t="shared" si="77"/>
        <v>-13.238367407573495</v>
      </c>
    </row>
    <row r="2288" spans="1:13" x14ac:dyDescent="0.2">
      <c r="A2288" s="23">
        <v>565.25</v>
      </c>
      <c r="B2288" s="20">
        <v>1036.5197598949701</v>
      </c>
      <c r="C2288" s="20">
        <v>110.997332756529</v>
      </c>
      <c r="D2288" s="20">
        <v>301.604261561795</v>
      </c>
      <c r="E2288" s="20">
        <v>-0.1749492218084</v>
      </c>
      <c r="F2288" s="20">
        <v>1.40011169585541E-2</v>
      </c>
      <c r="G2288" s="20">
        <v>0.17550857952662</v>
      </c>
      <c r="H2288" s="20">
        <v>4.4688383669940499E-3</v>
      </c>
      <c r="I2288" s="20">
        <v>184.43803009867301</v>
      </c>
      <c r="L2288" s="20">
        <f t="shared" si="76"/>
        <v>1042.4459796707886</v>
      </c>
      <c r="M2288" s="20">
        <f t="shared" si="77"/>
        <v>-13.23906394187197</v>
      </c>
    </row>
    <row r="2289" spans="1:13" x14ac:dyDescent="0.2">
      <c r="A2289" s="23">
        <v>565.5</v>
      </c>
      <c r="B2289" s="20">
        <v>1036.5794354435</v>
      </c>
      <c r="C2289" s="20">
        <v>110.953518553986</v>
      </c>
      <c r="D2289" s="20">
        <v>301.55269109772701</v>
      </c>
      <c r="E2289" s="20">
        <v>-0.17478551904509801</v>
      </c>
      <c r="F2289" s="20">
        <v>1.46423119349518E-2</v>
      </c>
      <c r="G2289" s="20">
        <v>0.175397762148395</v>
      </c>
      <c r="H2289" s="20">
        <v>4.4666706598455799E-3</v>
      </c>
      <c r="I2289" s="20">
        <v>184.438234398915</v>
      </c>
      <c r="L2289" s="20">
        <f t="shared" si="76"/>
        <v>1042.5006519249159</v>
      </c>
      <c r="M2289" s="20">
        <f t="shared" si="77"/>
        <v>-13.239758279499391</v>
      </c>
    </row>
    <row r="2290" spans="1:13" x14ac:dyDescent="0.2">
      <c r="A2290" s="23">
        <v>565.75</v>
      </c>
      <c r="B2290" s="20">
        <v>1036.63894987665</v>
      </c>
      <c r="C2290" s="20">
        <v>110.90956385972</v>
      </c>
      <c r="D2290" s="20">
        <v>301.50105041726903</v>
      </c>
      <c r="E2290" s="20">
        <v>-0.17462099236038001</v>
      </c>
      <c r="F2290" s="20">
        <v>1.5282970734334701E-2</v>
      </c>
      <c r="G2290" s="20">
        <v>0.17528850551987299</v>
      </c>
      <c r="H2290" s="20">
        <v>4.4645848386615002E-3</v>
      </c>
      <c r="I2290" s="20">
        <v>184.43806252809301</v>
      </c>
      <c r="L2290" s="20">
        <f t="shared" si="76"/>
        <v>1042.5551514221763</v>
      </c>
      <c r="M2290" s="20">
        <f t="shared" si="77"/>
        <v>-13.240450423114602</v>
      </c>
    </row>
    <row r="2291" spans="1:13" x14ac:dyDescent="0.2">
      <c r="A2291" s="23">
        <v>566</v>
      </c>
      <c r="B2291" s="20">
        <v>1036.69830336882</v>
      </c>
      <c r="C2291" s="20">
        <v>110.86546879530999</v>
      </c>
      <c r="D2291" s="20">
        <v>301.44933944504498</v>
      </c>
      <c r="E2291" s="20">
        <v>-0.17445563108620801</v>
      </c>
      <c r="F2291" s="20">
        <v>1.59231018065535E-2</v>
      </c>
      <c r="G2291" s="20">
        <v>0.175180799144281</v>
      </c>
      <c r="H2291" s="20">
        <v>4.46258133774777E-3</v>
      </c>
      <c r="I2291" s="20">
        <v>184.43751272615901</v>
      </c>
      <c r="L2291" s="20">
        <f t="shared" si="76"/>
        <v>1042.6094783661779</v>
      </c>
      <c r="M2291" s="20">
        <f t="shared" si="77"/>
        <v>-13.241140375303424</v>
      </c>
    </row>
    <row r="2292" spans="1:13" x14ac:dyDescent="0.2">
      <c r="A2292" s="23">
        <v>566.25</v>
      </c>
      <c r="B2292" s="20">
        <v>1036.75749608872</v>
      </c>
      <c r="C2292" s="20">
        <v>110.821233481074</v>
      </c>
      <c r="D2292" s="20">
        <v>301.397558106171</v>
      </c>
      <c r="E2292" s="20">
        <v>-0.17428942448248</v>
      </c>
      <c r="F2292" s="20">
        <v>1.65627136114435E-2</v>
      </c>
      <c r="G2292" s="20">
        <v>0.175074632567397</v>
      </c>
      <c r="H2292" s="20">
        <v>4.4606605962272498E-3</v>
      </c>
      <c r="I2292" s="20">
        <v>184.43658322143301</v>
      </c>
      <c r="L2292" s="20">
        <f t="shared" si="76"/>
        <v>1042.6636329547603</v>
      </c>
      <c r="M2292" s="20">
        <f t="shared" si="77"/>
        <v>-13.241828138578423</v>
      </c>
    </row>
    <row r="2293" spans="1:13" x14ac:dyDescent="0.2">
      <c r="A2293" s="23">
        <v>566.5</v>
      </c>
      <c r="B2293" s="20">
        <v>1036.8165281993199</v>
      </c>
      <c r="C2293" s="20">
        <v>110.776858036059</v>
      </c>
      <c r="D2293" s="20">
        <v>301.34570632625702</v>
      </c>
      <c r="E2293" s="20">
        <v>-0.174122361736643</v>
      </c>
      <c r="F2293" s="20">
        <v>1.7201814618821799E-2</v>
      </c>
      <c r="G2293" s="20">
        <v>0.17496999537899899</v>
      </c>
      <c r="H2293" s="20">
        <v>4.4588230580803901E-3</v>
      </c>
      <c r="I2293" s="20">
        <v>184.43527223054701</v>
      </c>
      <c r="L2293" s="20">
        <f t="shared" si="76"/>
        <v>1042.7176153799419</v>
      </c>
      <c r="M2293" s="20">
        <f t="shared" si="77"/>
        <v>-13.242513715378232</v>
      </c>
    </row>
    <row r="2294" spans="1:13" x14ac:dyDescent="0.2">
      <c r="A2294" s="23">
        <v>566.75</v>
      </c>
      <c r="B2294" s="20">
        <v>1036.87539985785</v>
      </c>
      <c r="C2294" s="20">
        <v>110.73234257803099</v>
      </c>
      <c r="D2294" s="20">
        <v>301.29378403140998</v>
      </c>
      <c r="E2294" s="20">
        <v>-0.17395443196329599</v>
      </c>
      <c r="F2294" s="20">
        <v>1.78404133084843E-2</v>
      </c>
      <c r="G2294" s="20">
        <v>0.174866877214327</v>
      </c>
      <c r="H2294" s="20">
        <v>4.4570691721855203E-3</v>
      </c>
      <c r="I2294" s="20">
        <v>184.43357795839401</v>
      </c>
      <c r="L2294" s="20">
        <f t="shared" si="76"/>
        <v>1042.7714258279207</v>
      </c>
      <c r="M2294" s="20">
        <f t="shared" si="77"/>
        <v>-13.243197108067564</v>
      </c>
    </row>
    <row r="2295" spans="1:13" x14ac:dyDescent="0.2">
      <c r="A2295" s="23">
        <v>567</v>
      </c>
      <c r="B2295" s="20">
        <v>1036.9341112157799</v>
      </c>
      <c r="C2295" s="20">
        <v>110.687687223468</v>
      </c>
      <c r="D2295" s="20">
        <v>301.24179114823397</v>
      </c>
      <c r="E2295" s="20">
        <v>-0.173785624203801</v>
      </c>
      <c r="F2295" s="20">
        <v>1.8478518170203701E-2</v>
      </c>
      <c r="G2295" s="20">
        <v>0.17476526775555701</v>
      </c>
      <c r="H2295" s="20">
        <v>4.4553993923585403E-3</v>
      </c>
      <c r="I2295" s="20">
        <v>184.431498598068</v>
      </c>
      <c r="L2295" s="20">
        <f t="shared" si="76"/>
        <v>1042.8250644790523</v>
      </c>
      <c r="M2295" s="20">
        <f t="shared" si="77"/>
        <v>-13.243878318936941</v>
      </c>
    </row>
    <row r="2296" spans="1:13" x14ac:dyDescent="0.2">
      <c r="A2296" s="23">
        <v>567.25</v>
      </c>
      <c r="B2296" s="20">
        <v>1036.9926624187599</v>
      </c>
      <c r="C2296" s="20">
        <v>110.642892087543</v>
      </c>
      <c r="D2296" s="20">
        <v>301.18972760383798</v>
      </c>
      <c r="E2296" s="20">
        <v>-0.17361592742589199</v>
      </c>
      <c r="F2296" s="20">
        <v>1.9116137703728199E-2</v>
      </c>
      <c r="G2296" s="20">
        <v>0.17466515673327801</v>
      </c>
      <c r="H2296" s="20">
        <v>4.4538141773918204E-3</v>
      </c>
      <c r="I2296" s="20">
        <v>184.42903233080801</v>
      </c>
      <c r="L2296" s="20">
        <f t="shared" si="76"/>
        <v>1042.8785315077898</v>
      </c>
      <c r="M2296" s="20">
        <f t="shared" si="77"/>
        <v>-13.24455735020191</v>
      </c>
    </row>
    <row r="2297" spans="1:13" x14ac:dyDescent="0.2">
      <c r="A2297" s="23">
        <v>567.5</v>
      </c>
      <c r="B2297" s="20">
        <v>1037.0510536066399</v>
      </c>
      <c r="C2297" s="20">
        <v>110.59795728412</v>
      </c>
      <c r="D2297" s="20">
        <v>301.13759332583402</v>
      </c>
      <c r="E2297" s="20">
        <v>-0.17344533052327599</v>
      </c>
      <c r="F2297" s="20">
        <v>1.9753280418781001E-2</v>
      </c>
      <c r="G2297" s="20">
        <v>0.17456653392798899</v>
      </c>
      <c r="H2297" s="20">
        <v>4.4523139910927802E-3</v>
      </c>
      <c r="I2297" s="20">
        <v>184.42617732594999</v>
      </c>
      <c r="L2297" s="20">
        <f t="shared" si="76"/>
        <v>1042.9318270827016</v>
      </c>
      <c r="M2297" s="20">
        <f t="shared" si="77"/>
        <v>-13.245234204003292</v>
      </c>
    </row>
    <row r="2298" spans="1:13" x14ac:dyDescent="0.2">
      <c r="A2298" s="23">
        <v>567.75</v>
      </c>
      <c r="B2298" s="20">
        <v>1037.1092849134</v>
      </c>
      <c r="C2298" s="20">
        <v>110.552882925742</v>
      </c>
      <c r="D2298" s="20">
        <v>301.08538824234</v>
      </c>
      <c r="E2298" s="20">
        <v>-0.17327382231524599</v>
      </c>
      <c r="F2298" s="20">
        <v>2.03899548350603E-2</v>
      </c>
      <c r="G2298" s="20">
        <v>0.17446938917159999</v>
      </c>
      <c r="H2298" s="20">
        <v>4.4508993023218398E-3</v>
      </c>
      <c r="I2298" s="20">
        <v>184.42293174086299</v>
      </c>
      <c r="L2298" s="20">
        <f t="shared" si="76"/>
        <v>1042.9849513664024</v>
      </c>
      <c r="M2298" s="20">
        <f t="shared" si="77"/>
        <v>-13.245908882406294</v>
      </c>
    </row>
    <row r="2299" spans="1:13" x14ac:dyDescent="0.2">
      <c r="A2299" s="23">
        <v>568</v>
      </c>
      <c r="B2299" s="20">
        <v>1037.1673564671401</v>
      </c>
      <c r="C2299" s="20">
        <v>110.50766912361701</v>
      </c>
      <c r="D2299" s="20">
        <v>301.03311228198601</v>
      </c>
      <c r="E2299" s="20">
        <v>-0.17310139154627699</v>
      </c>
      <c r="F2299" s="20">
        <v>2.10261694822402E-2</v>
      </c>
      <c r="G2299" s="20">
        <v>0.174373712348948</v>
      </c>
      <c r="H2299" s="20">
        <v>4.44957058502934E-3</v>
      </c>
      <c r="I2299" s="20">
        <v>184.419293720902</v>
      </c>
      <c r="L2299" s="20">
        <f t="shared" si="76"/>
        <v>1043.0379045155407</v>
      </c>
      <c r="M2299" s="20">
        <f t="shared" si="77"/>
        <v>-13.246581387400354</v>
      </c>
    </row>
    <row r="2300" spans="1:13" x14ac:dyDescent="0.2">
      <c r="A2300" s="23">
        <v>568.25</v>
      </c>
      <c r="B2300" s="20">
        <v>1037.2252683900699</v>
      </c>
      <c r="C2300" s="20">
        <v>110.462315987612</v>
      </c>
      <c r="D2300" s="20">
        <v>300.98076537391302</v>
      </c>
      <c r="E2300" s="20">
        <v>-0.17292802688563899</v>
      </c>
      <c r="F2300" s="20">
        <v>2.1661932899972501E-2</v>
      </c>
      <c r="G2300" s="20">
        <v>0.174279493399319</v>
      </c>
      <c r="H2300" s="20">
        <v>4.4483283182923704E-3</v>
      </c>
      <c r="I2300" s="20">
        <v>184.415261399353</v>
      </c>
      <c r="L2300" s="20">
        <f t="shared" si="76"/>
        <v>1043.0906866807888</v>
      </c>
      <c r="M2300" s="20">
        <f t="shared" si="77"/>
        <v>-13.247251720899008</v>
      </c>
    </row>
    <row r="2301" spans="1:13" x14ac:dyDescent="0.2">
      <c r="A2301" s="23">
        <v>568.5</v>
      </c>
      <c r="B2301" s="20">
        <v>1037.28302079845</v>
      </c>
      <c r="C2301" s="20">
        <v>110.416823626241</v>
      </c>
      <c r="D2301" s="20">
        <v>300.92834744777798</v>
      </c>
      <c r="E2301" s="20">
        <v>-0.17275371692699201</v>
      </c>
      <c r="F2301" s="20">
        <v>2.2297253637888901E-2</v>
      </c>
      <c r="G2301" s="20">
        <v>0.17418672231798801</v>
      </c>
      <c r="H2301" s="20">
        <v>4.4471729863504303E-3</v>
      </c>
      <c r="I2301" s="20">
        <v>184.41083289737401</v>
      </c>
      <c r="L2301" s="20">
        <f t="shared" si="76"/>
        <v>1043.1432980067821</v>
      </c>
      <c r="M2301" s="20">
        <f t="shared" si="77"/>
        <v>-13.247919884739122</v>
      </c>
    </row>
    <row r="2302" spans="1:13" x14ac:dyDescent="0.2">
      <c r="A2302" s="23">
        <v>568.75</v>
      </c>
      <c r="B2302" s="20">
        <v>1037.3406138026101</v>
      </c>
      <c r="C2302" s="20">
        <v>110.371192146651</v>
      </c>
      <c r="D2302" s="20">
        <v>300.87585843375501</v>
      </c>
      <c r="E2302" s="20">
        <v>-0.172578450187995</v>
      </c>
      <c r="F2302" s="20">
        <v>2.2932140255603899E-2</v>
      </c>
      <c r="G2302" s="20">
        <v>0.17409538915776299</v>
      </c>
      <c r="H2302" s="20">
        <v>4.4461050786405998E-3</v>
      </c>
      <c r="I2302" s="20">
        <v>184.40600632394799</v>
      </c>
      <c r="L2302" s="20">
        <f t="shared" si="76"/>
        <v>1043.1957386321365</v>
      </c>
      <c r="M2302" s="20">
        <f t="shared" si="77"/>
        <v>-13.248585880681127</v>
      </c>
    </row>
    <row r="2303" spans="1:13" x14ac:dyDescent="0.2">
      <c r="A2303" s="23">
        <v>569</v>
      </c>
      <c r="B2303" s="20">
        <v>1037.3980475068599</v>
      </c>
      <c r="C2303" s="20">
        <v>110.325421654615</v>
      </c>
      <c r="D2303" s="20">
        <v>300.82329826253999</v>
      </c>
      <c r="E2303" s="20">
        <v>-0.172402215109902</v>
      </c>
      <c r="F2303" s="20">
        <v>2.3566601322718501E-2</v>
      </c>
      <c r="G2303" s="20">
        <v>0.174005484030547</v>
      </c>
      <c r="H2303" s="20">
        <v>4.4451250898318896E-3</v>
      </c>
      <c r="I2303" s="20">
        <v>184.40077977582601</v>
      </c>
      <c r="L2303" s="20">
        <f t="shared" si="76"/>
        <v>1043.2480086893595</v>
      </c>
      <c r="M2303" s="20">
        <f t="shared" si="77"/>
        <v>-13.249249710407863</v>
      </c>
    </row>
    <row r="2304" spans="1:13" x14ac:dyDescent="0.2">
      <c r="A2304" s="23">
        <v>569.25</v>
      </c>
      <c r="B2304" s="20">
        <v>1037.4553220095299</v>
      </c>
      <c r="C2304" s="20">
        <v>110.27951225452</v>
      </c>
      <c r="D2304" s="20">
        <v>300.77066686534903</v>
      </c>
      <c r="E2304" s="20">
        <v>-0.17222500005716801</v>
      </c>
      <c r="F2304" s="20">
        <v>2.4200645418824999E-2</v>
      </c>
      <c r="G2304" s="20">
        <v>0.17391699710890601</v>
      </c>
      <c r="H2304" s="20">
        <v>4.4442335198589299E-3</v>
      </c>
      <c r="I2304" s="20">
        <v>184.395151337474</v>
      </c>
      <c r="L2304" s="20">
        <f t="shared" si="76"/>
        <v>1043.3001083048885</v>
      </c>
      <c r="M2304" s="20">
        <f t="shared" si="77"/>
        <v>-13.249911375525084</v>
      </c>
    </row>
    <row r="2305" spans="1:13" x14ac:dyDescent="0.2">
      <c r="A2305" s="23">
        <v>569.5</v>
      </c>
      <c r="B2305" s="20">
        <v>1037.5124374028701</v>
      </c>
      <c r="C2305" s="20">
        <v>110.23346404935199</v>
      </c>
      <c r="D2305" s="20">
        <v>300.71796417392898</v>
      </c>
      <c r="E2305" s="20">
        <v>-0.172046793317048</v>
      </c>
      <c r="F2305" s="20">
        <v>2.4834281133511299E-2</v>
      </c>
      <c r="G2305" s="20">
        <v>0.17382991862765601</v>
      </c>
      <c r="H2305" s="20">
        <v>4.4434308739547497E-3</v>
      </c>
      <c r="I2305" s="20">
        <v>184.389119081025</v>
      </c>
      <c r="L2305" s="20">
        <f t="shared" si="76"/>
        <v>1043.3520375989899</v>
      </c>
      <c r="M2305" s="20">
        <f t="shared" si="77"/>
        <v>-13.250570877560175</v>
      </c>
    </row>
    <row r="2306" spans="1:13" x14ac:dyDescent="0.2">
      <c r="A2306" s="23">
        <v>569.75</v>
      </c>
      <c r="B2306" s="20">
        <v>1037.5693937731101</v>
      </c>
      <c r="C2306" s="20">
        <v>110.187277140692</v>
      </c>
      <c r="D2306" s="20">
        <v>300.66519012054903</v>
      </c>
      <c r="E2306" s="20">
        <v>-0.171867583099194</v>
      </c>
      <c r="F2306" s="20">
        <v>2.54675170663674E-2</v>
      </c>
      <c r="G2306" s="20">
        <v>0.17374423888544899</v>
      </c>
      <c r="H2306" s="20">
        <v>4.4427176626827998E-3</v>
      </c>
      <c r="I2306" s="20">
        <v>184.38268106621999</v>
      </c>
      <c r="L2306" s="20">
        <f t="shared" si="76"/>
        <v>1043.4037966858175</v>
      </c>
      <c r="M2306" s="20">
        <f t="shared" si="77"/>
        <v>-13.251228217962888</v>
      </c>
    </row>
    <row r="2307" spans="1:13" x14ac:dyDescent="0.2">
      <c r="A2307" s="23">
        <v>570</v>
      </c>
      <c r="B2307" s="20">
        <v>1037.6261912003499</v>
      </c>
      <c r="C2307" s="20">
        <v>110.14095162869801</v>
      </c>
      <c r="D2307" s="20">
        <v>300.61234463801497</v>
      </c>
      <c r="E2307" s="20">
        <v>-0.17168735753525599</v>
      </c>
      <c r="F2307" s="20">
        <v>2.6100361826991499E-2</v>
      </c>
      <c r="G2307" s="20">
        <v>0.17365994824639</v>
      </c>
      <c r="H2307" s="20">
        <v>4.4420944019682197E-3</v>
      </c>
      <c r="I2307" s="20">
        <v>184.37583534036099</v>
      </c>
      <c r="L2307" s="20">
        <f t="shared" si="76"/>
        <v>1043.4553856733025</v>
      </c>
      <c r="M2307" s="20">
        <f t="shared" si="77"/>
        <v>-13.251883398103951</v>
      </c>
    </row>
    <row r="2308" spans="1:13" x14ac:dyDescent="0.2">
      <c r="A2308" s="23">
        <v>570.25</v>
      </c>
      <c r="B2308" s="20">
        <v>1037.6828297585801</v>
      </c>
      <c r="C2308" s="20">
        <v>110.09448761209499</v>
      </c>
      <c r="D2308" s="20">
        <v>300.55942765966302</v>
      </c>
      <c r="E2308" s="20">
        <v>-0.17150610467848201</v>
      </c>
      <c r="F2308" s="20">
        <v>2.6732824034997001E-2</v>
      </c>
      <c r="G2308" s="20">
        <v>0.17357703714164699</v>
      </c>
      <c r="H2308" s="20">
        <v>4.4415616131280797E-3</v>
      </c>
      <c r="I2308" s="20">
        <v>184.36857993825799</v>
      </c>
      <c r="L2308" s="20">
        <f t="shared" si="76"/>
        <v>1043.5068046631723</v>
      </c>
      <c r="M2308" s="20">
        <f t="shared" si="77"/>
        <v>-13.252536419275298</v>
      </c>
    </row>
    <row r="2309" spans="1:13" x14ac:dyDescent="0.2">
      <c r="A2309" s="23">
        <v>570.5</v>
      </c>
      <c r="B2309" s="20">
        <v>1037.7393095156301</v>
      </c>
      <c r="C2309" s="20">
        <v>110.047885188165</v>
      </c>
      <c r="D2309" s="20">
        <v>300.50643911936697</v>
      </c>
      <c r="E2309" s="20">
        <v>-0.171323812503312</v>
      </c>
      <c r="F2309" s="20">
        <v>2.7364912320020598E-2</v>
      </c>
      <c r="G2309" s="20">
        <v>0.173495496071087</v>
      </c>
      <c r="H2309" s="20">
        <v>4.4411198229008996E-3</v>
      </c>
      <c r="I2309" s="20">
        <v>184.36091288217801</v>
      </c>
      <c r="L2309" s="20">
        <f t="shared" si="76"/>
        <v>1043.558053750899</v>
      </c>
      <c r="M2309" s="20">
        <f t="shared" si="77"/>
        <v>-13.25318728268943</v>
      </c>
    </row>
    <row r="2310" spans="1:13" x14ac:dyDescent="0.2">
      <c r="A2310" s="23">
        <v>570.75</v>
      </c>
      <c r="B2310" s="20">
        <v>1037.79563053316</v>
      </c>
      <c r="C2310" s="20">
        <v>110.001144452734</v>
      </c>
      <c r="D2310" s="20">
        <v>300.45337895154</v>
      </c>
      <c r="E2310" s="20">
        <v>-0.171140468904979</v>
      </c>
      <c r="F2310" s="20">
        <v>2.79966353217302E-2</v>
      </c>
      <c r="G2310" s="20">
        <v>0.17341531560491999</v>
      </c>
      <c r="H2310" s="20">
        <v>4.4407695634751804E-3</v>
      </c>
      <c r="I2310" s="20">
        <v>184.352832181791</v>
      </c>
      <c r="L2310" s="20">
        <f t="shared" si="76"/>
        <v>1043.6091330256891</v>
      </c>
      <c r="M2310" s="20">
        <f t="shared" si="77"/>
        <v>-13.253835989479267</v>
      </c>
    </row>
    <row r="2311" spans="1:13" x14ac:dyDescent="0.2">
      <c r="A2311" s="23">
        <v>571</v>
      </c>
      <c r="B2311" s="20">
        <v>1037.8517928666199</v>
      </c>
      <c r="C2311" s="20">
        <v>109.95426550016001</v>
      </c>
      <c r="D2311" s="20">
        <v>300.40024709113698</v>
      </c>
      <c r="E2311" s="20">
        <v>-0.17095606169910199</v>
      </c>
      <c r="F2311" s="20">
        <v>2.8628001689834599E-2</v>
      </c>
      <c r="G2311" s="20">
        <v>0.17333648638535501</v>
      </c>
      <c r="H2311" s="20">
        <v>4.4405113725170496E-3</v>
      </c>
      <c r="I2311" s="20">
        <v>184.34433583412601</v>
      </c>
      <c r="L2311" s="20">
        <f t="shared" si="76"/>
        <v>1043.6600425704421</v>
      </c>
      <c r="M2311" s="20">
        <f t="shared" si="77"/>
        <v>-13.254482540697632</v>
      </c>
    </row>
    <row r="2312" spans="1:13" x14ac:dyDescent="0.2">
      <c r="A2312" s="23">
        <v>571.25</v>
      </c>
      <c r="B2312" s="20">
        <v>1037.90779656522</v>
      </c>
      <c r="C2312" s="20">
        <v>109.907248423322</v>
      </c>
      <c r="D2312" s="20">
        <v>300.34704347365602</v>
      </c>
      <c r="E2312" s="20">
        <v>-0.170770578621284</v>
      </c>
      <c r="F2312" s="20">
        <v>2.92590200840924E-2</v>
      </c>
      <c r="G2312" s="20">
        <v>0.173258999128269</v>
      </c>
      <c r="H2312" s="20">
        <v>4.4403457931970298E-3</v>
      </c>
      <c r="I2312" s="20">
        <v>184.335421823514</v>
      </c>
      <c r="L2312" s="20">
        <f t="shared" si="76"/>
        <v>1043.7107824617201</v>
      </c>
      <c r="M2312" s="20">
        <f t="shared" si="77"/>
        <v>-13.255126937316867</v>
      </c>
    </row>
    <row r="2313" spans="1:13" x14ac:dyDescent="0.2">
      <c r="A2313" s="23">
        <v>571.5</v>
      </c>
      <c r="B2313" s="20">
        <v>1037.96364167191</v>
      </c>
      <c r="C2313" s="20">
        <v>109.860093313606</v>
      </c>
      <c r="D2313" s="20">
        <v>300.293768035146</v>
      </c>
      <c r="E2313" s="20">
        <v>-0.170584007326709</v>
      </c>
      <c r="F2313" s="20">
        <v>2.98896991743232E-2</v>
      </c>
      <c r="G2313" s="20">
        <v>0.173182844624894</v>
      </c>
      <c r="H2313" s="20">
        <v>4.4402733742155099E-3</v>
      </c>
      <c r="I2313" s="20">
        <v>184.326088121542</v>
      </c>
      <c r="L2313" s="20">
        <f t="shared" si="76"/>
        <v>1043.7613527697254</v>
      </c>
      <c r="M2313" s="20">
        <f t="shared" si="77"/>
        <v>-13.255769180228535</v>
      </c>
    </row>
    <row r="2314" spans="1:13" x14ac:dyDescent="0.2">
      <c r="A2314" s="23">
        <v>571.75</v>
      </c>
      <c r="B2314" s="20">
        <v>1038.0193282233599</v>
      </c>
      <c r="C2314" s="20">
        <v>109.812800260892</v>
      </c>
      <c r="D2314" s="20">
        <v>300.240420712201</v>
      </c>
      <c r="E2314" s="20">
        <v>-0.17039633538973201</v>
      </c>
      <c r="F2314" s="20">
        <v>3.0520047640417901E-2</v>
      </c>
      <c r="G2314" s="20">
        <v>0.17310801374351001</v>
      </c>
      <c r="H2314" s="20">
        <v>4.44029466982782E-3</v>
      </c>
      <c r="I2314" s="20">
        <v>184.31633268700099</v>
      </c>
      <c r="L2314" s="20">
        <f t="shared" si="76"/>
        <v>1043.8117535582812</v>
      </c>
      <c r="M2314" s="20">
        <f t="shared" si="77"/>
        <v>-13.256409270243196</v>
      </c>
    </row>
    <row r="2315" spans="1:13" x14ac:dyDescent="0.2">
      <c r="A2315" s="23">
        <v>572</v>
      </c>
      <c r="B2315" s="20">
        <v>1038.07485624988</v>
      </c>
      <c r="C2315" s="20">
        <v>109.765369353545</v>
      </c>
      <c r="D2315" s="20">
        <v>300.18700144197101</v>
      </c>
      <c r="E2315" s="20">
        <v>-0.17020755030347801</v>
      </c>
      <c r="F2315" s="20">
        <v>3.1150074172350498E-2</v>
      </c>
      <c r="G2315" s="20">
        <v>0.17303449743116001</v>
      </c>
      <c r="H2315" s="20">
        <v>4.4404102398675803E-3</v>
      </c>
      <c r="I2315" s="20">
        <v>184.306153465839</v>
      </c>
      <c r="L2315" s="20">
        <f t="shared" si="76"/>
        <v>1043.8619848847495</v>
      </c>
      <c r="M2315" s="20">
        <f t="shared" si="77"/>
        <v>-13.257047208089348</v>
      </c>
    </row>
    <row r="2316" spans="1:13" x14ac:dyDescent="0.2">
      <c r="A2316" s="23">
        <v>572.25</v>
      </c>
      <c r="B2316" s="20">
        <v>1038.1302257754601</v>
      </c>
      <c r="C2316" s="20">
        <v>109.7178006784</v>
      </c>
      <c r="D2316" s="20">
        <v>300.13351016216001</v>
      </c>
      <c r="E2316" s="20">
        <v>-0.17001763947943499</v>
      </c>
      <c r="F2316" s="20">
        <v>3.1779787470190397E-2</v>
      </c>
      <c r="G2316" s="20">
        <v>0.17296228671536901</v>
      </c>
      <c r="H2316" s="20">
        <v>4.4406206497696402E-3</v>
      </c>
      <c r="I2316" s="20">
        <v>184.29554839111199</v>
      </c>
      <c r="L2316" s="20">
        <f t="shared" si="76"/>
        <v>1043.9120468000706</v>
      </c>
      <c r="M2316" s="20">
        <f t="shared" si="77"/>
        <v>-13.257682994413928</v>
      </c>
    </row>
    <row r="2317" spans="1:13" x14ac:dyDescent="0.2">
      <c r="A2317" s="23">
        <v>572.5</v>
      </c>
      <c r="B2317" s="20">
        <v>1038.1854368177101</v>
      </c>
      <c r="C2317" s="20">
        <v>109.670094320749</v>
      </c>
      <c r="D2317" s="20">
        <v>300.079946811029</v>
      </c>
      <c r="E2317" s="20">
        <v>-0.169826590247044</v>
      </c>
      <c r="F2317" s="20">
        <v>3.2409196244114903E-2</v>
      </c>
      <c r="G2317" s="20">
        <v>0.17289137270589</v>
      </c>
      <c r="H2317" s="20">
        <v>4.4409264705915002E-3</v>
      </c>
      <c r="I2317" s="20">
        <v>184.28451538293399</v>
      </c>
      <c r="L2317" s="20">
        <f t="shared" si="76"/>
        <v>1043.9619393487012</v>
      </c>
      <c r="M2317" s="20">
        <f t="shared" si="77"/>
        <v>-13.258316629781538</v>
      </c>
    </row>
    <row r="2318" spans="1:13" x14ac:dyDescent="0.2">
      <c r="A2318" s="23">
        <v>572.75</v>
      </c>
      <c r="B2318" s="20">
        <v>1038.2404893878199</v>
      </c>
      <c r="C2318" s="20">
        <v>109.62225036432901</v>
      </c>
      <c r="D2318" s="20">
        <v>300.02631132740299</v>
      </c>
      <c r="E2318" s="20">
        <v>-0.16963438985329801</v>
      </c>
      <c r="F2318" s="20">
        <v>3.3038309214423002E-2</v>
      </c>
      <c r="G2318" s="20">
        <v>0.172821746596453</v>
      </c>
      <c r="H2318" s="20">
        <v>4.4413282790338703E-3</v>
      </c>
      <c r="I2318" s="20">
        <v>184.273052348428</v>
      </c>
      <c r="L2318" s="20">
        <f t="shared" si="76"/>
        <v>1044.0116625685746</v>
      </c>
      <c r="M2318" s="20">
        <f t="shared" si="77"/>
        <v>-13.258948114673933</v>
      </c>
    </row>
    <row r="2319" spans="1:13" x14ac:dyDescent="0.2">
      <c r="A2319" s="23">
        <v>573</v>
      </c>
      <c r="B2319" s="20">
        <v>1038.29538349053</v>
      </c>
      <c r="C2319" s="20">
        <v>109.57426889130799</v>
      </c>
      <c r="D2319" s="20">
        <v>299.97260365066597</v>
      </c>
      <c r="E2319" s="20">
        <v>-0.16944102546232701</v>
      </c>
      <c r="F2319" s="20">
        <v>3.3667135111549097E-2</v>
      </c>
      <c r="G2319" s="20">
        <v>0.172753399666532</v>
      </c>
      <c r="H2319" s="20">
        <v>4.4418266574603104E-3</v>
      </c>
      <c r="I2319" s="20">
        <v>184.26115718168299</v>
      </c>
      <c r="L2319" s="20">
        <f t="shared" si="76"/>
        <v>1044.0612164910692</v>
      </c>
      <c r="M2319" s="20">
        <f t="shared" si="77"/>
        <v>-13.259577449489617</v>
      </c>
    </row>
    <row r="2320" spans="1:13" x14ac:dyDescent="0.2">
      <c r="A2320" s="23">
        <v>573.25</v>
      </c>
      <c r="B2320" s="20">
        <v>1038.3501191241301</v>
      </c>
      <c r="C2320" s="20">
        <v>109.526149982273</v>
      </c>
      <c r="D2320" s="20">
        <v>299.918823720771</v>
      </c>
      <c r="E2320" s="20">
        <v>-0.16924648415499899</v>
      </c>
      <c r="F2320" s="20">
        <v>3.4295682676077702E-2</v>
      </c>
      <c r="G2320" s="20">
        <v>0.17268632328313199</v>
      </c>
      <c r="H2320" s="20">
        <v>4.4424221891294297E-3</v>
      </c>
      <c r="I2320" s="20">
        <v>184.24882778564199</v>
      </c>
      <c r="L2320" s="20">
        <f t="shared" si="76"/>
        <v>1044.1106011410066</v>
      </c>
      <c r="M2320" s="20">
        <f t="shared" si="77"/>
        <v>-13.260204634543824</v>
      </c>
    </row>
    <row r="2321" spans="1:13" x14ac:dyDescent="0.2">
      <c r="A2321" s="23">
        <v>573.5</v>
      </c>
      <c r="B2321" s="20">
        <v>1038.40469628041</v>
      </c>
      <c r="C2321" s="20">
        <v>109.47789371621499</v>
      </c>
      <c r="D2321" s="20">
        <v>299.86497147823798</v>
      </c>
      <c r="E2321" s="20">
        <v>-0.16905075292994201</v>
      </c>
      <c r="F2321" s="20">
        <v>3.4923960658092702E-2</v>
      </c>
      <c r="G2321" s="20">
        <v>0.17262050890386199</v>
      </c>
      <c r="H2321" s="20">
        <v>4.4431153576103E-3</v>
      </c>
      <c r="I2321" s="20">
        <v>184.23606253317101</v>
      </c>
      <c r="L2321" s="20">
        <f t="shared" si="76"/>
        <v>1044.1598165366017</v>
      </c>
      <c r="M2321" s="20">
        <f t="shared" si="77"/>
        <v>-13.260829670067887</v>
      </c>
    </row>
    <row r="2322" spans="1:13" x14ac:dyDescent="0.2">
      <c r="A2322" s="23">
        <v>573.75</v>
      </c>
      <c r="B2322" s="20">
        <v>1038.4591149446301</v>
      </c>
      <c r="C2322" s="20">
        <v>109.429500170518</v>
      </c>
      <c r="D2322" s="20">
        <v>299.81104686415898</v>
      </c>
      <c r="E2322" s="20">
        <v>-0.16885381873432501</v>
      </c>
      <c r="F2322" s="20">
        <v>3.5551977802786898E-2</v>
      </c>
      <c r="G2322" s="20">
        <v>0.17255594810627101</v>
      </c>
      <c r="H2322" s="20">
        <v>4.4439065519943201E-3</v>
      </c>
      <c r="I2322" s="20">
        <v>184.222860259496</v>
      </c>
      <c r="L2322" s="20">
        <f t="shared" si="76"/>
        <v>1044.2088626894304</v>
      </c>
      <c r="M2322" s="20">
        <f t="shared" si="77"/>
        <v>-13.261452556208811</v>
      </c>
    </row>
    <row r="2323" spans="1:13" x14ac:dyDescent="0.2">
      <c r="A2323" s="23">
        <v>574</v>
      </c>
      <c r="B2323" s="20">
        <v>1038.5133750955199</v>
      </c>
      <c r="C2323" s="20">
        <v>109.380969420938</v>
      </c>
      <c r="D2323" s="20">
        <v>299.75704982020102</v>
      </c>
      <c r="E2323" s="20">
        <v>-0.16865566848246499</v>
      </c>
      <c r="F2323" s="20">
        <v>3.6179742841536397E-2</v>
      </c>
      <c r="G2323" s="20">
        <v>0.17249263260599601</v>
      </c>
      <c r="H2323" s="20">
        <v>4.4447961647227302E-3</v>
      </c>
      <c r="I2323" s="20">
        <v>184.20921981171799</v>
      </c>
      <c r="L2323" s="20">
        <f t="shared" si="76"/>
        <v>1044.2577396044294</v>
      </c>
      <c r="M2323" s="20">
        <f t="shared" si="77"/>
        <v>-13.262073293029303</v>
      </c>
    </row>
    <row r="2324" spans="1:13" x14ac:dyDescent="0.2">
      <c r="A2324" s="23">
        <v>574.25</v>
      </c>
      <c r="B2324" s="20">
        <v>1038.5674767052799</v>
      </c>
      <c r="C2324" s="20">
        <v>109.332301541593</v>
      </c>
      <c r="D2324" s="20">
        <v>299.70298028860498</v>
      </c>
      <c r="E2324" s="20">
        <v>-0.16845628904559601</v>
      </c>
      <c r="F2324" s="20">
        <v>3.6807264496383101E-2</v>
      </c>
      <c r="G2324" s="20">
        <v>0.17243055424929801</v>
      </c>
      <c r="H2324" s="20">
        <v>4.44578450368648E-3</v>
      </c>
      <c r="I2324" s="20">
        <v>184.19514043964799</v>
      </c>
      <c r="L2324" s="20">
        <f t="shared" si="76"/>
        <v>1044.306447279894</v>
      </c>
      <c r="M2324" s="20">
        <f t="shared" si="77"/>
        <v>-13.262691880507704</v>
      </c>
    </row>
    <row r="2325" spans="1:13" x14ac:dyDescent="0.2">
      <c r="A2325" s="23">
        <v>574.5</v>
      </c>
      <c r="B2325" s="20">
        <v>1038.62141973956</v>
      </c>
      <c r="C2325" s="20">
        <v>109.283496604946</v>
      </c>
      <c r="D2325" s="20">
        <v>299.64883821219502</v>
      </c>
      <c r="E2325" s="20">
        <v>-0.168255667279256</v>
      </c>
      <c r="F2325" s="20">
        <v>3.7434551468321198E-2</v>
      </c>
      <c r="G2325" s="20">
        <v>0.17236970503897101</v>
      </c>
      <c r="H2325" s="20">
        <v>4.4468713068862298E-3</v>
      </c>
      <c r="I2325" s="20">
        <v>184.18062407269801</v>
      </c>
      <c r="L2325" s="20">
        <f t="shared" si="76"/>
        <v>1044.3549857074568</v>
      </c>
      <c r="M2325" s="20">
        <f t="shared" si="77"/>
        <v>-13.263308318537753</v>
      </c>
    </row>
    <row r="2326" spans="1:13" x14ac:dyDescent="0.2">
      <c r="A2326" s="23">
        <v>574.75</v>
      </c>
      <c r="B2326" s="20">
        <v>1038.67520415748</v>
      </c>
      <c r="C2326" s="20">
        <v>109.234554681782</v>
      </c>
      <c r="D2326" s="20">
        <v>299.594623534368</v>
      </c>
      <c r="E2326" s="20">
        <v>-0.16805379019293601</v>
      </c>
      <c r="F2326" s="20">
        <v>3.8061612365064501E-2</v>
      </c>
      <c r="G2326" s="20">
        <v>0.17231007728522399</v>
      </c>
      <c r="H2326" s="20">
        <v>4.4480561000070397E-3</v>
      </c>
      <c r="I2326" s="20">
        <v>184.16567373229501</v>
      </c>
      <c r="L2326" s="20">
        <f t="shared" si="76"/>
        <v>1044.4033548721059</v>
      </c>
      <c r="M2326" s="20">
        <f t="shared" si="77"/>
        <v>-13.263922606928801</v>
      </c>
    </row>
    <row r="2327" spans="1:13" x14ac:dyDescent="0.2">
      <c r="A2327" s="23">
        <v>575</v>
      </c>
      <c r="B2327" s="20">
        <v>1038.7288299117799</v>
      </c>
      <c r="C2327" s="20">
        <v>109.185475841182</v>
      </c>
      <c r="D2327" s="20">
        <v>299.54033619909802</v>
      </c>
      <c r="E2327" s="20">
        <v>-0.167850644954571</v>
      </c>
      <c r="F2327" s="20">
        <v>3.8688455698232899E-2</v>
      </c>
      <c r="G2327" s="20">
        <v>0.172251663608743</v>
      </c>
      <c r="H2327" s="20">
        <v>4.4493384107370604E-3</v>
      </c>
      <c r="I2327" s="20">
        <v>184.15029245497499</v>
      </c>
      <c r="L2327" s="20">
        <f t="shared" si="76"/>
        <v>1044.4515547523306</v>
      </c>
      <c r="M2327" s="20">
        <f t="shared" si="77"/>
        <v>-13.264534745407659</v>
      </c>
    </row>
    <row r="2328" spans="1:13" x14ac:dyDescent="0.2">
      <c r="A2328" s="23">
        <v>575.25</v>
      </c>
      <c r="B2328" s="20">
        <v>1038.78229694882</v>
      </c>
      <c r="C2328" s="20">
        <v>109.13626015049999</v>
      </c>
      <c r="D2328" s="20">
        <v>299.48597615092501</v>
      </c>
      <c r="E2328" s="20">
        <v>-0.16764621886650299</v>
      </c>
      <c r="F2328" s="20">
        <v>3.9315089893486303E-2</v>
      </c>
      <c r="G2328" s="20">
        <v>0.17219445691882199</v>
      </c>
      <c r="H2328" s="20">
        <v>4.45071775947145E-3</v>
      </c>
      <c r="I2328" s="20">
        <v>184.134483289233</v>
      </c>
      <c r="L2328" s="20">
        <f t="shared" si="76"/>
        <v>1044.4995853201206</v>
      </c>
      <c r="M2328" s="20">
        <f t="shared" si="77"/>
        <v>-13.265144733618591</v>
      </c>
    </row>
    <row r="2329" spans="1:13" x14ac:dyDescent="0.2">
      <c r="A2329" s="23">
        <v>575.5</v>
      </c>
      <c r="B2329" s="20">
        <v>1038.8356052086799</v>
      </c>
      <c r="C2329" s="20">
        <v>109.086907675338</v>
      </c>
      <c r="D2329" s="20">
        <v>299.43154333495102</v>
      </c>
      <c r="E2329" s="20">
        <v>-0.16744049936694499</v>
      </c>
      <c r="F2329" s="20">
        <v>3.9941523289916001E-2</v>
      </c>
      <c r="G2329" s="20">
        <v>0.17213845041410999</v>
      </c>
      <c r="H2329" s="20">
        <v>4.45219365895895E-3</v>
      </c>
      <c r="I2329" s="20">
        <v>184.118249297452</v>
      </c>
      <c r="L2329" s="20">
        <f t="shared" si="76"/>
        <v>1044.5474465410616</v>
      </c>
      <c r="M2329" s="20">
        <f t="shared" si="77"/>
        <v>-13.265752571124544</v>
      </c>
    </row>
    <row r="2330" spans="1:13" x14ac:dyDescent="0.2">
      <c r="A2330" s="23">
        <v>575.75</v>
      </c>
      <c r="B2330" s="20">
        <v>1038.8887546252499</v>
      </c>
      <c r="C2330" s="20">
        <v>109.03741847952401</v>
      </c>
      <c r="D2330" s="20">
        <v>299.37703769683799</v>
      </c>
      <c r="E2330" s="20">
        <v>-0.167233474030376</v>
      </c>
      <c r="F2330" s="20">
        <v>4.0567764139758197E-2</v>
      </c>
      <c r="G2330" s="20">
        <v>0.172083637582332</v>
      </c>
      <c r="H2330" s="20">
        <v>4.4537656141717301E-3</v>
      </c>
      <c r="I2330" s="20">
        <v>184.10159355585199</v>
      </c>
      <c r="L2330" s="20">
        <f t="shared" si="76"/>
        <v>1044.5951383744239</v>
      </c>
      <c r="M2330" s="20">
        <f t="shared" si="77"/>
        <v>-13.266358257408248</v>
      </c>
    </row>
    <row r="2331" spans="1:13" x14ac:dyDescent="0.2">
      <c r="A2331" s="23">
        <v>576</v>
      </c>
      <c r="B2331" s="20">
        <v>1038.94174512627</v>
      </c>
      <c r="C2331" s="20">
        <v>108.987792625087</v>
      </c>
      <c r="D2331" s="20">
        <v>299.32245918280398</v>
      </c>
      <c r="E2331" s="20">
        <v>-0.16702513056790699</v>
      </c>
      <c r="F2331" s="20">
        <v>4.1193820608125403E-2</v>
      </c>
      <c r="G2331" s="20">
        <v>0.172030012199967</v>
      </c>
      <c r="H2331" s="20">
        <v>4.4554331221459097E-3</v>
      </c>
      <c r="I2331" s="20">
        <v>184.08451915454</v>
      </c>
      <c r="L2331" s="20">
        <f t="shared" si="76"/>
        <v>1044.6426607731987</v>
      </c>
      <c r="M2331" s="20">
        <f t="shared" si="77"/>
        <v>-13.266961791872692</v>
      </c>
    </row>
    <row r="2332" spans="1:13" x14ac:dyDescent="0.2">
      <c r="A2332" s="23">
        <v>576.25</v>
      </c>
      <c r="B2332" s="20">
        <v>1038.9945766334399</v>
      </c>
      <c r="C2332" s="20">
        <v>108.938030172233</v>
      </c>
      <c r="D2332" s="20">
        <v>299.26780773961599</v>
      </c>
      <c r="E2332" s="20">
        <v>-0.16681545682767099</v>
      </c>
      <c r="F2332" s="20">
        <v>4.1819700772733399E-2</v>
      </c>
      <c r="G2332" s="20">
        <v>0.171977568331877</v>
      </c>
      <c r="H2332" s="20">
        <v>4.4571956718273704E-3</v>
      </c>
      <c r="I2332" s="20">
        <v>184.067029197534</v>
      </c>
      <c r="L2332" s="20">
        <f t="shared" ref="L2332:L2395" si="78">SQRT(B2332^2+C2332^2)</f>
        <v>1044.6900136842064</v>
      </c>
      <c r="M2332" s="20">
        <f t="shared" ref="M2332:M2395" si="79">-L2332/A$25*100</f>
        <v>-13.267563173842492</v>
      </c>
    </row>
    <row r="2333" spans="1:13" x14ac:dyDescent="0.2">
      <c r="A2333" s="23">
        <v>576.5</v>
      </c>
      <c r="B2333" s="20">
        <v>1039.04724906246</v>
      </c>
      <c r="C2333" s="20">
        <v>108.888131179325</v>
      </c>
      <c r="D2333" s="20">
        <v>299.21308331458602</v>
      </c>
      <c r="E2333" s="20">
        <v>-0.16660444079519199</v>
      </c>
      <c r="F2333" s="20">
        <v>4.24454126236277E-2</v>
      </c>
      <c r="G2333" s="20">
        <v>0.17192630033089301</v>
      </c>
      <c r="H2333" s="20">
        <v>4.4590527439216003E-3</v>
      </c>
      <c r="I2333" s="20">
        <v>184.049126802811</v>
      </c>
      <c r="L2333" s="20">
        <f t="shared" si="78"/>
        <v>1044.737197048134</v>
      </c>
      <c r="M2333" s="20">
        <f t="shared" si="79"/>
        <v>-13.268162402564377</v>
      </c>
    </row>
    <row r="2334" spans="1:13" x14ac:dyDescent="0.2">
      <c r="A2334" s="23">
        <v>576.75</v>
      </c>
      <c r="B2334" s="20">
        <v>1039.0997623230801</v>
      </c>
      <c r="C2334" s="20">
        <v>108.83809570285899</v>
      </c>
      <c r="D2334" s="20">
        <v>299.15828585556898</v>
      </c>
      <c r="E2334" s="20">
        <v>-0.16639207059376601</v>
      </c>
      <c r="F2334" s="20">
        <v>4.30709640629078E-2</v>
      </c>
      <c r="G2334" s="20">
        <v>0.17187620283735899</v>
      </c>
      <c r="H2334" s="20">
        <v>4.4610038107478003E-3</v>
      </c>
      <c r="I2334" s="20">
        <v>184.030815102334</v>
      </c>
      <c r="L2334" s="20">
        <f t="shared" si="78"/>
        <v>1044.7842107995825</v>
      </c>
      <c r="M2334" s="20">
        <f t="shared" si="79"/>
        <v>-13.268759477207773</v>
      </c>
    </row>
    <row r="2335" spans="1:13" x14ac:dyDescent="0.2">
      <c r="A2335" s="23">
        <v>577</v>
      </c>
      <c r="B2335" s="20">
        <v>1039.1521163192499</v>
      </c>
      <c r="C2335" s="20">
        <v>108.78792379744399</v>
      </c>
      <c r="D2335" s="20">
        <v>299.10341531095497</v>
      </c>
      <c r="E2335" s="20">
        <v>-0.16617833448483901</v>
      </c>
      <c r="F2335" s="20">
        <v>4.3696362904449802E-2</v>
      </c>
      <c r="G2335" s="20">
        <v>0.171827270778629</v>
      </c>
      <c r="H2335" s="20">
        <v>4.4630483360969799E-3</v>
      </c>
      <c r="I2335" s="20">
        <v>184.01209724208999</v>
      </c>
      <c r="L2335" s="20">
        <f t="shared" si="78"/>
        <v>1044.8310548672137</v>
      </c>
      <c r="M2335" s="20">
        <f t="shared" si="79"/>
        <v>-13.269354396866692</v>
      </c>
    </row>
    <row r="2336" spans="1:13" x14ac:dyDescent="0.2">
      <c r="A2336" s="23">
        <v>577.25</v>
      </c>
      <c r="B2336" s="20">
        <v>1039.2043109491301</v>
      </c>
      <c r="C2336" s="20">
        <v>108.73761551577699</v>
      </c>
      <c r="D2336" s="20">
        <v>299.048471629669</v>
      </c>
      <c r="E2336" s="20">
        <v>-0.165963220868379</v>
      </c>
      <c r="F2336" s="20">
        <v>4.4321616873627602E-2</v>
      </c>
      <c r="G2336" s="20">
        <v>0.171779499368519</v>
      </c>
      <c r="H2336" s="20">
        <v>4.4651857750945302E-3</v>
      </c>
      <c r="I2336" s="20">
        <v>183.99297638212099</v>
      </c>
      <c r="L2336" s="20">
        <f t="shared" si="78"/>
        <v>1044.8777291737599</v>
      </c>
      <c r="M2336" s="20">
        <f t="shared" si="79"/>
        <v>-13.26994716055983</v>
      </c>
    </row>
    <row r="2337" spans="1:13" x14ac:dyDescent="0.2">
      <c r="A2337" s="23">
        <v>577.5</v>
      </c>
      <c r="B2337" s="20">
        <v>1039.25634610517</v>
      </c>
      <c r="C2337" s="20">
        <v>108.68717090862</v>
      </c>
      <c r="D2337" s="20">
        <v>298.99345476116099</v>
      </c>
      <c r="E2337" s="20">
        <v>-0.16574671828325599</v>
      </c>
      <c r="F2337" s="20">
        <v>4.4946733607032101E-2</v>
      </c>
      <c r="G2337" s="20">
        <v>0.171732884106715</v>
      </c>
      <c r="H2337" s="20">
        <v>4.4674155740669101E-3</v>
      </c>
      <c r="I2337" s="20">
        <v>183.97345569656099</v>
      </c>
      <c r="L2337" s="20">
        <f t="shared" si="78"/>
        <v>1044.9242336360987</v>
      </c>
      <c r="M2337" s="20">
        <f t="shared" si="79"/>
        <v>-13.270537767231536</v>
      </c>
    </row>
    <row r="2338" spans="1:13" x14ac:dyDescent="0.2">
      <c r="A2338" s="23">
        <v>577.75</v>
      </c>
      <c r="B2338" s="20">
        <v>1039.30822167419</v>
      </c>
      <c r="C2338" s="20">
        <v>108.636590024787</v>
      </c>
      <c r="D2338" s="20">
        <v>298.93836465540602</v>
      </c>
      <c r="E2338" s="20">
        <v>-0.165528815407608</v>
      </c>
      <c r="F2338" s="20">
        <v>4.5571720652189597E-2</v>
      </c>
      <c r="G2338" s="20">
        <v>0.17168742077813101</v>
      </c>
      <c r="H2338" s="20">
        <v>4.46973717041274E-3</v>
      </c>
      <c r="I2338" s="20">
        <v>183.953538373664</v>
      </c>
      <c r="L2338" s="20">
        <f t="shared" si="78"/>
        <v>1044.970568165334</v>
      </c>
      <c r="M2338" s="20">
        <f t="shared" si="79"/>
        <v>-13.271126215752826</v>
      </c>
    </row>
    <row r="2339" spans="1:13" x14ac:dyDescent="0.2">
      <c r="A2339" s="23">
        <v>578</v>
      </c>
      <c r="B2339" s="20">
        <v>1039.3599375374799</v>
      </c>
      <c r="C2339" s="20">
        <v>108.585872911115</v>
      </c>
      <c r="D2339" s="20">
        <v>298.88320126289801</v>
      </c>
      <c r="E2339" s="20">
        <v>-0.16530950105922201</v>
      </c>
      <c r="F2339" s="20">
        <v>4.61965854672775E-2</v>
      </c>
      <c r="G2339" s="20">
        <v>0.171643105452227</v>
      </c>
      <c r="H2339" s="20">
        <v>4.4721499924784301E-3</v>
      </c>
      <c r="I2339" s="20">
        <v>183.93322761583599</v>
      </c>
      <c r="L2339" s="20">
        <f t="shared" si="78"/>
        <v>1045.0167326668902</v>
      </c>
      <c r="M2339" s="20">
        <f t="shared" si="79"/>
        <v>-13.271712504922592</v>
      </c>
    </row>
    <row r="2340" spans="1:13" x14ac:dyDescent="0.2">
      <c r="A2340" s="23">
        <v>578.25</v>
      </c>
      <c r="B2340" s="20">
        <v>1039.4114935708301</v>
      </c>
      <c r="C2340" s="20">
        <v>108.535019612444</v>
      </c>
      <c r="D2340" s="20">
        <v>298.82796453464402</v>
      </c>
      <c r="E2340" s="20">
        <v>-0.16508876419590299</v>
      </c>
      <c r="F2340" s="20">
        <v>4.6821335420839098E-2</v>
      </c>
      <c r="G2340" s="20">
        <v>0.17159993448227501</v>
      </c>
      <c r="H2340" s="20">
        <v>4.4746534594378501E-3</v>
      </c>
      <c r="I2340" s="20">
        <v>183.912526639666</v>
      </c>
      <c r="L2340" s="20">
        <f t="shared" si="78"/>
        <v>1045.0627270405435</v>
      </c>
      <c r="M2340" s="20">
        <f t="shared" si="79"/>
        <v>-13.272296633467992</v>
      </c>
    </row>
    <row r="2341" spans="1:13" x14ac:dyDescent="0.2">
      <c r="A2341" s="23">
        <v>578.5</v>
      </c>
      <c r="B2341" s="20">
        <v>1039.46288964463</v>
      </c>
      <c r="C2341" s="20">
        <v>108.484030171603</v>
      </c>
      <c r="D2341" s="20">
        <v>298.772654422161</v>
      </c>
      <c r="E2341" s="20">
        <v>-0.16486659391584399</v>
      </c>
      <c r="F2341" s="20">
        <v>4.7445977791496702E-2</v>
      </c>
      <c r="G2341" s="20">
        <v>0.171557904504581</v>
      </c>
      <c r="H2341" s="20">
        <v>4.4772469811767803E-3</v>
      </c>
      <c r="I2341" s="20">
        <v>183.891438675953</v>
      </c>
      <c r="L2341" s="20">
        <f t="shared" si="78"/>
        <v>1045.1085511805161</v>
      </c>
      <c r="M2341" s="20">
        <f t="shared" si="79"/>
        <v>-13.272878600045646</v>
      </c>
    </row>
    <row r="2342" spans="1:13" x14ac:dyDescent="0.2">
      <c r="A2342" s="23">
        <v>578.75</v>
      </c>
      <c r="B2342" s="20">
        <v>1039.5141256239399</v>
      </c>
      <c r="C2342" s="20">
        <v>108.43290462938199</v>
      </c>
      <c r="D2342" s="20">
        <v>298.71727087747098</v>
      </c>
      <c r="E2342" s="20">
        <v>-0.164642979457998</v>
      </c>
      <c r="F2342" s="20">
        <v>4.8070519767662301E-2</v>
      </c>
      <c r="G2342" s="20">
        <v>0.17151701243765899</v>
      </c>
      <c r="H2342" s="20">
        <v>4.4799299581815503E-3</v>
      </c>
      <c r="I2342" s="20">
        <v>183.869966969735</v>
      </c>
      <c r="L2342" s="20">
        <f t="shared" si="78"/>
        <v>1045.1542049755476</v>
      </c>
      <c r="M2342" s="20">
        <f t="shared" si="79"/>
        <v>-13.27345840324255</v>
      </c>
    </row>
    <row r="2343" spans="1:13" x14ac:dyDescent="0.2">
      <c r="A2343" s="23">
        <v>579</v>
      </c>
      <c r="B2343" s="20">
        <v>1039.5652013685601</v>
      </c>
      <c r="C2343" s="20">
        <v>108.381643024517</v>
      </c>
      <c r="D2343" s="20">
        <v>298.66181385309602</v>
      </c>
      <c r="E2343" s="20">
        <v>-0.164417910202449</v>
      </c>
      <c r="F2343" s="20">
        <v>4.8694968447247799E-2</v>
      </c>
      <c r="G2343" s="20">
        <v>0.171477255481358</v>
      </c>
      <c r="H2343" s="20">
        <v>4.4827017814321997E-3</v>
      </c>
      <c r="I2343" s="20">
        <v>183.84811478032</v>
      </c>
      <c r="L2343" s="20">
        <f t="shared" si="78"/>
        <v>1045.1996883089607</v>
      </c>
      <c r="M2343" s="20">
        <f t="shared" si="79"/>
        <v>-13.274036041576897</v>
      </c>
    </row>
    <row r="2344" spans="1:13" x14ac:dyDescent="0.2">
      <c r="A2344" s="23">
        <v>579.25</v>
      </c>
      <c r="B2344" s="20">
        <v>1039.6161167330999</v>
      </c>
      <c r="C2344" s="20">
        <v>108.330245393672</v>
      </c>
      <c r="D2344" s="20">
        <v>298.60628330205401</v>
      </c>
      <c r="E2344" s="20">
        <v>-0.16419137567077599</v>
      </c>
      <c r="F2344" s="20">
        <v>4.9319330837372902E-2</v>
      </c>
      <c r="G2344" s="20">
        <v>0.17143863111594301</v>
      </c>
      <c r="H2344" s="20">
        <v>4.4855618323001497E-3</v>
      </c>
      <c r="I2344" s="20">
        <v>183.825885381305</v>
      </c>
      <c r="L2344" s="20">
        <f t="shared" si="78"/>
        <v>1045.2450010587297</v>
      </c>
      <c r="M2344" s="20">
        <f t="shared" si="79"/>
        <v>-13.274611513498966</v>
      </c>
    </row>
    <row r="2345" spans="1:13" x14ac:dyDescent="0.2">
      <c r="A2345" s="23">
        <v>579.5</v>
      </c>
      <c r="B2345" s="20">
        <v>1039.6668715670801</v>
      </c>
      <c r="C2345" s="20">
        <v>108.278711771414</v>
      </c>
      <c r="D2345" s="20">
        <v>298.550679177853</v>
      </c>
      <c r="E2345" s="20">
        <v>-0.16396336552642499</v>
      </c>
      <c r="F2345" s="20">
        <v>4.99436138540712E-2</v>
      </c>
      <c r="G2345" s="20">
        <v>0.17140113710111901</v>
      </c>
      <c r="H2345" s="20">
        <v>4.4885094824504597E-3</v>
      </c>
      <c r="I2345" s="20">
        <v>183.80328206060801</v>
      </c>
      <c r="L2345" s="20">
        <f t="shared" si="78"/>
        <v>1045.2901430975785</v>
      </c>
      <c r="M2345" s="20">
        <f t="shared" si="79"/>
        <v>-13.275184817392349</v>
      </c>
    </row>
    <row r="2346" spans="1:13" x14ac:dyDescent="0.2">
      <c r="A2346" s="23">
        <v>579.75</v>
      </c>
      <c r="B2346" s="20">
        <v>1039.7174657149701</v>
      </c>
      <c r="C2346" s="20">
        <v>108.227042190201</v>
      </c>
      <c r="D2346" s="20">
        <v>298.49500143448802</v>
      </c>
      <c r="E2346" s="20">
        <v>-0.16373386957507299</v>
      </c>
      <c r="F2346" s="20">
        <v>5.0567824321995102E-2</v>
      </c>
      <c r="G2346" s="20">
        <v>0.17136477147502399</v>
      </c>
      <c r="H2346" s="20">
        <v>4.4915440937483599E-3</v>
      </c>
      <c r="I2346" s="20">
        <v>183.780308120489</v>
      </c>
      <c r="L2346" s="20">
        <f t="shared" si="78"/>
        <v>1045.3351142930192</v>
      </c>
      <c r="M2346" s="20">
        <f t="shared" si="79"/>
        <v>-13.275755951574448</v>
      </c>
    </row>
    <row r="2347" spans="1:13" x14ac:dyDescent="0.2">
      <c r="A2347" s="23">
        <v>580</v>
      </c>
      <c r="B2347" s="20">
        <v>1039.7678990162999</v>
      </c>
      <c r="C2347" s="20">
        <v>108.175236680358</v>
      </c>
      <c r="D2347" s="20">
        <v>298.43925002643402</v>
      </c>
      <c r="E2347" s="20">
        <v>-0.163502877764994</v>
      </c>
      <c r="F2347" s="20">
        <v>5.1191968974118499E-2</v>
      </c>
      <c r="G2347" s="20">
        <v>0.171329532553152</v>
      </c>
      <c r="H2347" s="20">
        <v>4.4946650181702501E-3</v>
      </c>
      <c r="I2347" s="20">
        <v>183.756966877575</v>
      </c>
      <c r="L2347" s="20">
        <f t="shared" si="78"/>
        <v>1045.3799145074588</v>
      </c>
      <c r="M2347" s="20">
        <f t="shared" si="79"/>
        <v>-13.276324914297833</v>
      </c>
    </row>
    <row r="2348" spans="1:13" x14ac:dyDescent="0.2">
      <c r="A2348" s="23">
        <v>580.25</v>
      </c>
      <c r="B2348" s="20">
        <v>1039.8181713056999</v>
      </c>
      <c r="C2348" s="20">
        <v>108.123295270062</v>
      </c>
      <c r="D2348" s="20">
        <v>298.38342490864397</v>
      </c>
      <c r="E2348" s="20">
        <v>-0.16327038018742199</v>
      </c>
      <c r="F2348" s="20">
        <v>5.1816054451438699E-2</v>
      </c>
      <c r="G2348" s="20">
        <v>0.17129541892724401</v>
      </c>
      <c r="H2348" s="20">
        <v>4.4978715977194604E-3</v>
      </c>
      <c r="I2348" s="20">
        <v>183.73326166288001</v>
      </c>
      <c r="L2348" s="20">
        <f t="shared" si="78"/>
        <v>1045.4245435982393</v>
      </c>
      <c r="M2348" s="20">
        <f t="shared" si="79"/>
        <v>-13.276891703750749</v>
      </c>
    </row>
    <row r="2349" spans="1:13" x14ac:dyDescent="0.2">
      <c r="A2349" s="23">
        <v>580.5</v>
      </c>
      <c r="B2349" s="20">
        <v>1039.8682824130101</v>
      </c>
      <c r="C2349" s="20">
        <v>108.07121798532501</v>
      </c>
      <c r="D2349" s="20">
        <v>298.32752603654097</v>
      </c>
      <c r="E2349" s="20">
        <v>-0.16303636707691899</v>
      </c>
      <c r="F2349" s="20">
        <v>5.2440087302675797E-2</v>
      </c>
      <c r="G2349" s="20">
        <v>0.17126242946411899</v>
      </c>
      <c r="H2349" s="20">
        <v>4.5011631643463897E-3</v>
      </c>
      <c r="I2349" s="20">
        <v>183.709195821832</v>
      </c>
      <c r="L2349" s="20">
        <f t="shared" si="78"/>
        <v>1045.4690014177443</v>
      </c>
      <c r="M2349" s="20">
        <f t="shared" si="79"/>
        <v>-13.277456318058462</v>
      </c>
    </row>
    <row r="2350" spans="1:13" x14ac:dyDescent="0.2">
      <c r="A2350" s="23">
        <v>580.75</v>
      </c>
      <c r="B2350" s="20">
        <v>1039.91823216333</v>
      </c>
      <c r="C2350" s="20">
        <v>108.019004849974</v>
      </c>
      <c r="D2350" s="20">
        <v>298.27155336601498</v>
      </c>
      <c r="E2350" s="20">
        <v>-0.162800828811732</v>
      </c>
      <c r="F2350" s="20">
        <v>5.3064073983970499E-2</v>
      </c>
      <c r="G2350" s="20">
        <v>0.17123056330446099</v>
      </c>
      <c r="H2350" s="20">
        <v>4.5045390398727103E-3</v>
      </c>
      <c r="I2350" s="20">
        <v>183.684772714286</v>
      </c>
      <c r="L2350" s="20">
        <f t="shared" si="78"/>
        <v>1045.5132878134473</v>
      </c>
      <c r="M2350" s="20">
        <f t="shared" si="79"/>
        <v>-13.278018755283894</v>
      </c>
    </row>
    <row r="2351" spans="1:13" x14ac:dyDescent="0.2">
      <c r="A2351" s="23">
        <v>581</v>
      </c>
      <c r="B2351" s="20">
        <v>1039.96802037711</v>
      </c>
      <c r="C2351" s="20">
        <v>107.966655885637</v>
      </c>
      <c r="D2351" s="20">
        <v>298.21550685341998</v>
      </c>
      <c r="E2351" s="20">
        <v>-0.16256375591415401</v>
      </c>
      <c r="F2351" s="20">
        <v>5.3688020858581001E-2</v>
      </c>
      <c r="G2351" s="20">
        <v>0.171199819861553</v>
      </c>
      <c r="H2351" s="20">
        <v>4.5079985359207202E-3</v>
      </c>
      <c r="I2351" s="20">
        <v>183.659995714551</v>
      </c>
      <c r="L2351" s="20">
        <f t="shared" si="78"/>
        <v>1045.5574026280015</v>
      </c>
      <c r="M2351" s="20">
        <f t="shared" si="79"/>
        <v>-13.278579013428732</v>
      </c>
    </row>
    <row r="2352" spans="1:13" x14ac:dyDescent="0.2">
      <c r="A2352" s="23">
        <v>581.25</v>
      </c>
      <c r="B2352" s="20">
        <v>1040.01764687023</v>
      </c>
      <c r="C2352" s="20">
        <v>107.914171111721</v>
      </c>
      <c r="D2352" s="20">
        <v>298.159386455564</v>
      </c>
      <c r="E2352" s="20">
        <v>-0.16232513905088999</v>
      </c>
      <c r="F2352" s="20">
        <v>5.4311934196577198E-2</v>
      </c>
      <c r="G2352" s="20">
        <v>0.17117019881995901</v>
      </c>
      <c r="H2352" s="20">
        <v>4.5115409538466003E-3</v>
      </c>
      <c r="I2352" s="20">
        <v>183.63486821140401</v>
      </c>
      <c r="L2352" s="20">
        <f t="shared" si="78"/>
        <v>1045.6013456993157</v>
      </c>
      <c r="M2352" s="20">
        <f t="shared" si="79"/>
        <v>-13.279137090434427</v>
      </c>
    </row>
    <row r="2353" spans="1:13" x14ac:dyDescent="0.2">
      <c r="A2353" s="23">
        <v>581.5</v>
      </c>
      <c r="B2353" s="20">
        <v>1040.0671114540701</v>
      </c>
      <c r="C2353" s="20">
        <v>107.861550545404</v>
      </c>
      <c r="D2353" s="20">
        <v>298.10319212970899</v>
      </c>
      <c r="E2353" s="20">
        <v>-0.16208496903340899</v>
      </c>
      <c r="F2353" s="20">
        <v>5.49358201745343E-2</v>
      </c>
      <c r="G2353" s="20">
        <v>0.171141700134158</v>
      </c>
      <c r="H2353" s="20">
        <v>4.5151655846783203E-3</v>
      </c>
      <c r="I2353" s="20">
        <v>183.60939360811</v>
      </c>
      <c r="L2353" s="20">
        <f t="shared" si="78"/>
        <v>1045.6451168606259</v>
      </c>
      <c r="M2353" s="20">
        <f t="shared" si="79"/>
        <v>-13.279692984183066</v>
      </c>
    </row>
    <row r="2354" spans="1:13" x14ac:dyDescent="0.2">
      <c r="A2354" s="23">
        <v>581.75</v>
      </c>
      <c r="B2354" s="20">
        <v>1040.1164139355801</v>
      </c>
      <c r="C2354" s="20">
        <v>107.80879420161099</v>
      </c>
      <c r="D2354" s="20">
        <v>298.046923833562</v>
      </c>
      <c r="E2354" s="20">
        <v>-0.16184323681830601</v>
      </c>
      <c r="F2354" s="20">
        <v>5.55596848752236E-2</v>
      </c>
      <c r="G2354" s="20">
        <v>0.17111432402712601</v>
      </c>
      <c r="H2354" s="20">
        <v>4.5188717090577698E-3</v>
      </c>
      <c r="I2354" s="20">
        <v>183.583575322434</v>
      </c>
      <c r="L2354" s="20">
        <f t="shared" si="78"/>
        <v>1045.6887159405596</v>
      </c>
      <c r="M2354" s="20">
        <f t="shared" si="79"/>
        <v>-13.280246692498229</v>
      </c>
    </row>
    <row r="2355" spans="1:13" x14ac:dyDescent="0.2">
      <c r="A2355" s="23">
        <v>582</v>
      </c>
      <c r="B2355" s="20">
        <v>1040.16555411737</v>
      </c>
      <c r="C2355" s="20">
        <v>107.75590209300201</v>
      </c>
      <c r="D2355" s="20">
        <v>297.99058152527499</v>
      </c>
      <c r="E2355" s="20">
        <v>-0.161599933507655</v>
      </c>
      <c r="F2355" s="20">
        <v>5.6183534287302599E-2</v>
      </c>
      <c r="G2355" s="20">
        <v>0.171088070988865</v>
      </c>
      <c r="H2355" s="20">
        <v>4.5226585971875604E-3</v>
      </c>
      <c r="I2355" s="20">
        <v>183.55741678666499</v>
      </c>
      <c r="L2355" s="20">
        <f t="shared" si="78"/>
        <v>1045.732142763228</v>
      </c>
      <c r="M2355" s="20">
        <f t="shared" si="79"/>
        <v>-13.28079821314612</v>
      </c>
    </row>
    <row r="2356" spans="1:13" x14ac:dyDescent="0.2">
      <c r="A2356" s="23">
        <v>582.25</v>
      </c>
      <c r="B2356" s="20">
        <v>1040.21453179778</v>
      </c>
      <c r="C2356" s="20">
        <v>107.702874229958</v>
      </c>
      <c r="D2356" s="20">
        <v>297.93416516343501</v>
      </c>
      <c r="E2356" s="20">
        <v>-0.16135505034936701</v>
      </c>
      <c r="F2356" s="20">
        <v>5.6807374305002899E-2</v>
      </c>
      <c r="G2356" s="20">
        <v>0.17106294177487899</v>
      </c>
      <c r="H2356" s="20">
        <v>4.5265255087816999E-3</v>
      </c>
      <c r="I2356" s="20">
        <v>183.530921447624</v>
      </c>
      <c r="L2356" s="20">
        <f t="shared" si="78"/>
        <v>1045.7753971482923</v>
      </c>
      <c r="M2356" s="20">
        <f t="shared" si="79"/>
        <v>-13.281347543836439</v>
      </c>
    </row>
    <row r="2357" spans="1:13" x14ac:dyDescent="0.2">
      <c r="A2357" s="23">
        <v>582.5</v>
      </c>
      <c r="B2357" s="20">
        <v>1040.26334677096</v>
      </c>
      <c r="C2357" s="20">
        <v>107.649710620562</v>
      </c>
      <c r="D2357" s="20">
        <v>297.87767470706098</v>
      </c>
      <c r="E2357" s="20">
        <v>-0.161108578737545</v>
      </c>
      <c r="F2357" s="20">
        <v>5.7431210727816602E-2</v>
      </c>
      <c r="G2357" s="20">
        <v>0.171038937404599</v>
      </c>
      <c r="H2357" s="20">
        <v>4.5304716930211E-3</v>
      </c>
      <c r="I2357" s="20">
        <v>183.50409276667699</v>
      </c>
      <c r="L2357" s="20">
        <f t="shared" si="78"/>
        <v>1045.8184789110437</v>
      </c>
      <c r="M2357" s="20">
        <f t="shared" si="79"/>
        <v>-13.281894682223383</v>
      </c>
    </row>
    <row r="2358" spans="1:13" x14ac:dyDescent="0.2">
      <c r="A2358" s="23">
        <v>582.75</v>
      </c>
      <c r="B2358" s="20">
        <v>1040.31199882696</v>
      </c>
      <c r="C2358" s="20">
        <v>107.59641127059</v>
      </c>
      <c r="D2358" s="20">
        <v>297.82111011559999</v>
      </c>
      <c r="E2358" s="20">
        <v>-0.16086051021282999</v>
      </c>
      <c r="F2358" s="20">
        <v>5.8055049260180999E-2</v>
      </c>
      <c r="G2358" s="20">
        <v>0.17101605915975901</v>
      </c>
      <c r="H2358" s="20">
        <v>4.5344963885128901E-3</v>
      </c>
      <c r="I2358" s="20">
        <v>183.47693421975299</v>
      </c>
      <c r="L2358" s="20">
        <f t="shared" si="78"/>
        <v>1045.8613878624906</v>
      </c>
      <c r="M2358" s="20">
        <f t="shared" si="79"/>
        <v>-13.282439625906761</v>
      </c>
    </row>
    <row r="2359" spans="1:13" x14ac:dyDescent="0.2">
      <c r="A2359" s="23">
        <v>583</v>
      </c>
      <c r="B2359" s="20">
        <v>1040.3604877517901</v>
      </c>
      <c r="C2359" s="20">
        <v>107.542976183492</v>
      </c>
      <c r="D2359" s="20">
        <v>297.76447134891799</v>
      </c>
      <c r="E2359" s="20">
        <v>-0.160610836462763</v>
      </c>
      <c r="F2359" s="20">
        <v>5.8678895511161303E-2</v>
      </c>
      <c r="G2359" s="20">
        <v>0.170994308582708</v>
      </c>
      <c r="H2359" s="20">
        <v>4.5385988232542404E-3</v>
      </c>
      <c r="I2359" s="20">
        <v>183.44944929734999</v>
      </c>
      <c r="L2359" s="20">
        <f t="shared" si="78"/>
        <v>1045.9041238094176</v>
      </c>
      <c r="M2359" s="20">
        <f t="shared" si="79"/>
        <v>-13.282982372432736</v>
      </c>
    </row>
    <row r="2360" spans="1:13" x14ac:dyDescent="0.2">
      <c r="A2360" s="23">
        <v>583.25</v>
      </c>
      <c r="B2360" s="20">
        <v>1040.40881332749</v>
      </c>
      <c r="C2360" s="20">
        <v>107.489405360379</v>
      </c>
      <c r="D2360" s="20">
        <v>297.70775836730201</v>
      </c>
      <c r="E2360" s="20">
        <v>-0.16035954932212501</v>
      </c>
      <c r="F2360" s="20">
        <v>5.9302754994132699E-2</v>
      </c>
      <c r="G2360" s="20">
        <v>0.170973687474679</v>
      </c>
      <c r="H2360" s="20">
        <v>4.5427782146000703E-3</v>
      </c>
      <c r="I2360" s="20">
        <v>183.42164150455099</v>
      </c>
      <c r="L2360" s="20">
        <f t="shared" si="78"/>
        <v>1045.946686554455</v>
      </c>
      <c r="M2360" s="20">
        <f t="shared" si="79"/>
        <v>-13.283522919294713</v>
      </c>
    </row>
    <row r="2361" spans="1:13" x14ac:dyDescent="0.2">
      <c r="A2361" s="23">
        <v>583.5</v>
      </c>
      <c r="B2361" s="20">
        <v>1040.4569753322501</v>
      </c>
      <c r="C2361" s="20">
        <v>107.43569880001201</v>
      </c>
      <c r="D2361" s="20">
        <v>297.650971131446</v>
      </c>
      <c r="E2361" s="20">
        <v>-0.16010664077329301</v>
      </c>
      <c r="F2361" s="20">
        <v>5.99266331264591E-2</v>
      </c>
      <c r="G2361" s="20">
        <v>0.17095419789400099</v>
      </c>
      <c r="H2361" s="20">
        <v>4.5470337692353601E-3</v>
      </c>
      <c r="I2361" s="20">
        <v>183.39351436102601</v>
      </c>
      <c r="L2361" s="20">
        <f t="shared" si="78"/>
        <v>1045.9890758961976</v>
      </c>
      <c r="M2361" s="20">
        <f t="shared" si="79"/>
        <v>-13.284061263934847</v>
      </c>
    </row>
    <row r="2362" spans="1:13" x14ac:dyDescent="0.2">
      <c r="A2362" s="23">
        <v>583.75</v>
      </c>
      <c r="B2362" s="20">
        <v>1040.50497354045</v>
      </c>
      <c r="C2362" s="20">
        <v>107.381856498788</v>
      </c>
      <c r="D2362" s="20">
        <v>297.59410960245299</v>
      </c>
      <c r="E2362" s="20">
        <v>-0.159852102946581</v>
      </c>
      <c r="F2362" s="20">
        <v>6.0550535229171698E-2</v>
      </c>
      <c r="G2362" s="20">
        <v>0.170935842154253</v>
      </c>
      <c r="H2362" s="20">
        <v>4.5513646831510102E-3</v>
      </c>
      <c r="I2362" s="20">
        <v>183.365071401047</v>
      </c>
      <c r="L2362" s="20">
        <f t="shared" si="78"/>
        <v>1046.0312916292412</v>
      </c>
      <c r="M2362" s="20">
        <f t="shared" si="79"/>
        <v>-13.284597403744502</v>
      </c>
    </row>
    <row r="2363" spans="1:13" x14ac:dyDescent="0.2">
      <c r="A2363" s="23">
        <v>584</v>
      </c>
      <c r="B2363" s="20">
        <v>1040.55280772275</v>
      </c>
      <c r="C2363" s="20">
        <v>107.327878450726</v>
      </c>
      <c r="D2363" s="20">
        <v>297.53717374182702</v>
      </c>
      <c r="E2363" s="20">
        <v>-0.159595928120595</v>
      </c>
      <c r="F2363" s="20">
        <v>6.1174466526645301E-2</v>
      </c>
      <c r="G2363" s="20">
        <v>0.170918622822364</v>
      </c>
      <c r="H2363" s="20">
        <v>4.5557701416241202E-3</v>
      </c>
      <c r="I2363" s="20">
        <v>183.336316173494</v>
      </c>
      <c r="L2363" s="20">
        <f t="shared" si="78"/>
        <v>1046.0733335442751</v>
      </c>
      <c r="M2363" s="20">
        <f t="shared" si="79"/>
        <v>-13.285131336065433</v>
      </c>
    </row>
    <row r="2364" spans="1:13" x14ac:dyDescent="0.2">
      <c r="A2364" s="23">
        <v>584.25</v>
      </c>
      <c r="B2364" s="20">
        <v>1040.60047764619</v>
      </c>
      <c r="C2364" s="20">
        <v>107.27376464745601</v>
      </c>
      <c r="D2364" s="20">
        <v>297.480163511466</v>
      </c>
      <c r="E2364" s="20">
        <v>-0.15933810872256801</v>
      </c>
      <c r="F2364" s="20">
        <v>6.1798432146272501E-2</v>
      </c>
      <c r="G2364" s="20">
        <v>0.17090254271666699</v>
      </c>
      <c r="H2364" s="20">
        <v>4.5602493192019797E-3</v>
      </c>
      <c r="I2364" s="20">
        <v>183.30725224185599</v>
      </c>
      <c r="L2364" s="20">
        <f t="shared" si="78"/>
        <v>1046.1152014281777</v>
      </c>
      <c r="M2364" s="20">
        <f t="shared" si="79"/>
        <v>-13.285663058191</v>
      </c>
    </row>
    <row r="2365" spans="1:13" x14ac:dyDescent="0.2">
      <c r="A2365" s="23">
        <v>584.5</v>
      </c>
      <c r="B2365" s="20">
        <v>1040.6479830742101</v>
      </c>
      <c r="C2365" s="20">
        <v>107.219515078207</v>
      </c>
      <c r="D2365" s="20">
        <v>297.42307887365899</v>
      </c>
      <c r="E2365" s="20">
        <v>-0.15907863732871</v>
      </c>
      <c r="F2365" s="20">
        <v>6.24224371181369E-2</v>
      </c>
      <c r="G2365" s="20">
        <v>0.170887604904881</v>
      </c>
      <c r="H2365" s="20">
        <v>4.5648013796902804E-3</v>
      </c>
      <c r="I2365" s="20">
        <v>183.27788318424501</v>
      </c>
      <c r="L2365" s="20">
        <f t="shared" si="78"/>
        <v>1046.1568950640374</v>
      </c>
      <c r="M2365" s="20">
        <f t="shared" si="79"/>
        <v>-13.28619256736642</v>
      </c>
    </row>
    <row r="2366" spans="1:13" x14ac:dyDescent="0.2">
      <c r="A2366" s="23">
        <v>584.75</v>
      </c>
      <c r="B2366" s="20">
        <v>1040.6953237668299</v>
      </c>
      <c r="C2366" s="20">
        <v>107.16512972979299</v>
      </c>
      <c r="D2366" s="20">
        <v>297.36591979108198</v>
      </c>
      <c r="E2366" s="20">
        <v>-0.158817506664547</v>
      </c>
      <c r="F2366" s="20">
        <v>6.3046486374684504E-2</v>
      </c>
      <c r="G2366" s="20">
        <v>0.17087381270205501</v>
      </c>
      <c r="H2366" s="20">
        <v>4.5694254761447896E-3</v>
      </c>
      <c r="I2366" s="20">
        <v>183.248212593391</v>
      </c>
      <c r="L2366" s="20">
        <f t="shared" si="78"/>
        <v>1046.1984142313304</v>
      </c>
      <c r="M2366" s="20">
        <f t="shared" si="79"/>
        <v>-13.286719860791044</v>
      </c>
    </row>
    <row r="2367" spans="1:13" x14ac:dyDescent="0.2">
      <c r="A2367" s="23">
        <v>585</v>
      </c>
      <c r="B2367" s="20">
        <v>1040.7424994806199</v>
      </c>
      <c r="C2367" s="20">
        <v>107.110608586608</v>
      </c>
      <c r="D2367" s="20">
        <v>297.30868622678798</v>
      </c>
      <c r="E2367" s="20">
        <v>-0.15855470960526499</v>
      </c>
      <c r="F2367" s="20">
        <v>6.3670584750392695E-2</v>
      </c>
      <c r="G2367" s="20">
        <v>0.17086116966843801</v>
      </c>
      <c r="H2367" s="20">
        <v>4.57412075086724E-3</v>
      </c>
      <c r="I2367" s="20">
        <v>183.21824407665099</v>
      </c>
      <c r="L2367" s="20">
        <f t="shared" si="78"/>
        <v>1046.2397587058913</v>
      </c>
      <c r="M2367" s="20">
        <f t="shared" si="79"/>
        <v>-13.28724493561797</v>
      </c>
    </row>
    <row r="2368" spans="1:13" x14ac:dyDescent="0.2">
      <c r="A2368" s="23">
        <v>585.25</v>
      </c>
      <c r="B2368" s="20">
        <v>1040.7895099688601</v>
      </c>
      <c r="C2368" s="20">
        <v>107.05595163061</v>
      </c>
      <c r="D2368" s="20">
        <v>297.25137814420702</v>
      </c>
      <c r="E2368" s="20">
        <v>-0.15829023917604301</v>
      </c>
      <c r="F2368" s="20">
        <v>6.4294736981438796E-2</v>
      </c>
      <c r="G2368" s="20">
        <v>0.17084967960731201</v>
      </c>
      <c r="H2368" s="20">
        <v>4.5788863354046701E-3</v>
      </c>
      <c r="I2368" s="20">
        <v>183.18798125601</v>
      </c>
      <c r="L2368" s="20">
        <f t="shared" si="78"/>
        <v>1046.2809282600708</v>
      </c>
      <c r="M2368" s="20">
        <f t="shared" si="79"/>
        <v>-13.287767788956051</v>
      </c>
    </row>
    <row r="2369" spans="1:13" x14ac:dyDescent="0.2">
      <c r="A2369" s="23">
        <v>585.5</v>
      </c>
      <c r="B2369" s="20">
        <v>1040.8363549815799</v>
      </c>
      <c r="C2369" s="20">
        <v>107.001158841311</v>
      </c>
      <c r="D2369" s="20">
        <v>297.19399550713598</v>
      </c>
      <c r="E2369" s="20">
        <v>-0.158024088552395</v>
      </c>
      <c r="F2369" s="20">
        <v>6.4918947705365701E-2</v>
      </c>
      <c r="G2369" s="20">
        <v>0.17083934656274999</v>
      </c>
      <c r="H2369" s="20">
        <v>4.5837213505525104E-3</v>
      </c>
      <c r="I2369" s="20">
        <v>183.15742776808</v>
      </c>
      <c r="L2369" s="20">
        <f t="shared" si="78"/>
        <v>1046.3219226627743</v>
      </c>
      <c r="M2369" s="20">
        <f t="shared" si="79"/>
        <v>-13.288288417870387</v>
      </c>
    </row>
    <row r="2370" spans="1:13" x14ac:dyDescent="0.2">
      <c r="A2370" s="23">
        <v>585.75</v>
      </c>
      <c r="B2370" s="20">
        <v>1040.8830342656699</v>
      </c>
      <c r="C2370" s="20">
        <v>106.946230195769</v>
      </c>
      <c r="D2370" s="20">
        <v>297.13653827973599</v>
      </c>
      <c r="E2370" s="20">
        <v>-0.157756251060507</v>
      </c>
      <c r="F2370" s="20">
        <v>6.5543221460746801E-2</v>
      </c>
      <c r="G2370" s="20">
        <v>0.17083017481732601</v>
      </c>
      <c r="H2370" s="20">
        <v>4.5886249063613101E-3</v>
      </c>
      <c r="I2370" s="20">
        <v>183.12658726409799</v>
      </c>
      <c r="L2370" s="20">
        <f t="shared" si="78"/>
        <v>1046.3627416795737</v>
      </c>
      <c r="M2370" s="20">
        <f t="shared" si="79"/>
        <v>-13.288806819383742</v>
      </c>
    </row>
    <row r="2371" spans="1:13" x14ac:dyDescent="0.2">
      <c r="A2371" s="23">
        <v>586</v>
      </c>
      <c r="B2371" s="20">
        <v>1040.9295475649201</v>
      </c>
      <c r="C2371" s="20">
        <v>106.89116566858</v>
      </c>
      <c r="D2371" s="20">
        <v>297.07900642652601</v>
      </c>
      <c r="E2371" s="20">
        <v>-0.15748672017756701</v>
      </c>
      <c r="F2371" s="20">
        <v>6.6167562686848203E-2</v>
      </c>
      <c r="G2371" s="20">
        <v>0.17082216888977</v>
      </c>
      <c r="H2371" s="20">
        <v>4.5935961021468501E-3</v>
      </c>
      <c r="I2371" s="20">
        <v>183.09546340993199</v>
      </c>
      <c r="L2371" s="20">
        <f t="shared" si="78"/>
        <v>1046.4033850727437</v>
      </c>
      <c r="M2371" s="20">
        <f t="shared" si="79"/>
        <v>-13.289322990477004</v>
      </c>
    </row>
    <row r="2372" spans="1:13" x14ac:dyDescent="0.2">
      <c r="A2372" s="23">
        <v>586.25</v>
      </c>
      <c r="B2372" s="20">
        <v>1040.97589462014</v>
      </c>
      <c r="C2372" s="20">
        <v>106.83596523186399</v>
      </c>
      <c r="D2372" s="20">
        <v>297.02139991237902</v>
      </c>
      <c r="E2372" s="20">
        <v>-0.15721548953210199</v>
      </c>
      <c r="F2372" s="20">
        <v>6.67919757232905E-2</v>
      </c>
      <c r="G2372" s="20">
        <v>0.17081533353255801</v>
      </c>
      <c r="H2372" s="20">
        <v>4.5986340265041902E-3</v>
      </c>
      <c r="I2372" s="20">
        <v>183.06405988606801</v>
      </c>
      <c r="L2372" s="20">
        <f t="shared" si="78"/>
        <v>1046.4438526013828</v>
      </c>
      <c r="M2372" s="20">
        <f t="shared" si="79"/>
        <v>-13.28983692809072</v>
      </c>
    </row>
    <row r="2373" spans="1:13" x14ac:dyDescent="0.2">
      <c r="A2373" s="23">
        <v>586.5</v>
      </c>
      <c r="B2373" s="20">
        <v>1041.02207516923</v>
      </c>
      <c r="C2373" s="20">
        <v>106.78062885526199</v>
      </c>
      <c r="D2373" s="20">
        <v>296.96371870251301</v>
      </c>
      <c r="E2373" s="20">
        <v>-0.156942552904308</v>
      </c>
      <c r="F2373" s="20">
        <v>6.7416464809707505E-2</v>
      </c>
      <c r="G2373" s="20">
        <v>0.170809673729447</v>
      </c>
      <c r="H2373" s="20">
        <v>4.6037377573242598E-3</v>
      </c>
      <c r="I2373" s="20">
        <v>183.032380387617</v>
      </c>
      <c r="L2373" s="20">
        <f t="shared" si="78"/>
        <v>1046.4841440214825</v>
      </c>
      <c r="M2373" s="20">
        <f t="shared" si="79"/>
        <v>-13.290348629125988</v>
      </c>
    </row>
    <row r="2374" spans="1:13" x14ac:dyDescent="0.2">
      <c r="A2374" s="23">
        <v>586.75</v>
      </c>
      <c r="B2374" s="20">
        <v>1041.0680889472601</v>
      </c>
      <c r="C2374" s="20">
        <v>106.72515650592401</v>
      </c>
      <c r="D2374" s="20">
        <v>296.90596276248903</v>
      </c>
      <c r="E2374" s="20">
        <v>-0.15666790422638099</v>
      </c>
      <c r="F2374" s="20">
        <v>6.8041034085404503E-2</v>
      </c>
      <c r="G2374" s="20">
        <v>0.17080519469295399</v>
      </c>
      <c r="H2374" s="20">
        <v>4.60890636181472E-3</v>
      </c>
      <c r="I2374" s="20">
        <v>183.000428624302</v>
      </c>
      <c r="L2374" s="20">
        <f t="shared" si="78"/>
        <v>1046.5242590860062</v>
      </c>
      <c r="M2374" s="20">
        <f t="shared" si="79"/>
        <v>-13.290858090445443</v>
      </c>
    </row>
    <row r="2375" spans="1:13" x14ac:dyDescent="0.2">
      <c r="A2375" s="23">
        <v>587</v>
      </c>
      <c r="B2375" s="20">
        <v>1041.1139356865201</v>
      </c>
      <c r="C2375" s="20">
        <v>106.66954814850099</v>
      </c>
      <c r="D2375" s="20">
        <v>296.848132058202</v>
      </c>
      <c r="E2375" s="20">
        <v>-0.15639153758284299</v>
      </c>
      <c r="F2375" s="20">
        <v>6.8665687589013896E-2</v>
      </c>
      <c r="G2375" s="20">
        <v>0.17080190186176999</v>
      </c>
      <c r="H2375" s="20">
        <v>4.6141388965232396E-3</v>
      </c>
      <c r="I2375" s="20">
        <v>182.968208320456</v>
      </c>
      <c r="L2375" s="20">
        <f t="shared" si="78"/>
        <v>1046.5641975449385</v>
      </c>
      <c r="M2375" s="20">
        <f t="shared" si="79"/>
        <v>-13.291365308873884</v>
      </c>
    </row>
    <row r="2376" spans="1:13" x14ac:dyDescent="0.2">
      <c r="A2376" s="23">
        <v>587.25</v>
      </c>
      <c r="B2376" s="20">
        <v>1041.15961511668</v>
      </c>
      <c r="C2376" s="20">
        <v>106.613803745141</v>
      </c>
      <c r="D2376" s="20">
        <v>296.79022655587801</v>
      </c>
      <c r="E2376" s="20">
        <v>-0.156113447210871</v>
      </c>
      <c r="F2376" s="20">
        <v>6.9290429258149405E-2</v>
      </c>
      <c r="G2376" s="20">
        <v>0.17079980089812699</v>
      </c>
      <c r="H2376" s="20">
        <v>4.6194344073645704E-3</v>
      </c>
      <c r="I2376" s="20">
        <v>182.93572321501301</v>
      </c>
      <c r="L2376" s="20">
        <f t="shared" si="78"/>
        <v>1046.6039591454451</v>
      </c>
      <c r="M2376" s="20">
        <f t="shared" si="79"/>
        <v>-13.291870281200321</v>
      </c>
    </row>
    <row r="2377" spans="1:13" x14ac:dyDescent="0.2">
      <c r="A2377" s="23">
        <v>587.5</v>
      </c>
      <c r="B2377" s="20">
        <v>1041.20512696479</v>
      </c>
      <c r="C2377" s="20">
        <v>106.55792325548001</v>
      </c>
      <c r="D2377" s="20">
        <v>296.73224622206999</v>
      </c>
      <c r="E2377" s="20">
        <v>-0.15583362750061899</v>
      </c>
      <c r="F2377" s="20">
        <v>6.9915262929059099E-2</v>
      </c>
      <c r="G2377" s="20">
        <v>0.17079889768508799</v>
      </c>
      <c r="H2377" s="20">
        <v>4.6247919296503797E-3</v>
      </c>
      <c r="I2377" s="20">
        <v>182.90297706150201</v>
      </c>
      <c r="L2377" s="20">
        <f t="shared" si="78"/>
        <v>1046.6435436318734</v>
      </c>
      <c r="M2377" s="20">
        <f t="shared" si="79"/>
        <v>-13.292373004177962</v>
      </c>
    </row>
    <row r="2378" spans="1:13" x14ac:dyDescent="0.2">
      <c r="A2378" s="23">
        <v>587.75</v>
      </c>
      <c r="B2378" s="20">
        <v>1041.2504709554</v>
      </c>
      <c r="C2378" s="20">
        <v>106.50190663663599</v>
      </c>
      <c r="D2378" s="20">
        <v>296.67419102364602</v>
      </c>
      <c r="E2378" s="20">
        <v>-0.15555207299554799</v>
      </c>
      <c r="F2378" s="20">
        <v>7.05401923362758E-2</v>
      </c>
      <c r="G2378" s="20">
        <v>0.170799198323795</v>
      </c>
      <c r="H2378" s="20">
        <v>4.63021048812197E-3</v>
      </c>
      <c r="I2378" s="20">
        <v>182.86997362803601</v>
      </c>
      <c r="L2378" s="20">
        <f t="shared" si="78"/>
        <v>1046.6829507458699</v>
      </c>
      <c r="M2378" s="20">
        <f t="shared" si="79"/>
        <v>-13.292873474525718</v>
      </c>
    </row>
    <row r="2379" spans="1:13" x14ac:dyDescent="0.2">
      <c r="A2379" s="23">
        <v>588</v>
      </c>
      <c r="B2379" s="20">
        <v>1041.2956468106599</v>
      </c>
      <c r="C2379" s="20">
        <v>106.4457538432</v>
      </c>
      <c r="D2379" s="20">
        <v>296.616060927788</v>
      </c>
      <c r="E2379" s="20">
        <v>-0.15526877839274</v>
      </c>
      <c r="F2379" s="20">
        <v>7.11652211122666E-2</v>
      </c>
      <c r="G2379" s="20">
        <v>0.17080070913064699</v>
      </c>
      <c r="H2379" s="20">
        <v>4.63568909698638E-3</v>
      </c>
      <c r="I2379" s="20">
        <v>182.83671669730501</v>
      </c>
      <c r="L2379" s="20">
        <f t="shared" si="78"/>
        <v>1046.722180226481</v>
      </c>
      <c r="M2379" s="20">
        <f t="shared" si="79"/>
        <v>-13.293371688929481</v>
      </c>
    </row>
    <row r="2380" spans="1:13" x14ac:dyDescent="0.2">
      <c r="A2380" s="23">
        <v>588.25</v>
      </c>
      <c r="B2380" s="20">
        <v>1041.3406542503601</v>
      </c>
      <c r="C2380" s="20">
        <v>106.38946482723701</v>
      </c>
      <c r="D2380" s="20">
        <v>296.55785590198798</v>
      </c>
      <c r="E2380" s="20">
        <v>-0.154983738543223</v>
      </c>
      <c r="F2380" s="20">
        <v>7.1790352787080097E-2</v>
      </c>
      <c r="G2380" s="20">
        <v>0.17080343663441799</v>
      </c>
      <c r="H2380" s="20">
        <v>4.6412267599548898E-3</v>
      </c>
      <c r="I2380" s="20">
        <v>182.80321006655601</v>
      </c>
      <c r="L2380" s="20">
        <f t="shared" si="78"/>
        <v>1046.7612318101935</v>
      </c>
      <c r="M2380" s="20">
        <f t="shared" si="79"/>
        <v>-13.293867644042635</v>
      </c>
    </row>
    <row r="2381" spans="1:13" x14ac:dyDescent="0.2">
      <c r="A2381" s="23">
        <v>588.5</v>
      </c>
      <c r="B2381" s="20">
        <v>1041.3854929920501</v>
      </c>
      <c r="C2381" s="20">
        <v>106.333039538275</v>
      </c>
      <c r="D2381" s="20">
        <v>296.499575914037</v>
      </c>
      <c r="E2381" s="20">
        <v>-0.15469694845228599</v>
      </c>
      <c r="F2381" s="20">
        <v>7.2415590787992007E-2</v>
      </c>
      <c r="G2381" s="20">
        <v>0.17080738757332301</v>
      </c>
      <c r="H2381" s="20">
        <v>4.6468224702844998E-3</v>
      </c>
      <c r="I2381" s="20">
        <v>182.76945754759001</v>
      </c>
      <c r="L2381" s="20">
        <f t="shared" si="78"/>
        <v>1046.8001052310531</v>
      </c>
      <c r="M2381" s="20">
        <f t="shared" si="79"/>
        <v>-13.294361336487551</v>
      </c>
    </row>
    <row r="2382" spans="1:13" x14ac:dyDescent="0.2">
      <c r="A2382" s="23">
        <v>588.75</v>
      </c>
      <c r="B2382" s="20">
        <v>1041.4301627511099</v>
      </c>
      <c r="C2382" s="20">
        <v>106.276477923302</v>
      </c>
      <c r="D2382" s="20">
        <v>296.441220932021</v>
      </c>
      <c r="E2382" s="20">
        <v>-0.15440840327980099</v>
      </c>
      <c r="F2382" s="20">
        <v>7.3040938439149605E-2</v>
      </c>
      <c r="G2382" s="20">
        <v>0.17081256889201399</v>
      </c>
      <c r="H2382" s="20">
        <v>4.6524752108221103E-3</v>
      </c>
      <c r="I2382" s="20">
        <v>182.735462966743</v>
      </c>
      <c r="L2382" s="20">
        <f t="shared" si="78"/>
        <v>1046.8388002207337</v>
      </c>
      <c r="M2382" s="20">
        <f t="shared" si="79"/>
        <v>-13.294852762856497</v>
      </c>
    </row>
    <row r="2383" spans="1:13" x14ac:dyDescent="0.2">
      <c r="A2383" s="23">
        <v>589</v>
      </c>
      <c r="B2383" s="20">
        <v>1041.4746632408101</v>
      </c>
      <c r="C2383" s="20">
        <v>106.219779926763</v>
      </c>
      <c r="D2383" s="20">
        <v>296.38279092431901</v>
      </c>
      <c r="E2383" s="20">
        <v>-0.15411809834053</v>
      </c>
      <c r="F2383" s="20">
        <v>7.3666398961213603E-2</v>
      </c>
      <c r="G2383" s="20">
        <v>0.170818987738524</v>
      </c>
      <c r="H2383" s="20">
        <v>4.6581839540511503E-3</v>
      </c>
      <c r="I2383" s="20">
        <v>182.70123016487099</v>
      </c>
      <c r="L2383" s="20">
        <f t="shared" si="78"/>
        <v>1046.8773165086006</v>
      </c>
      <c r="M2383" s="20">
        <f t="shared" si="79"/>
        <v>-13.295341919712412</v>
      </c>
    </row>
    <row r="2384" spans="1:13" x14ac:dyDescent="0.2">
      <c r="A2384" s="23">
        <v>589.25</v>
      </c>
      <c r="B2384" s="20">
        <v>1041.51899417245</v>
      </c>
      <c r="C2384" s="20">
        <v>106.16294549055399</v>
      </c>
      <c r="D2384" s="20">
        <v>296.32428585959201</v>
      </c>
      <c r="E2384" s="20">
        <v>-0.15382602910444801</v>
      </c>
      <c r="F2384" s="20">
        <v>7.4291975470998903E-2</v>
      </c>
      <c r="G2384" s="20">
        <v>0.17082665146114001</v>
      </c>
      <c r="H2384" s="20">
        <v>4.6639476621409904E-3</v>
      </c>
      <c r="I2384" s="20">
        <v>182.66676299733399</v>
      </c>
      <c r="L2384" s="20">
        <f t="shared" si="78"/>
        <v>1046.9156538218454</v>
      </c>
      <c r="M2384" s="20">
        <f t="shared" si="79"/>
        <v>-13.29582880359062</v>
      </c>
    </row>
    <row r="2385" spans="1:13" x14ac:dyDescent="0.2">
      <c r="A2385" s="23">
        <v>589.5</v>
      </c>
      <c r="B2385" s="20">
        <v>1041.56315525537</v>
      </c>
      <c r="C2385" s="20">
        <v>106.10597455402301</v>
      </c>
      <c r="D2385" s="20">
        <v>296.265705706777</v>
      </c>
      <c r="E2385" s="20">
        <v>-0.153532191197044</v>
      </c>
      <c r="F2385" s="20">
        <v>7.4917670981113293E-2</v>
      </c>
      <c r="G2385" s="20">
        <v>0.170835567605227</v>
      </c>
      <c r="H2385" s="20">
        <v>4.6697652869984504E-3</v>
      </c>
      <c r="I2385" s="20">
        <v>182.63206533398099</v>
      </c>
      <c r="L2385" s="20">
        <f t="shared" si="78"/>
        <v>1046.953811885501</v>
      </c>
      <c r="M2385" s="20">
        <f t="shared" si="79"/>
        <v>-13.296313410999048</v>
      </c>
    </row>
    <row r="2386" spans="1:13" x14ac:dyDescent="0.2">
      <c r="A2386" s="23">
        <v>589.75</v>
      </c>
      <c r="B2386" s="20">
        <v>1041.6071461971201</v>
      </c>
      <c r="C2386" s="20">
        <v>106.04886705396</v>
      </c>
      <c r="D2386" s="20">
        <v>296.20705043508798</v>
      </c>
      <c r="E2386" s="20">
        <v>-0.15323658039964</v>
      </c>
      <c r="F2386" s="20">
        <v>7.5543488399594794E-2</v>
      </c>
      <c r="G2386" s="20">
        <v>0.170845743909982</v>
      </c>
      <c r="H2386" s="20">
        <v>4.6756357703219798E-3</v>
      </c>
      <c r="I2386" s="20">
        <v>182.59714105912701</v>
      </c>
      <c r="L2386" s="20">
        <f t="shared" si="78"/>
        <v>1046.9917904226074</v>
      </c>
      <c r="M2386" s="20">
        <f t="shared" si="79"/>
        <v>-13.296795738420302</v>
      </c>
    </row>
    <row r="2387" spans="1:13" x14ac:dyDescent="0.2">
      <c r="A2387" s="23">
        <v>590</v>
      </c>
      <c r="B2387" s="20">
        <v>1041.65096670345</v>
      </c>
      <c r="C2387" s="20">
        <v>105.991622924604</v>
      </c>
      <c r="D2387" s="20">
        <v>296.14832001399998</v>
      </c>
      <c r="E2387" s="20">
        <v>-0.152939192649692</v>
      </c>
      <c r="F2387" s="20">
        <v>7.6169430529546805E-2</v>
      </c>
      <c r="G2387" s="20">
        <v>0.170857188305132</v>
      </c>
      <c r="H2387" s="20">
        <v>4.6815580436578401E-3</v>
      </c>
      <c r="I2387" s="20">
        <v>182.56199407153801</v>
      </c>
      <c r="L2387" s="20">
        <f t="shared" si="78"/>
        <v>1047.0295891542048</v>
      </c>
      <c r="M2387" s="20">
        <f t="shared" si="79"/>
        <v>-13.297275782311591</v>
      </c>
    </row>
    <row r="2388" spans="1:13" x14ac:dyDescent="0.2">
      <c r="A2388" s="23">
        <v>590.25</v>
      </c>
      <c r="B2388" s="20">
        <v>1041.6946164784899</v>
      </c>
      <c r="C2388" s="20">
        <v>105.93424209763</v>
      </c>
      <c r="D2388" s="20">
        <v>296.08951441325098</v>
      </c>
      <c r="E2388" s="20">
        <v>-0.1526400240411</v>
      </c>
      <c r="F2388" s="20">
        <v>7.6795500068771699E-2</v>
      </c>
      <c r="G2388" s="20">
        <v>0.17086990890756701</v>
      </c>
      <c r="H2388" s="20">
        <v>4.6875310284587197E-3</v>
      </c>
      <c r="I2388" s="20">
        <v>182.526628284406</v>
      </c>
      <c r="L2388" s="20">
        <f t="shared" si="78"/>
        <v>1047.0672077995125</v>
      </c>
      <c r="M2388" s="20">
        <f t="shared" si="79"/>
        <v>-13.297753539106999</v>
      </c>
    </row>
    <row r="2389" spans="1:13" x14ac:dyDescent="0.2">
      <c r="A2389" s="23">
        <v>590.5</v>
      </c>
      <c r="B2389" s="20">
        <v>1041.7380952247399</v>
      </c>
      <c r="C2389" s="20">
        <v>105.87672450215901</v>
      </c>
      <c r="D2389" s="20">
        <v>296.03063360283301</v>
      </c>
      <c r="E2389" s="20">
        <v>-0.15233907082450901</v>
      </c>
      <c r="F2389" s="20">
        <v>7.7421699609402803E-2</v>
      </c>
      <c r="G2389" s="20">
        <v>0.170883914017919</v>
      </c>
      <c r="H2389" s="20">
        <v>4.6935536361443E-3</v>
      </c>
      <c r="I2389" s="20">
        <v>182.49104762533</v>
      </c>
      <c r="L2389" s="20">
        <f t="shared" si="78"/>
        <v>1047.1046460759189</v>
      </c>
      <c r="M2389" s="20">
        <f t="shared" si="79"/>
        <v>-13.298229005217364</v>
      </c>
    </row>
    <row r="2390" spans="1:13" x14ac:dyDescent="0.2">
      <c r="A2390" s="23">
        <v>590.75</v>
      </c>
      <c r="B2390" s="20">
        <v>1041.78140264324</v>
      </c>
      <c r="C2390" s="20">
        <v>105.819070064749</v>
      </c>
      <c r="D2390" s="20">
        <v>295.97167755298398</v>
      </c>
      <c r="E2390" s="20">
        <v>-0.152036329407615</v>
      </c>
      <c r="F2390" s="20">
        <v>7.8048031637534696E-2</v>
      </c>
      <c r="G2390" s="20">
        <v>0.17089921211706699</v>
      </c>
      <c r="H2390" s="20">
        <v>4.6996247681637899E-3</v>
      </c>
      <c r="I2390" s="20">
        <v>182.45525603629</v>
      </c>
      <c r="L2390" s="20">
        <f t="shared" si="78"/>
        <v>1047.1419036991522</v>
      </c>
      <c r="M2390" s="20">
        <f t="shared" si="79"/>
        <v>-13.298702177032428</v>
      </c>
    </row>
    <row r="2391" spans="1:13" x14ac:dyDescent="0.2">
      <c r="A2391" s="23">
        <v>591</v>
      </c>
      <c r="B2391" s="20">
        <v>1041.8245384336001</v>
      </c>
      <c r="C2391" s="20">
        <v>105.761278709396</v>
      </c>
      <c r="D2391" s="20">
        <v>295.91264623418499</v>
      </c>
      <c r="E2391" s="20">
        <v>-0.151731796355462</v>
      </c>
      <c r="F2391" s="20">
        <v>7.8674498532851106E-2</v>
      </c>
      <c r="G2391" s="20">
        <v>0.17091581186259799</v>
      </c>
      <c r="H2391" s="20">
        <v>4.7057433160606196E-3</v>
      </c>
      <c r="I2391" s="20">
        <v>182.41925747362501</v>
      </c>
      <c r="L2391" s="20">
        <f t="shared" si="78"/>
        <v>1047.1789803833108</v>
      </c>
      <c r="M2391" s="20">
        <f t="shared" si="79"/>
        <v>-13.299173050921242</v>
      </c>
    </row>
    <row r="2392" spans="1:13" x14ac:dyDescent="0.2">
      <c r="A2392" s="23">
        <v>591.25</v>
      </c>
      <c r="B2392" s="20">
        <v>1041.8675022940899</v>
      </c>
      <c r="C2392" s="20">
        <v>105.703350357538</v>
      </c>
      <c r="D2392" s="20">
        <v>295.85353961715299</v>
      </c>
      <c r="E2392" s="20">
        <v>-0.151425468390744</v>
      </c>
      <c r="F2392" s="20">
        <v>7.9301102568251902E-2</v>
      </c>
      <c r="G2392" s="20">
        <v>0.170933722085189</v>
      </c>
      <c r="H2392" s="20">
        <v>4.7119081615386799E-3</v>
      </c>
      <c r="I2392" s="20">
        <v>182.383055908004</v>
      </c>
      <c r="L2392" s="20">
        <f t="shared" si="78"/>
        <v>1047.2158758409528</v>
      </c>
      <c r="M2392" s="20">
        <f t="shared" si="79"/>
        <v>-13.299641623233299</v>
      </c>
    </row>
    <row r="2393" spans="1:13" x14ac:dyDescent="0.2">
      <c r="A2393" s="23">
        <v>591.5</v>
      </c>
      <c r="B2393" s="20">
        <v>1041.9102939217701</v>
      </c>
      <c r="C2393" s="20">
        <v>105.64528492805201</v>
      </c>
      <c r="D2393" s="20">
        <v>295.79435767283297</v>
      </c>
      <c r="E2393" s="20">
        <v>-0.15111734239409699</v>
      </c>
      <c r="F2393" s="20">
        <v>7.9927845909477796E-2</v>
      </c>
      <c r="G2393" s="20">
        <v>0.17095295178493999</v>
      </c>
      <c r="H2393" s="20">
        <v>4.7181181765306602E-3</v>
      </c>
      <c r="I2393" s="20">
        <v>182.346655324404</v>
      </c>
      <c r="L2393" s="20">
        <f t="shared" si="78"/>
        <v>1047.2525897832284</v>
      </c>
      <c r="M2393" s="20">
        <f t="shared" si="79"/>
        <v>-13.3001078903002</v>
      </c>
    </row>
    <row r="2394" spans="1:13" x14ac:dyDescent="0.2">
      <c r="A2394" s="23">
        <v>591.75</v>
      </c>
      <c r="B2394" s="20">
        <v>1041.95291301252</v>
      </c>
      <c r="C2394" s="20">
        <v>105.587082337254</v>
      </c>
      <c r="D2394" s="20">
        <v>295.73510037239402</v>
      </c>
      <c r="E2394" s="20">
        <v>-0.15080741540439799</v>
      </c>
      <c r="F2394" s="20">
        <v>8.0554730614733394E-2</v>
      </c>
      <c r="G2394" s="20">
        <v>0.170973510127642</v>
      </c>
      <c r="H2394" s="20">
        <v>4.7243722232678297E-3</v>
      </c>
      <c r="I2394" s="20">
        <v>182.310059722077</v>
      </c>
      <c r="L2394" s="20">
        <f t="shared" si="78"/>
        <v>1047.2891219199071</v>
      </c>
      <c r="M2394" s="20">
        <f t="shared" si="79"/>
        <v>-13.300571848436022</v>
      </c>
    </row>
    <row r="2395" spans="1:13" x14ac:dyDescent="0.2">
      <c r="A2395" s="23">
        <v>592</v>
      </c>
      <c r="B2395" s="20">
        <v>1041.99535926114</v>
      </c>
      <c r="C2395" s="20">
        <v>105.52874249890399</v>
      </c>
      <c r="D2395" s="20">
        <v>295.67576768722199</v>
      </c>
      <c r="E2395" s="20">
        <v>-0.15049568461905599</v>
      </c>
      <c r="F2395" s="20">
        <v>8.1181758634308501E-2</v>
      </c>
      <c r="G2395" s="20">
        <v>0.17099540644098499</v>
      </c>
      <c r="H2395" s="20">
        <v>4.7306691543514898E-3</v>
      </c>
      <c r="I2395" s="20">
        <v>182.27327311452501</v>
      </c>
      <c r="L2395" s="20">
        <f t="shared" si="78"/>
        <v>1047.3254719594822</v>
      </c>
      <c r="M2395" s="20">
        <f t="shared" si="79"/>
        <v>-13.301033493938629</v>
      </c>
    </row>
    <row r="2396" spans="1:13" x14ac:dyDescent="0.2">
      <c r="A2396" s="23">
        <v>592.25</v>
      </c>
      <c r="B2396" s="20">
        <v>1042.0376323614601</v>
      </c>
      <c r="C2396" s="20">
        <v>105.470265324205</v>
      </c>
      <c r="D2396" s="20">
        <v>295.61635958891202</v>
      </c>
      <c r="E2396" s="20">
        <v>-0.15018214739430299</v>
      </c>
      <c r="F2396" s="20">
        <v>8.1808931810197605E-2</v>
      </c>
      <c r="G2396" s="20">
        <v>0.17101865021070001</v>
      </c>
      <c r="H2396" s="20">
        <v>4.7370078128261602E-3</v>
      </c>
      <c r="I2396" s="20">
        <v>182.23629952946399</v>
      </c>
      <c r="L2396" s="20">
        <f t="shared" ref="L2396:L2426" si="80">SQRT(B2396^2+C2396^2)</f>
        <v>1047.3616396092782</v>
      </c>
      <c r="M2396" s="20">
        <f t="shared" ref="M2396:M2426" si="81">-L2396/A$25*100</f>
        <v>-13.30149282309104</v>
      </c>
    </row>
    <row r="2397" spans="1:13" x14ac:dyDescent="0.2">
      <c r="A2397" s="23">
        <v>592.5</v>
      </c>
      <c r="B2397" s="20">
        <v>1042.0797320064</v>
      </c>
      <c r="C2397" s="20">
        <v>105.411650721809</v>
      </c>
      <c r="D2397" s="20">
        <v>295.55687604926601</v>
      </c>
      <c r="E2397" s="20">
        <v>-0.14986680124548199</v>
      </c>
      <c r="F2397" s="20">
        <v>8.2436251875717806E-2</v>
      </c>
      <c r="G2397" s="20">
        <v>0.171043251076649</v>
      </c>
      <c r="H2397" s="20">
        <v>4.7433870322536303E-3</v>
      </c>
      <c r="I2397" s="20">
        <v>182.19914300879901</v>
      </c>
      <c r="L2397" s="20">
        <f t="shared" si="80"/>
        <v>1047.397624575513</v>
      </c>
      <c r="M2397" s="20">
        <f t="shared" si="81"/>
        <v>-13.301949832162222</v>
      </c>
    </row>
    <row r="2398" spans="1:13" x14ac:dyDescent="0.2">
      <c r="A2398" s="23">
        <v>592.75</v>
      </c>
      <c r="B2398" s="20">
        <v>1042.1216578880901</v>
      </c>
      <c r="C2398" s="20">
        <v>105.35289859781599</v>
      </c>
      <c r="D2398" s="20">
        <v>295.49731704028102</v>
      </c>
      <c r="E2398" s="20">
        <v>-0.14954964384733499</v>
      </c>
      <c r="F2398" s="20">
        <v>8.3063720455124099E-2</v>
      </c>
      <c r="G2398" s="20">
        <v>0.17106921882884699</v>
      </c>
      <c r="H2398" s="20">
        <v>4.7498056367892803E-3</v>
      </c>
      <c r="I2398" s="20">
        <v>182.161807608586</v>
      </c>
      <c r="L2398" s="20">
        <f t="shared" si="80"/>
        <v>1047.4334265634182</v>
      </c>
      <c r="M2398" s="20">
        <f t="shared" si="81"/>
        <v>-13.30240451740862</v>
      </c>
    </row>
    <row r="2399" spans="1:13" x14ac:dyDescent="0.2">
      <c r="A2399" s="23">
        <v>593</v>
      </c>
      <c r="B2399" s="20">
        <v>1042.1634096979101</v>
      </c>
      <c r="C2399" s="20">
        <v>105.29400885578001</v>
      </c>
      <c r="D2399" s="20">
        <v>295.437682534148</v>
      </c>
      <c r="E2399" s="20">
        <v>-0.149230673034289</v>
      </c>
      <c r="F2399" s="20">
        <v>8.3691339063224401E-2</v>
      </c>
      <c r="G2399" s="20">
        <v>0.17109656340342499</v>
      </c>
      <c r="H2399" s="20">
        <v>4.7562624412587802E-3</v>
      </c>
      <c r="I2399" s="20">
        <v>182.124297399</v>
      </c>
      <c r="L2399" s="20">
        <f t="shared" si="80"/>
        <v>1047.4690452772793</v>
      </c>
      <c r="M2399" s="20">
        <f t="shared" si="81"/>
        <v>-13.302856875074658</v>
      </c>
    </row>
    <row r="2400" spans="1:13" x14ac:dyDescent="0.2">
      <c r="A2400" s="23">
        <v>593.25</v>
      </c>
      <c r="B2400" s="20">
        <v>1042.2049871265899</v>
      </c>
      <c r="C2400" s="20">
        <v>105.234981396712</v>
      </c>
      <c r="D2400" s="20">
        <v>295.37797250323899</v>
      </c>
      <c r="E2400" s="20">
        <v>-0.148909886800734</v>
      </c>
      <c r="F2400" s="20">
        <v>8.4319109104991102E-2</v>
      </c>
      <c r="G2400" s="20">
        <v>0.171125294878538</v>
      </c>
      <c r="H2400" s="20">
        <v>4.76275625123662E-3</v>
      </c>
      <c r="I2400" s="20">
        <v>182.086616464299</v>
      </c>
      <c r="L2400" s="20">
        <f t="shared" si="80"/>
        <v>1047.5044804205381</v>
      </c>
      <c r="M2400" s="20">
        <f t="shared" si="81"/>
        <v>-13.303306901394048</v>
      </c>
    </row>
    <row r="2401" spans="1:13" x14ac:dyDescent="0.2">
      <c r="A2401" s="23">
        <v>593.5</v>
      </c>
      <c r="B2401" s="20">
        <v>1042.24638986433</v>
      </c>
      <c r="C2401" s="20">
        <v>105.17581611908599</v>
      </c>
      <c r="D2401" s="20">
        <v>295.31818692011001</v>
      </c>
      <c r="E2401" s="20">
        <v>-0.14858728330130999</v>
      </c>
      <c r="F2401" s="20">
        <v>8.4947031875171705E-2</v>
      </c>
      <c r="G2401" s="20">
        <v>0.17115542347020499</v>
      </c>
      <c r="H2401" s="20">
        <v>4.7692858631254798E-3</v>
      </c>
      <c r="I2401" s="20">
        <v>182.04876890278899</v>
      </c>
      <c r="L2401" s="20">
        <f t="shared" si="80"/>
        <v>1047.5397316959127</v>
      </c>
      <c r="M2401" s="20">
        <f t="shared" si="81"/>
        <v>-13.303754592591307</v>
      </c>
    </row>
    <row r="2402" spans="1:13" x14ac:dyDescent="0.2">
      <c r="A2402" s="23">
        <v>593.75</v>
      </c>
      <c r="B2402" s="20">
        <v>1042.2876176008499</v>
      </c>
      <c r="C2402" s="20">
        <v>105.116512918843</v>
      </c>
      <c r="D2402" s="20">
        <v>295.25832575748399</v>
      </c>
      <c r="E2402" s="20">
        <v>-0.14826286085118201</v>
      </c>
      <c r="F2402" s="20">
        <v>8.55751085578976E-2</v>
      </c>
      <c r="G2402" s="20">
        <v>0.17118695952809301</v>
      </c>
      <c r="H2402" s="20">
        <v>4.7758500642368197E-3</v>
      </c>
      <c r="I2402" s="20">
        <v>182.01075882678299</v>
      </c>
      <c r="L2402" s="20">
        <f t="shared" si="80"/>
        <v>1047.574798805447</v>
      </c>
      <c r="M2402" s="20">
        <f t="shared" si="81"/>
        <v>-13.304199944882395</v>
      </c>
    </row>
    <row r="2403" spans="1:13" x14ac:dyDescent="0.2">
      <c r="A2403" s="23">
        <v>594</v>
      </c>
      <c r="B2403" s="20">
        <v>1042.3286700254901</v>
      </c>
      <c r="C2403" s="20">
        <v>105.057071689395</v>
      </c>
      <c r="D2403" s="20">
        <v>295.19838898825202</v>
      </c>
      <c r="E2403" s="20">
        <v>-0.14793661792631699</v>
      </c>
      <c r="F2403" s="20">
        <v>8.6203340226290795E-2</v>
      </c>
      <c r="G2403" s="20">
        <v>0.17121991353124399</v>
      </c>
      <c r="H2403" s="20">
        <v>4.7824476328722203E-3</v>
      </c>
      <c r="I2403" s="20">
        <v>181.97259036256699</v>
      </c>
      <c r="L2403" s="20">
        <f t="shared" si="80"/>
        <v>1047.6096814506143</v>
      </c>
      <c r="M2403" s="20">
        <f t="shared" si="81"/>
        <v>-13.304642954476019</v>
      </c>
    </row>
    <row r="2404" spans="1:13" x14ac:dyDescent="0.2">
      <c r="A2404" s="23">
        <v>594.25</v>
      </c>
      <c r="B2404" s="20">
        <v>1042.3695468273099</v>
      </c>
      <c r="C2404" s="20">
        <v>104.997492321637</v>
      </c>
      <c r="D2404" s="20">
        <v>295.13837658546299</v>
      </c>
      <c r="E2404" s="20">
        <v>-0.14760855316376001</v>
      </c>
      <c r="F2404" s="20">
        <v>8.6831727842069106E-2</v>
      </c>
      <c r="G2404" s="20">
        <v>0.17125429608374099</v>
      </c>
      <c r="H2404" s="20">
        <v>4.7890773384059501E-3</v>
      </c>
      <c r="I2404" s="20">
        <v>181.934267650354</v>
      </c>
      <c r="L2404" s="20">
        <f t="shared" si="80"/>
        <v>1047.6443793324163</v>
      </c>
      <c r="M2404" s="20">
        <f t="shared" si="81"/>
        <v>-13.305083617574908</v>
      </c>
    </row>
    <row r="2405" spans="1:13" x14ac:dyDescent="0.2">
      <c r="A2405" s="23">
        <v>594.5</v>
      </c>
      <c r="B2405" s="20">
        <v>1042.41024769514</v>
      </c>
      <c r="C2405" s="20">
        <v>104.937774703945</v>
      </c>
      <c r="D2405" s="20">
        <v>295.07828852231899</v>
      </c>
      <c r="E2405" s="20">
        <v>-0.14727866536190401</v>
      </c>
      <c r="F2405" s="20">
        <v>8.7460272255148699E-2</v>
      </c>
      <c r="G2405" s="20">
        <v>0.17129011791031201</v>
      </c>
      <c r="H2405" s="20">
        <v>4.7957379413681098E-3</v>
      </c>
      <c r="I2405" s="20">
        <v>181.895794844248</v>
      </c>
      <c r="L2405" s="20">
        <f t="shared" si="80"/>
        <v>1047.6788921514355</v>
      </c>
      <c r="M2405" s="20">
        <f t="shared" si="81"/>
        <v>-13.305521930376454</v>
      </c>
    </row>
    <row r="2406" spans="1:13" x14ac:dyDescent="0.2">
      <c r="A2406" s="23">
        <v>594.75</v>
      </c>
      <c r="B2406" s="20">
        <v>1042.4507723177101</v>
      </c>
      <c r="C2406" s="20">
        <v>104.877918722191</v>
      </c>
      <c r="D2406" s="20">
        <v>295.018124772166</v>
      </c>
      <c r="E2406" s="20">
        <v>-0.146946953480765</v>
      </c>
      <c r="F2406" s="20">
        <v>8.8088974203245601E-2</v>
      </c>
      <c r="G2406" s="20">
        <v>0.17132738985188001</v>
      </c>
      <c r="H2406" s="20">
        <v>4.8024281935287001E-3</v>
      </c>
      <c r="I2406" s="20">
        <v>181.85717611219701</v>
      </c>
      <c r="L2406" s="20">
        <f t="shared" si="80"/>
        <v>1047.7132196079654</v>
      </c>
      <c r="M2406" s="20">
        <f t="shared" si="81"/>
        <v>-13.305957889074385</v>
      </c>
    </row>
    <row r="2407" spans="1:13" x14ac:dyDescent="0.2">
      <c r="A2407" s="23">
        <v>595</v>
      </c>
      <c r="B2407" s="20">
        <v>1042.4911203837</v>
      </c>
      <c r="C2407" s="20">
        <v>104.81792425974599</v>
      </c>
      <c r="D2407" s="20">
        <v>294.95788530849001</v>
      </c>
      <c r="E2407" s="20">
        <v>-0.146613416642244</v>
      </c>
      <c r="F2407" s="20">
        <v>8.8717834311475494E-2</v>
      </c>
      <c r="G2407" s="20">
        <v>0.17136612286105701</v>
      </c>
      <c r="H2407" s="20">
        <v>4.8091468379822403E-3</v>
      </c>
      <c r="I2407" s="20">
        <v>181.81841563595299</v>
      </c>
      <c r="L2407" s="20">
        <f t="shared" si="80"/>
        <v>1047.7473614020623</v>
      </c>
      <c r="M2407" s="20">
        <f t="shared" si="81"/>
        <v>-13.306391489859418</v>
      </c>
    </row>
    <row r="2408" spans="1:13" x14ac:dyDescent="0.2">
      <c r="A2408" s="23">
        <v>595.25</v>
      </c>
      <c r="B2408" s="20">
        <v>1042.5312915818799</v>
      </c>
      <c r="C2408" s="20">
        <v>104.757791197492</v>
      </c>
      <c r="D2408" s="20">
        <v>294.89757010490899</v>
      </c>
      <c r="E2408" s="20">
        <v>-0.14627805413039999</v>
      </c>
      <c r="F2408" s="20">
        <v>8.9346853091950298E-2</v>
      </c>
      <c r="G2408" s="20">
        <v>0.17140632799757</v>
      </c>
      <c r="H2408" s="20">
        <v>4.8158926092332199E-3</v>
      </c>
      <c r="I2408" s="20">
        <v>181.77951761102199</v>
      </c>
      <c r="L2408" s="20">
        <f t="shared" si="80"/>
        <v>1047.7813172336869</v>
      </c>
      <c r="M2408" s="20">
        <f t="shared" si="81"/>
        <v>-13.30682272892105</v>
      </c>
    </row>
    <row r="2409" spans="1:13" x14ac:dyDescent="0.2">
      <c r="A2409" s="23">
        <v>595.5</v>
      </c>
      <c r="B2409" s="20">
        <v>1042.5712856011301</v>
      </c>
      <c r="C2409" s="20">
        <v>104.697519413828</v>
      </c>
      <c r="D2409" s="20">
        <v>294.837179135165</v>
      </c>
      <c r="E2409" s="20">
        <v>-0.145940865391706</v>
      </c>
      <c r="F2409" s="20">
        <v>8.9976030943374502E-2</v>
      </c>
      <c r="G2409" s="20">
        <v>0.17144801642364699</v>
      </c>
      <c r="H2409" s="20">
        <v>4.8226642332818903E-3</v>
      </c>
      <c r="I2409" s="20">
        <v>181.74048624662501</v>
      </c>
      <c r="L2409" s="20">
        <f t="shared" si="80"/>
        <v>1047.8150868027249</v>
      </c>
      <c r="M2409" s="20">
        <f t="shared" si="81"/>
        <v>-13.307251602447835</v>
      </c>
    </row>
    <row r="2410" spans="1:13" x14ac:dyDescent="0.2">
      <c r="A2410" s="23">
        <v>595.75</v>
      </c>
      <c r="B2410" s="20">
        <v>1042.6111021305801</v>
      </c>
      <c r="C2410" s="20">
        <v>104.637108784679</v>
      </c>
      <c r="D2410" s="20">
        <v>294.77671237312097</v>
      </c>
      <c r="E2410" s="20">
        <v>-0.14560185003532</v>
      </c>
      <c r="F2410" s="20">
        <v>9.0605368150638299E-2</v>
      </c>
      <c r="G2410" s="20">
        <v>0.171491199399329</v>
      </c>
      <c r="H2410" s="20">
        <v>4.8294604277106098E-3</v>
      </c>
      <c r="I2410" s="20">
        <v>181.70132576564299</v>
      </c>
      <c r="L2410" s="20">
        <f t="shared" si="80"/>
        <v>1047.8486698091283</v>
      </c>
      <c r="M2410" s="20">
        <f t="shared" si="81"/>
        <v>-13.307678106629162</v>
      </c>
    </row>
    <row r="2411" spans="1:13" x14ac:dyDescent="0.2">
      <c r="A2411" s="23">
        <v>596</v>
      </c>
      <c r="B2411" s="20">
        <v>1042.6507408596799</v>
      </c>
      <c r="C2411" s="20">
        <v>104.576559183508</v>
      </c>
      <c r="D2411" s="20">
        <v>294.71616979275001</v>
      </c>
      <c r="E2411" s="20">
        <v>-0.14526100783333701</v>
      </c>
      <c r="F2411" s="20">
        <v>9.1234864884409697E-2</v>
      </c>
      <c r="G2411" s="20">
        <v>0.17153588827774</v>
      </c>
      <c r="H2411" s="20">
        <v>4.8362799017708904E-3</v>
      </c>
      <c r="I2411" s="20">
        <v>181.662040404571</v>
      </c>
      <c r="L2411" s="20">
        <f t="shared" si="80"/>
        <v>1047.8820659529874</v>
      </c>
      <c r="M2411" s="20">
        <f t="shared" si="81"/>
        <v>-13.308102237656172</v>
      </c>
    </row>
    <row r="2412" spans="1:13" x14ac:dyDescent="0.2">
      <c r="A2412" s="23">
        <v>596.25</v>
      </c>
      <c r="B2412" s="20">
        <v>1042.69020147828</v>
      </c>
      <c r="C2412" s="20">
        <v>104.51587048132799</v>
      </c>
      <c r="D2412" s="20">
        <v>294.65555136812998</v>
      </c>
      <c r="E2412" s="20">
        <v>-0.14491833872105001</v>
      </c>
      <c r="F2412" s="20">
        <v>9.18645212007239E-2</v>
      </c>
      <c r="G2412" s="20">
        <v>0.17158209450029199</v>
      </c>
      <c r="H2412" s="20">
        <v>4.8431213564702202E-3</v>
      </c>
      <c r="I2412" s="20">
        <v>181.62263441347301</v>
      </c>
      <c r="L2412" s="20">
        <f t="shared" si="80"/>
        <v>1047.9152749346131</v>
      </c>
      <c r="M2412" s="20">
        <f t="shared" si="81"/>
        <v>-13.30852399172282</v>
      </c>
    </row>
    <row r="2413" spans="1:13" x14ac:dyDescent="0.2">
      <c r="A2413" s="23">
        <v>596.5</v>
      </c>
      <c r="B2413" s="20">
        <v>1042.7294836767301</v>
      </c>
      <c r="C2413" s="20">
        <v>104.455042546708</v>
      </c>
      <c r="D2413" s="20">
        <v>294.594857073436</v>
      </c>
      <c r="E2413" s="20">
        <v>-0.144573842797205</v>
      </c>
      <c r="F2413" s="20">
        <v>9.24943370405715E-2</v>
      </c>
      <c r="G2413" s="20">
        <v>0.171629829591845</v>
      </c>
      <c r="H2413" s="20">
        <v>4.8499834846597702E-3</v>
      </c>
      <c r="I2413" s="20">
        <v>181.58311205592099</v>
      </c>
      <c r="L2413" s="20">
        <f t="shared" si="80"/>
        <v>1047.9482964546364</v>
      </c>
      <c r="M2413" s="20">
        <f t="shared" si="81"/>
        <v>-13.308943365027117</v>
      </c>
    </row>
    <row r="2414" spans="1:13" x14ac:dyDescent="0.2">
      <c r="A2414" s="23">
        <v>596.75</v>
      </c>
      <c r="B2414" s="20">
        <v>1042.7685871459701</v>
      </c>
      <c r="C2414" s="20">
        <v>104.394075245789</v>
      </c>
      <c r="D2414" s="20">
        <v>294.53408688293501</v>
      </c>
      <c r="E2414" s="20">
        <v>-0.14422752032425401</v>
      </c>
      <c r="F2414" s="20">
        <v>9.3124312229484293E-2</v>
      </c>
      <c r="G2414" s="20">
        <v>0.17167910515580401</v>
      </c>
      <c r="H2414" s="20">
        <v>4.8568649711220801E-3</v>
      </c>
      <c r="I2414" s="20">
        <v>181.543477608952</v>
      </c>
      <c r="L2414" s="20">
        <f t="shared" si="80"/>
        <v>1047.9811302141018</v>
      </c>
      <c r="M2414" s="20">
        <f t="shared" si="81"/>
        <v>-13.309360353772332</v>
      </c>
    </row>
    <row r="2415" spans="1:13" x14ac:dyDescent="0.2">
      <c r="A2415" s="23">
        <v>597</v>
      </c>
      <c r="B2415" s="20">
        <v>1042.8075115776101</v>
      </c>
      <c r="C2415" s="20">
        <v>104.332968442294</v>
      </c>
      <c r="D2415" s="20">
        <v>294.47324077097801</v>
      </c>
      <c r="E2415" s="20">
        <v>-0.14387937172860399</v>
      </c>
      <c r="F2415" s="20">
        <v>9.3754446477118794E-2</v>
      </c>
      <c r="G2415" s="20">
        <v>0.17172993286916799</v>
      </c>
      <c r="H2415" s="20">
        <v>4.8637644926589098E-3</v>
      </c>
      <c r="I2415" s="20">
        <v>181.50373536300799</v>
      </c>
      <c r="L2415" s="20">
        <f t="shared" si="80"/>
        <v>1048.0137759145478</v>
      </c>
      <c r="M2415" s="20">
        <f t="shared" si="81"/>
        <v>-13.309774954167997</v>
      </c>
    </row>
    <row r="2416" spans="1:13" x14ac:dyDescent="0.2">
      <c r="A2416" s="23">
        <v>597.25</v>
      </c>
      <c r="B2416" s="20">
        <v>1042.8462566640401</v>
      </c>
      <c r="C2416" s="20">
        <v>104.27172199754401</v>
      </c>
      <c r="D2416" s="20">
        <v>294.41231871199199</v>
      </c>
      <c r="E2416" s="20">
        <v>-0.14352939760087</v>
      </c>
      <c r="F2416" s="20">
        <v>9.4384739376838597E-2</v>
      </c>
      <c r="G2416" s="20">
        <v>0.171782324477527</v>
      </c>
      <c r="H2416" s="20">
        <v>4.8706807181792596E-3</v>
      </c>
      <c r="I2416" s="20">
        <v>181.46388962188499</v>
      </c>
      <c r="L2416" s="20">
        <f t="shared" si="80"/>
        <v>1048.0462332581203</v>
      </c>
      <c r="M2416" s="20">
        <f t="shared" si="81"/>
        <v>-13.310187162431369</v>
      </c>
    </row>
    <row r="2417" spans="1:13" x14ac:dyDescent="0.2">
      <c r="A2417" s="23">
        <v>597.5</v>
      </c>
      <c r="B2417" s="20">
        <v>1042.8848220984601</v>
      </c>
      <c r="C2417" s="20">
        <v>104.210335770466</v>
      </c>
      <c r="D2417" s="20">
        <v>294.351320680475</v>
      </c>
      <c r="E2417" s="20">
        <v>-0.14317759869611599</v>
      </c>
      <c r="F2417" s="20">
        <v>9.5015190405294297E-2</v>
      </c>
      <c r="G2417" s="20">
        <v>0.17183629179000701</v>
      </c>
      <c r="H2417" s="20">
        <v>4.8776123087874296E-3</v>
      </c>
      <c r="I2417" s="20">
        <v>181.423944702673</v>
      </c>
      <c r="L2417" s="20">
        <f t="shared" si="80"/>
        <v>1048.078501947602</v>
      </c>
      <c r="M2417" s="20">
        <f t="shared" si="81"/>
        <v>-13.310596974787789</v>
      </c>
    </row>
    <row r="2418" spans="1:13" x14ac:dyDescent="0.2">
      <c r="A2418" s="23">
        <v>597.75</v>
      </c>
      <c r="B2418" s="20">
        <v>1042.9232075750699</v>
      </c>
      <c r="C2418" s="20">
        <v>104.148809617613</v>
      </c>
      <c r="D2418" s="20">
        <v>294.29024665098598</v>
      </c>
      <c r="E2418" s="20">
        <v>-0.14282397593410201</v>
      </c>
      <c r="F2418" s="20">
        <v>9.5645798922000702E-2</v>
      </c>
      <c r="G2418" s="20">
        <v>0.17189184667415899</v>
      </c>
      <c r="H2418" s="20">
        <v>4.8845579178711197E-3</v>
      </c>
      <c r="I2418" s="20">
        <v>181.38390493570299</v>
      </c>
      <c r="L2418" s="20">
        <f t="shared" si="80"/>
        <v>1048.1105816866072</v>
      </c>
      <c r="M2418" s="20">
        <f t="shared" si="81"/>
        <v>-13.311004387473158</v>
      </c>
    </row>
    <row r="2419" spans="1:13" x14ac:dyDescent="0.2">
      <c r="A2419" s="23">
        <v>598</v>
      </c>
      <c r="B2419" s="20">
        <v>1042.96141278904</v>
      </c>
      <c r="C2419" s="20">
        <v>104.087143393172</v>
      </c>
      <c r="D2419" s="20">
        <v>294.22909659814201</v>
      </c>
      <c r="E2419" s="20">
        <v>-0.14246853039952401</v>
      </c>
      <c r="F2419" s="20">
        <v>9.6276564168913503E-2</v>
      </c>
      <c r="G2419" s="20">
        <v>0.17194900105080901</v>
      </c>
      <c r="H2419" s="20">
        <v>4.8915161911895801E-3</v>
      </c>
      <c r="I2419" s="20">
        <v>181.343774664487</v>
      </c>
      <c r="L2419" s="20">
        <f t="shared" si="80"/>
        <v>1048.1424721795511</v>
      </c>
      <c r="M2419" s="20">
        <f t="shared" si="81"/>
        <v>-13.311409396733545</v>
      </c>
    </row>
    <row r="2420" spans="1:13" x14ac:dyDescent="0.2">
      <c r="A2420" s="23">
        <v>598.25</v>
      </c>
      <c r="B2420" s="20">
        <v>1042.99943743669</v>
      </c>
      <c r="C2420" s="20">
        <v>104.02533694898599</v>
      </c>
      <c r="D2420" s="20">
        <v>294.16787049660502</v>
      </c>
      <c r="E2420" s="20">
        <v>-0.14211126334225799</v>
      </c>
      <c r="F2420" s="20">
        <v>9.6907485270002397E-2</v>
      </c>
      <c r="G2420" s="20">
        <v>0.172007766888848</v>
      </c>
      <c r="H2420" s="20">
        <v>4.8984857669613097E-3</v>
      </c>
      <c r="I2420" s="20">
        <v>181.30355824565601</v>
      </c>
      <c r="L2420" s="20">
        <f t="shared" si="80"/>
        <v>1048.1741731318332</v>
      </c>
      <c r="M2420" s="20">
        <f t="shared" si="81"/>
        <v>-13.31181199882753</v>
      </c>
    </row>
    <row r="2421" spans="1:13" x14ac:dyDescent="0.2">
      <c r="A2421" s="23">
        <v>598.5</v>
      </c>
      <c r="B2421" s="20">
        <v>1043.0372812155599</v>
      </c>
      <c r="C2421" s="20">
        <v>103.963390134566</v>
      </c>
      <c r="D2421" s="20">
        <v>294.106568321081</v>
      </c>
      <c r="E2421" s="20">
        <v>-0.141752176177591</v>
      </c>
      <c r="F2421" s="20">
        <v>9.7538561230823204E-2</v>
      </c>
      <c r="G2421" s="20">
        <v>0.172068156199983</v>
      </c>
      <c r="H2421" s="20">
        <v>4.9054652759521799E-3</v>
      </c>
      <c r="I2421" s="20">
        <v>181.263260048902</v>
      </c>
      <c r="L2421" s="20">
        <f t="shared" si="80"/>
        <v>1048.2056842499085</v>
      </c>
      <c r="M2421" s="20">
        <f t="shared" si="81"/>
        <v>-13.312212190027086</v>
      </c>
    </row>
    <row r="2422" spans="1:13" x14ac:dyDescent="0.2">
      <c r="A2422" s="23">
        <v>598.75</v>
      </c>
      <c r="B2422" s="20">
        <v>1043.07494382445</v>
      </c>
      <c r="C2422" s="20">
        <v>103.901302797106</v>
      </c>
      <c r="D2422" s="20">
        <v>294.04519004630902</v>
      </c>
      <c r="E2422" s="20">
        <v>-0.141391270486458</v>
      </c>
      <c r="F2422" s="20">
        <v>9.8169790938087198E-2</v>
      </c>
      <c r="G2422" s="20">
        <v>0.172130181033433</v>
      </c>
      <c r="H2422" s="20">
        <v>4.9124533415626798E-3</v>
      </c>
      <c r="I2422" s="20">
        <v>181.222884456912</v>
      </c>
      <c r="L2422" s="20">
        <f t="shared" si="80"/>
        <v>1048.2370052413316</v>
      </c>
      <c r="M2422" s="20">
        <f t="shared" si="81"/>
        <v>-13.312609966618163</v>
      </c>
    </row>
    <row r="2423" spans="1:13" x14ac:dyDescent="0.2">
      <c r="A2423" s="23">
        <v>599</v>
      </c>
      <c r="B2423" s="20">
        <v>1043.11242496359</v>
      </c>
      <c r="C2423" s="20">
        <v>103.839074781504</v>
      </c>
      <c r="D2423" s="20">
        <v>293.983735647054</v>
      </c>
      <c r="E2423" s="20">
        <v>-0.14102854801567799</v>
      </c>
      <c r="F2423" s="20">
        <v>9.8801173159228706E-2</v>
      </c>
      <c r="G2423" s="20">
        <v>0.17219385347058799</v>
      </c>
      <c r="H2423" s="20">
        <v>4.9194485799155798E-3</v>
      </c>
      <c r="I2423" s="20">
        <v>181.18243586531</v>
      </c>
      <c r="L2423" s="20">
        <f t="shared" si="80"/>
        <v>1048.2681358149259</v>
      </c>
      <c r="M2423" s="20">
        <f t="shared" si="81"/>
        <v>-13.313005324902813</v>
      </c>
    </row>
    <row r="2424" spans="1:13" x14ac:dyDescent="0.2">
      <c r="A2424" s="23">
        <v>599.25</v>
      </c>
      <c r="B2424" s="20">
        <v>1043.14972433466</v>
      </c>
      <c r="C2424" s="20">
        <v>103.776705930376</v>
      </c>
      <c r="D2424" s="20">
        <v>293.92220509809999</v>
      </c>
      <c r="E2424" s="20">
        <v>-0.14066401067817999</v>
      </c>
      <c r="F2424" s="20">
        <v>9.9432706541970395E-2</v>
      </c>
      <c r="G2424" s="20">
        <v>0.17225918561961401</v>
      </c>
      <c r="H2424" s="20">
        <v>4.9264495999427303E-3</v>
      </c>
      <c r="I2424" s="20">
        <v>181.141918682588</v>
      </c>
      <c r="L2424" s="20">
        <f t="shared" si="80"/>
        <v>1048.2990756808083</v>
      </c>
      <c r="M2424" s="20">
        <f t="shared" si="81"/>
        <v>-13.313398261199518</v>
      </c>
    </row>
    <row r="2425" spans="1:13" x14ac:dyDescent="0.2">
      <c r="A2425" s="23">
        <v>599.5</v>
      </c>
      <c r="B2425" s="20">
        <v>1043.18684164091</v>
      </c>
      <c r="C2425" s="20">
        <v>103.714196084075</v>
      </c>
      <c r="D2425" s="20">
        <v>293.86059837424602</v>
      </c>
      <c r="E2425" s="20">
        <v>-0.14029766055323001</v>
      </c>
      <c r="F2425" s="20">
        <v>0.100064389613887</v>
      </c>
      <c r="G2425" s="20">
        <v>0.172326189610022</v>
      </c>
      <c r="H2425" s="20">
        <v>4.9334550034720297E-3</v>
      </c>
      <c r="I2425" s="20">
        <v>181.10133733004099</v>
      </c>
      <c r="L2425" s="20">
        <f t="shared" si="80"/>
        <v>1048.3298245505098</v>
      </c>
      <c r="M2425" s="20">
        <f t="shared" si="81"/>
        <v>-13.313788771844729</v>
      </c>
    </row>
    <row r="2426" spans="1:13" x14ac:dyDescent="0.2">
      <c r="A2426" s="23">
        <v>599.75</v>
      </c>
      <c r="B2426" s="20">
        <v>1043.2237765872401</v>
      </c>
      <c r="C2426" s="20">
        <v>103.651545080711</v>
      </c>
      <c r="D2426" s="20">
        <v>293.79891545029</v>
      </c>
      <c r="E2426" s="20">
        <v>-0.13992949988666201</v>
      </c>
      <c r="F2426" s="20">
        <v>0.100696220781964</v>
      </c>
      <c r="G2426" s="20">
        <v>0.17239487758718799</v>
      </c>
      <c r="H2426" s="20">
        <v>4.9404633853135701E-3</v>
      </c>
      <c r="I2426" s="20">
        <v>181.06069624169999</v>
      </c>
      <c r="L2426" s="20">
        <f t="shared" si="80"/>
        <v>1048.36038213706</v>
      </c>
      <c r="M2426" s="20">
        <f t="shared" si="81"/>
        <v>-13.314176853193919</v>
      </c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9"/>
  <sheetViews>
    <sheetView workbookViewId="0">
      <selection activeCell="F14" sqref="F14"/>
    </sheetView>
  </sheetViews>
  <sheetFormatPr defaultRowHeight="12.75" x14ac:dyDescent="0.2"/>
  <cols>
    <col min="1" max="1" width="2.42578125" style="1" bestFit="1" customWidth="1"/>
    <col min="2" max="2" width="8.42578125" style="1" bestFit="1" customWidth="1"/>
    <col min="3" max="3" width="4.42578125" style="2" bestFit="1" customWidth="1"/>
    <col min="4" max="4" width="14.28515625" style="2" bestFit="1" customWidth="1"/>
    <col min="5" max="5" width="2.85546875" style="2" bestFit="1" customWidth="1"/>
    <col min="6" max="6" width="4.42578125" style="2" bestFit="1" customWidth="1"/>
    <col min="7" max="7" width="14.28515625" style="1" bestFit="1" customWidth="1"/>
    <col min="8" max="10" width="9.140625" style="1"/>
    <col min="11" max="11" width="14.42578125" style="1" bestFit="1" customWidth="1"/>
    <col min="12" max="16384" width="9.140625" style="1"/>
  </cols>
  <sheetData>
    <row r="1" spans="1:7" x14ac:dyDescent="0.2">
      <c r="A1" s="3" t="s">
        <v>63</v>
      </c>
      <c r="B1" s="1" t="s">
        <v>30</v>
      </c>
      <c r="C1" s="2">
        <v>4.5063235829590962</v>
      </c>
      <c r="D1" s="2" t="s">
        <v>29</v>
      </c>
      <c r="E1" s="3" t="s">
        <v>62</v>
      </c>
      <c r="F1" s="2">
        <v>5.1931467212848279</v>
      </c>
      <c r="G1" s="2" t="s">
        <v>29</v>
      </c>
    </row>
    <row r="2" spans="1:7" x14ac:dyDescent="0.2">
      <c r="B2" s="1" t="s">
        <v>31</v>
      </c>
      <c r="C2" s="2">
        <v>4.7271230502599648</v>
      </c>
      <c r="D2" s="2" t="s">
        <v>29</v>
      </c>
      <c r="F2" s="2">
        <v>5.1404092380052662</v>
      </c>
      <c r="G2" s="2" t="s">
        <v>29</v>
      </c>
    </row>
    <row r="3" spans="1:7" x14ac:dyDescent="0.2">
      <c r="B3" s="1" t="s">
        <v>32</v>
      </c>
      <c r="C3" s="2">
        <v>4.496220417675878</v>
      </c>
      <c r="D3" s="2" t="s">
        <v>29</v>
      </c>
      <c r="F3" s="2">
        <v>5.5786372504371382</v>
      </c>
      <c r="G3" s="2" t="s">
        <v>29</v>
      </c>
    </row>
    <row r="4" spans="1:7" x14ac:dyDescent="0.2">
      <c r="G4" s="2"/>
    </row>
    <row r="5" spans="1:7" x14ac:dyDescent="0.2">
      <c r="G5" s="2"/>
    </row>
    <row r="6" spans="1:7" x14ac:dyDescent="0.2">
      <c r="G6" s="2"/>
    </row>
    <row r="7" spans="1:7" x14ac:dyDescent="0.2">
      <c r="B7" s="1" t="s">
        <v>33</v>
      </c>
      <c r="C7" s="2">
        <v>4.6756240656289654</v>
      </c>
      <c r="D7" s="2" t="s">
        <v>29</v>
      </c>
      <c r="F7" s="2">
        <v>6.0250508062621906</v>
      </c>
      <c r="G7" s="2" t="s">
        <v>29</v>
      </c>
    </row>
    <row r="8" spans="1:7" x14ac:dyDescent="0.2">
      <c r="B8" s="1" t="s">
        <v>34</v>
      </c>
      <c r="C8" s="2">
        <v>4.7633477263700081</v>
      </c>
      <c r="D8" s="2" t="s">
        <v>29</v>
      </c>
      <c r="F8" s="2">
        <v>5.4913354572517887</v>
      </c>
      <c r="G8" s="2" t="s">
        <v>29</v>
      </c>
    </row>
    <row r="9" spans="1:7" x14ac:dyDescent="0.2">
      <c r="B9" s="1" t="s">
        <v>35</v>
      </c>
      <c r="C9" s="2">
        <v>4.5377908118511145</v>
      </c>
      <c r="D9" s="2" t="s">
        <v>29</v>
      </c>
      <c r="F9" s="2">
        <v>5.7859647726820622</v>
      </c>
      <c r="G9" s="2" t="s">
        <v>29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74"/>
  <sheetViews>
    <sheetView workbookViewId="0">
      <selection activeCell="B1" sqref="B1:E1"/>
    </sheetView>
  </sheetViews>
  <sheetFormatPr defaultRowHeight="12.75" x14ac:dyDescent="0.2"/>
  <cols>
    <col min="1" max="1" width="21.140625" style="5" bestFit="1" customWidth="1"/>
    <col min="2" max="2" width="8.5703125" style="5" bestFit="1" customWidth="1"/>
    <col min="3" max="4" width="10.7109375" style="5" customWidth="1"/>
    <col min="5" max="5" width="11.140625" style="5" bestFit="1" customWidth="1"/>
    <col min="6" max="6" width="8.5703125" style="5" bestFit="1" customWidth="1"/>
    <col min="7" max="8" width="10.7109375" style="5" customWidth="1"/>
    <col min="9" max="9" width="11.140625" style="5" bestFit="1" customWidth="1"/>
    <col min="10" max="11" width="9.140625" style="1"/>
    <col min="12" max="12" width="1.42578125" style="1" bestFit="1" customWidth="1"/>
    <col min="13" max="16384" width="9.140625" style="1"/>
  </cols>
  <sheetData>
    <row r="1" spans="1:9" x14ac:dyDescent="0.2">
      <c r="A1" s="6" t="s">
        <v>12</v>
      </c>
      <c r="B1" s="40" t="s">
        <v>36</v>
      </c>
      <c r="C1" s="40"/>
      <c r="D1" s="40"/>
      <c r="E1" s="40"/>
      <c r="F1" s="40" t="str">
        <f>B1</f>
        <v>1-Year North Current + SW Wind/Waves</v>
      </c>
      <c r="G1" s="40"/>
      <c r="H1" s="40"/>
      <c r="I1" s="40"/>
    </row>
    <row r="2" spans="1:9" x14ac:dyDescent="0.2">
      <c r="A2" s="7" t="s">
        <v>25</v>
      </c>
      <c r="B2" s="40" t="s">
        <v>24</v>
      </c>
      <c r="C2" s="40"/>
      <c r="D2" s="40"/>
      <c r="E2" s="40"/>
      <c r="F2" s="40" t="s">
        <v>26</v>
      </c>
      <c r="G2" s="40"/>
      <c r="H2" s="40"/>
      <c r="I2" s="40"/>
    </row>
    <row r="3" spans="1:9" x14ac:dyDescent="0.2">
      <c r="A3" s="8" t="s">
        <v>15</v>
      </c>
      <c r="B3" s="34" t="s">
        <v>16</v>
      </c>
      <c r="C3" s="34"/>
      <c r="D3" s="34" t="s">
        <v>10</v>
      </c>
      <c r="E3" s="34"/>
      <c r="F3" s="34" t="s">
        <v>16</v>
      </c>
      <c r="G3" s="34"/>
      <c r="H3" s="34" t="s">
        <v>10</v>
      </c>
      <c r="I3" s="34"/>
    </row>
    <row r="4" spans="1:9" x14ac:dyDescent="0.2">
      <c r="A4" s="8" t="s">
        <v>17</v>
      </c>
      <c r="B4" s="34">
        <f>'1yN90'!$R$4</f>
        <v>5.1931467212848279</v>
      </c>
      <c r="C4" s="34"/>
      <c r="D4" s="34">
        <f>'1yN90'!$R$2</f>
        <v>4.5063235829590962</v>
      </c>
      <c r="E4" s="34"/>
      <c r="F4" s="34" t="e">
        <f>#REF!</f>
        <v>#REF!</v>
      </c>
      <c r="G4" s="34"/>
      <c r="H4" s="34" t="e">
        <f>#REF!</f>
        <v>#REF!</v>
      </c>
      <c r="I4" s="34"/>
    </row>
    <row r="5" spans="1:9" x14ac:dyDescent="0.2">
      <c r="A5" s="8" t="s">
        <v>18</v>
      </c>
      <c r="B5" s="34" t="str">
        <f>'1yN90'!$R$5</f>
        <v>Max Stress Ratio</v>
      </c>
      <c r="C5" s="34"/>
      <c r="D5" s="34" t="str">
        <f>'1yN90'!$R$3</f>
        <v>Max Stress Ratio</v>
      </c>
      <c r="E5" s="34"/>
      <c r="F5" s="34" t="e">
        <f>#REF!</f>
        <v>#REF!</v>
      </c>
      <c r="G5" s="34"/>
      <c r="H5" s="34" t="e">
        <f>#REF!</f>
        <v>#REF!</v>
      </c>
      <c r="I5" s="34"/>
    </row>
    <row r="6" spans="1:9" x14ac:dyDescent="0.2">
      <c r="A6" s="8" t="s">
        <v>19</v>
      </c>
      <c r="B6" s="34">
        <f>MIN(B4,D4)</f>
        <v>4.5063235829590962</v>
      </c>
      <c r="C6" s="34"/>
      <c r="D6" s="34"/>
      <c r="E6" s="34"/>
      <c r="F6" s="34" t="e">
        <f>MIN(F4,H4)</f>
        <v>#REF!</v>
      </c>
      <c r="G6" s="34"/>
      <c r="H6" s="34"/>
      <c r="I6" s="34"/>
    </row>
    <row r="7" spans="1:9" x14ac:dyDescent="0.2">
      <c r="A7" s="8" t="s">
        <v>20</v>
      </c>
      <c r="B7" s="35">
        <f ca="1">'1yN90'!$T$3</f>
        <v>158.58879355454434</v>
      </c>
      <c r="C7" s="35"/>
      <c r="D7" s="35"/>
      <c r="E7" s="35"/>
      <c r="F7" s="35" t="e">
        <f>#REF!</f>
        <v>#REF!</v>
      </c>
      <c r="G7" s="35"/>
      <c r="H7" s="35"/>
      <c r="I7" s="35"/>
    </row>
    <row r="8" spans="1:9" x14ac:dyDescent="0.2">
      <c r="A8" s="8" t="s">
        <v>11</v>
      </c>
      <c r="B8" s="9" t="s">
        <v>21</v>
      </c>
      <c r="C8" s="34" t="s">
        <v>22</v>
      </c>
      <c r="D8" s="34"/>
      <c r="E8" s="9" t="s">
        <v>23</v>
      </c>
      <c r="F8" s="9" t="s">
        <v>21</v>
      </c>
      <c r="G8" s="34" t="s">
        <v>22</v>
      </c>
      <c r="H8" s="34"/>
      <c r="I8" s="9" t="s">
        <v>23</v>
      </c>
    </row>
    <row r="9" spans="1:9" x14ac:dyDescent="0.2">
      <c r="A9" s="8" t="s">
        <v>13</v>
      </c>
      <c r="B9" s="9">
        <f ca="1">'1yN90'!$S$11</f>
        <v>3.309582694840941</v>
      </c>
      <c r="C9" s="34">
        <f ca="1">'1yN90'!$T$11</f>
        <v>2.7217919297985125</v>
      </c>
      <c r="D9" s="34"/>
      <c r="E9" s="9">
        <f ca="1">'1yN90'!$U$11</f>
        <v>2.1551568778456058</v>
      </c>
      <c r="F9" s="9" t="e">
        <f>#REF!</f>
        <v>#REF!</v>
      </c>
      <c r="G9" s="34" t="e">
        <f>#REF!</f>
        <v>#REF!</v>
      </c>
      <c r="H9" s="34"/>
      <c r="I9" s="9" t="e">
        <f>#REF!</f>
        <v>#REF!</v>
      </c>
    </row>
    <row r="10" spans="1:9" x14ac:dyDescent="0.2">
      <c r="A10" s="8" t="s">
        <v>14</v>
      </c>
      <c r="B10" s="10">
        <f ca="1">'1yN90'!$S$12</f>
        <v>128.58879355454434</v>
      </c>
      <c r="C10" s="41">
        <f ca="1">'1yN90'!$T$12</f>
        <v>113.58879355454434</v>
      </c>
      <c r="D10" s="41"/>
      <c r="E10" s="11">
        <f ca="1">'1yN90'!$U$12</f>
        <v>98.588793554544338</v>
      </c>
      <c r="F10" s="10" t="e">
        <f>#REF!</f>
        <v>#REF!</v>
      </c>
      <c r="G10" s="41" t="e">
        <f>#REF!</f>
        <v>#REF!</v>
      </c>
      <c r="H10" s="41"/>
      <c r="I10" s="11" t="e">
        <f>#REF!</f>
        <v>#REF!</v>
      </c>
    </row>
    <row r="11" spans="1:9" x14ac:dyDescent="0.2">
      <c r="A11" s="6" t="s">
        <v>12</v>
      </c>
      <c r="B11" s="37" t="s">
        <v>37</v>
      </c>
      <c r="C11" s="38"/>
      <c r="D11" s="38"/>
      <c r="E11" s="39"/>
      <c r="F11" s="37" t="str">
        <f>B11</f>
        <v>1-Year W Current + E Wind/Waves</v>
      </c>
      <c r="G11" s="38"/>
      <c r="H11" s="38"/>
      <c r="I11" s="39"/>
    </row>
    <row r="12" spans="1:9" x14ac:dyDescent="0.2">
      <c r="A12" s="7" t="s">
        <v>25</v>
      </c>
      <c r="B12" s="40" t="s">
        <v>24</v>
      </c>
      <c r="C12" s="40"/>
      <c r="D12" s="40"/>
      <c r="E12" s="40"/>
      <c r="F12" s="40" t="s">
        <v>26</v>
      </c>
      <c r="G12" s="40"/>
      <c r="H12" s="40"/>
      <c r="I12" s="40"/>
    </row>
    <row r="13" spans="1:9" x14ac:dyDescent="0.2">
      <c r="A13" s="8" t="s">
        <v>15</v>
      </c>
      <c r="B13" s="34" t="s">
        <v>16</v>
      </c>
      <c r="C13" s="34"/>
      <c r="D13" s="34" t="s">
        <v>10</v>
      </c>
      <c r="E13" s="34"/>
      <c r="F13" s="34" t="s">
        <v>16</v>
      </c>
      <c r="G13" s="34"/>
      <c r="H13" s="34" t="s">
        <v>10</v>
      </c>
      <c r="I13" s="34"/>
    </row>
    <row r="14" spans="1:9" x14ac:dyDescent="0.2">
      <c r="A14" s="8" t="s">
        <v>17</v>
      </c>
      <c r="B14" s="34" t="e">
        <f>#REF!</f>
        <v>#REF!</v>
      </c>
      <c r="C14" s="34"/>
      <c r="D14" s="34" t="e">
        <f>#REF!</f>
        <v>#REF!</v>
      </c>
      <c r="E14" s="34"/>
      <c r="F14" s="34" t="e">
        <f>#REF!</f>
        <v>#REF!</v>
      </c>
      <c r="G14" s="34"/>
      <c r="H14" s="34" t="e">
        <f>#REF!</f>
        <v>#REF!</v>
      </c>
      <c r="I14" s="34"/>
    </row>
    <row r="15" spans="1:9" x14ac:dyDescent="0.2">
      <c r="A15" s="8" t="s">
        <v>18</v>
      </c>
      <c r="B15" s="34" t="e">
        <f>#REF!</f>
        <v>#REF!</v>
      </c>
      <c r="C15" s="34"/>
      <c r="D15" s="34" t="e">
        <f>#REF!</f>
        <v>#REF!</v>
      </c>
      <c r="E15" s="34"/>
      <c r="F15" s="34" t="e">
        <f>#REF!</f>
        <v>#REF!</v>
      </c>
      <c r="G15" s="34"/>
      <c r="H15" s="34" t="e">
        <f>#REF!</f>
        <v>#REF!</v>
      </c>
      <c r="I15" s="34"/>
    </row>
    <row r="16" spans="1:9" x14ac:dyDescent="0.2">
      <c r="A16" s="8" t="s">
        <v>19</v>
      </c>
      <c r="B16" s="34" t="e">
        <f>MIN(B14,D14)</f>
        <v>#REF!</v>
      </c>
      <c r="C16" s="34"/>
      <c r="D16" s="34"/>
      <c r="E16" s="34"/>
      <c r="F16" s="34" t="e">
        <f>MIN(F14,H14)</f>
        <v>#REF!</v>
      </c>
      <c r="G16" s="34"/>
      <c r="H16" s="34"/>
      <c r="I16" s="34"/>
    </row>
    <row r="17" spans="1:18" x14ac:dyDescent="0.2">
      <c r="A17" s="8" t="s">
        <v>20</v>
      </c>
      <c r="B17" s="35" t="e">
        <f>#REF!</f>
        <v>#REF!</v>
      </c>
      <c r="C17" s="35"/>
      <c r="D17" s="35"/>
      <c r="E17" s="35"/>
      <c r="F17" s="35" t="e">
        <f>#REF!</f>
        <v>#REF!</v>
      </c>
      <c r="G17" s="35"/>
      <c r="H17" s="35"/>
      <c r="I17" s="35"/>
    </row>
    <row r="18" spans="1:18" x14ac:dyDescent="0.2">
      <c r="A18" s="8" t="s">
        <v>11</v>
      </c>
      <c r="B18" s="9" t="s">
        <v>21</v>
      </c>
      <c r="C18" s="34" t="s">
        <v>22</v>
      </c>
      <c r="D18" s="34"/>
      <c r="E18" s="9" t="s">
        <v>23</v>
      </c>
      <c r="F18" s="9" t="s">
        <v>21</v>
      </c>
      <c r="G18" s="34" t="s">
        <v>22</v>
      </c>
      <c r="H18" s="34"/>
      <c r="I18" s="9" t="s">
        <v>23</v>
      </c>
    </row>
    <row r="19" spans="1:18" x14ac:dyDescent="0.2">
      <c r="A19" s="8" t="s">
        <v>13</v>
      </c>
      <c r="B19" s="9" t="e">
        <f>#REF!</f>
        <v>#REF!</v>
      </c>
      <c r="C19" s="34" t="e">
        <f>#REF!</f>
        <v>#REF!</v>
      </c>
      <c r="D19" s="34"/>
      <c r="E19" s="9" t="e">
        <f>#REF!</f>
        <v>#REF!</v>
      </c>
      <c r="F19" s="9" t="e">
        <f>#REF!</f>
        <v>#REF!</v>
      </c>
      <c r="G19" s="34" t="e">
        <f>#REF!</f>
        <v>#REF!</v>
      </c>
      <c r="H19" s="34"/>
      <c r="I19" s="9" t="e">
        <f>#REF!</f>
        <v>#REF!</v>
      </c>
    </row>
    <row r="20" spans="1:18" x14ac:dyDescent="0.2">
      <c r="A20" s="8" t="s">
        <v>14</v>
      </c>
      <c r="B20" s="10" t="e">
        <f>#REF!</f>
        <v>#REF!</v>
      </c>
      <c r="C20" s="35" t="e">
        <f>#REF!</f>
        <v>#REF!</v>
      </c>
      <c r="D20" s="35"/>
      <c r="E20" s="11" t="e">
        <f>#REF!</f>
        <v>#REF!</v>
      </c>
      <c r="F20" s="10" t="e">
        <f>#REF!</f>
        <v>#REF!</v>
      </c>
      <c r="G20" s="41" t="e">
        <f>#REF!</f>
        <v>#REF!</v>
      </c>
      <c r="H20" s="41"/>
      <c r="I20" s="11" t="e">
        <f>#REF!</f>
        <v>#REF!</v>
      </c>
    </row>
    <row r="21" spans="1:18" x14ac:dyDescent="0.2">
      <c r="A21" s="6" t="s">
        <v>12</v>
      </c>
      <c r="B21" s="40" t="s">
        <v>38</v>
      </c>
      <c r="C21" s="40"/>
      <c r="D21" s="40"/>
      <c r="E21" s="40"/>
      <c r="F21" s="40" t="str">
        <f>B21</f>
        <v>1-Year SW Bottom Current + NE Wind/Waves</v>
      </c>
      <c r="G21" s="40"/>
      <c r="H21" s="40"/>
      <c r="I21" s="40"/>
    </row>
    <row r="22" spans="1:18" x14ac:dyDescent="0.2">
      <c r="A22" s="7" t="s">
        <v>25</v>
      </c>
      <c r="B22" s="40" t="s">
        <v>24</v>
      </c>
      <c r="C22" s="40"/>
      <c r="D22" s="40"/>
      <c r="E22" s="40"/>
      <c r="F22" s="40" t="s">
        <v>26</v>
      </c>
      <c r="G22" s="40"/>
      <c r="H22" s="40"/>
      <c r="I22" s="40"/>
    </row>
    <row r="23" spans="1:18" x14ac:dyDescent="0.2">
      <c r="A23" s="8" t="s">
        <v>15</v>
      </c>
      <c r="B23" s="34" t="s">
        <v>16</v>
      </c>
      <c r="C23" s="34"/>
      <c r="D23" s="34" t="s">
        <v>10</v>
      </c>
      <c r="E23" s="34"/>
      <c r="F23" s="34" t="s">
        <v>16</v>
      </c>
      <c r="G23" s="34"/>
      <c r="H23" s="34" t="s">
        <v>10</v>
      </c>
      <c r="I23" s="34"/>
      <c r="L23" s="1" t="s">
        <v>28</v>
      </c>
    </row>
    <row r="24" spans="1:18" x14ac:dyDescent="0.2">
      <c r="A24" s="8" t="s">
        <v>17</v>
      </c>
      <c r="B24" s="34" t="e">
        <f>#REF!</f>
        <v>#REF!</v>
      </c>
      <c r="C24" s="34"/>
      <c r="D24" s="34" t="e">
        <f>#REF!</f>
        <v>#REF!</v>
      </c>
      <c r="E24" s="34"/>
      <c r="F24" s="34" t="e">
        <f>#REF!</f>
        <v>#REF!</v>
      </c>
      <c r="G24" s="34"/>
      <c r="H24" s="34" t="e">
        <f>#REF!</f>
        <v>#REF!</v>
      </c>
      <c r="I24" s="34"/>
    </row>
    <row r="25" spans="1:18" x14ac:dyDescent="0.2">
      <c r="A25" s="8" t="s">
        <v>18</v>
      </c>
      <c r="B25" s="34" t="e">
        <f>#REF!</f>
        <v>#REF!</v>
      </c>
      <c r="C25" s="34"/>
      <c r="D25" s="34" t="e">
        <f>#REF!</f>
        <v>#REF!</v>
      </c>
      <c r="E25" s="34"/>
      <c r="F25" s="34" t="e">
        <f>#REF!</f>
        <v>#REF!</v>
      </c>
      <c r="G25" s="34"/>
      <c r="H25" s="34" t="e">
        <f>#REF!</f>
        <v>#REF!</v>
      </c>
      <c r="I25" s="34"/>
    </row>
    <row r="26" spans="1:18" x14ac:dyDescent="0.2">
      <c r="A26" s="8" t="s">
        <v>19</v>
      </c>
      <c r="B26" s="34" t="e">
        <f>MIN(B24,D24)</f>
        <v>#REF!</v>
      </c>
      <c r="C26" s="34"/>
      <c r="D26" s="34"/>
      <c r="E26" s="34"/>
      <c r="F26" s="34" t="e">
        <f>MIN(F24,H24)</f>
        <v>#REF!</v>
      </c>
      <c r="G26" s="34"/>
      <c r="H26" s="34"/>
      <c r="I26" s="34"/>
    </row>
    <row r="27" spans="1:18" x14ac:dyDescent="0.2">
      <c r="A27" s="8" t="s">
        <v>20</v>
      </c>
      <c r="B27" s="35" t="e">
        <f>#REF!</f>
        <v>#REF!</v>
      </c>
      <c r="C27" s="35"/>
      <c r="D27" s="35"/>
      <c r="E27" s="35"/>
      <c r="F27" s="35" t="e">
        <f>#REF!</f>
        <v>#REF!</v>
      </c>
      <c r="G27" s="35"/>
      <c r="H27" s="35"/>
      <c r="I27" s="35"/>
    </row>
    <row r="28" spans="1:18" x14ac:dyDescent="0.2">
      <c r="A28" s="8" t="s">
        <v>11</v>
      </c>
      <c r="B28" s="9" t="s">
        <v>21</v>
      </c>
      <c r="C28" s="34" t="s">
        <v>22</v>
      </c>
      <c r="D28" s="34"/>
      <c r="E28" s="9" t="s">
        <v>23</v>
      </c>
      <c r="F28" s="9" t="s">
        <v>21</v>
      </c>
      <c r="G28" s="34" t="s">
        <v>22</v>
      </c>
      <c r="H28" s="34"/>
      <c r="I28" s="9" t="s">
        <v>23</v>
      </c>
    </row>
    <row r="29" spans="1:18" x14ac:dyDescent="0.2">
      <c r="A29" s="8" t="s">
        <v>13</v>
      </c>
      <c r="B29" s="9" t="e">
        <f>#REF!</f>
        <v>#REF!</v>
      </c>
      <c r="C29" s="34" t="e">
        <f>#REF!</f>
        <v>#REF!</v>
      </c>
      <c r="D29" s="34"/>
      <c r="E29" s="9" t="e">
        <f>#REF!</f>
        <v>#REF!</v>
      </c>
      <c r="F29" s="9" t="e">
        <f>#REF!</f>
        <v>#REF!</v>
      </c>
      <c r="G29" s="34" t="e">
        <f>#REF!</f>
        <v>#REF!</v>
      </c>
      <c r="H29" s="34"/>
      <c r="I29" s="9" t="e">
        <f>#REF!</f>
        <v>#REF!</v>
      </c>
    </row>
    <row r="30" spans="1:18" x14ac:dyDescent="0.2">
      <c r="A30" s="8" t="s">
        <v>14</v>
      </c>
      <c r="B30" s="10" t="e">
        <f>#REF!</f>
        <v>#REF!</v>
      </c>
      <c r="C30" s="35" t="e">
        <f>#REF!</f>
        <v>#REF!</v>
      </c>
      <c r="D30" s="35"/>
      <c r="E30" s="11" t="e">
        <f>#REF!</f>
        <v>#REF!</v>
      </c>
      <c r="F30" s="10" t="e">
        <f>#REF!</f>
        <v>#REF!</v>
      </c>
      <c r="G30" s="35" t="e">
        <f>#REF!</f>
        <v>#REF!</v>
      </c>
      <c r="H30" s="35"/>
      <c r="I30" s="11" t="e">
        <f>#REF!</f>
        <v>#REF!</v>
      </c>
    </row>
    <row r="31" spans="1:18" x14ac:dyDescent="0.2">
      <c r="A31" s="6"/>
      <c r="B31" s="37"/>
      <c r="C31" s="38"/>
      <c r="D31" s="38"/>
      <c r="E31" s="39"/>
      <c r="F31" s="37"/>
      <c r="G31" s="38"/>
      <c r="H31" s="38"/>
      <c r="I31" s="39"/>
    </row>
    <row r="32" spans="1:18" x14ac:dyDescent="0.2">
      <c r="A32" s="7"/>
      <c r="B32" s="40"/>
      <c r="C32" s="40"/>
      <c r="D32" s="40"/>
      <c r="E32" s="40"/>
      <c r="F32" s="40"/>
      <c r="G32" s="40"/>
      <c r="H32" s="40"/>
      <c r="I32" s="40"/>
      <c r="K32" s="4"/>
      <c r="L32" s="4"/>
      <c r="M32" s="4"/>
      <c r="N32" s="4"/>
      <c r="O32" s="4"/>
      <c r="P32" s="4"/>
      <c r="Q32" s="4"/>
      <c r="R32" s="4"/>
    </row>
    <row r="33" spans="1:18" x14ac:dyDescent="0.2">
      <c r="A33" s="8"/>
      <c r="B33" s="34"/>
      <c r="C33" s="34"/>
      <c r="D33" s="34"/>
      <c r="E33" s="34"/>
      <c r="F33" s="34"/>
      <c r="G33" s="34"/>
      <c r="H33" s="34"/>
      <c r="I33" s="34"/>
      <c r="K33" s="12"/>
      <c r="L33" s="36"/>
      <c r="M33" s="36"/>
      <c r="N33" s="36"/>
      <c r="O33" s="36"/>
      <c r="P33" s="36"/>
      <c r="Q33" s="36"/>
      <c r="R33" s="36"/>
    </row>
    <row r="34" spans="1:18" x14ac:dyDescent="0.2">
      <c r="A34" s="8"/>
      <c r="B34" s="34"/>
      <c r="C34" s="34"/>
      <c r="D34" s="34"/>
      <c r="E34" s="34"/>
      <c r="F34" s="34"/>
      <c r="G34" s="34"/>
      <c r="H34" s="34"/>
      <c r="I34" s="34"/>
      <c r="K34" s="4"/>
      <c r="L34" s="4"/>
      <c r="M34" s="4"/>
      <c r="N34" s="4"/>
      <c r="O34" s="4"/>
      <c r="P34" s="4"/>
      <c r="Q34" s="4"/>
      <c r="R34" s="4"/>
    </row>
    <row r="35" spans="1:18" x14ac:dyDescent="0.2">
      <c r="A35" s="8"/>
      <c r="B35" s="34"/>
      <c r="C35" s="34"/>
      <c r="D35" s="34"/>
      <c r="E35" s="34"/>
      <c r="F35" s="34"/>
      <c r="G35" s="34"/>
      <c r="H35" s="34"/>
      <c r="I35" s="34"/>
      <c r="K35" s="4"/>
      <c r="L35" s="4"/>
      <c r="M35" s="4"/>
      <c r="N35" s="4"/>
      <c r="O35" s="4"/>
      <c r="P35" s="4"/>
      <c r="Q35" s="4"/>
      <c r="R35" s="4"/>
    </row>
    <row r="36" spans="1:18" x14ac:dyDescent="0.2">
      <c r="A36" s="8"/>
      <c r="B36" s="34"/>
      <c r="C36" s="34"/>
      <c r="D36" s="34"/>
      <c r="E36" s="34"/>
      <c r="F36" s="34"/>
      <c r="G36" s="34"/>
      <c r="H36" s="34"/>
      <c r="I36" s="34"/>
      <c r="K36" s="4"/>
      <c r="L36" s="4"/>
      <c r="M36" s="4"/>
      <c r="N36" s="4"/>
      <c r="O36" s="4"/>
      <c r="P36" s="4"/>
      <c r="Q36" s="4"/>
      <c r="R36" s="4"/>
    </row>
    <row r="37" spans="1:18" x14ac:dyDescent="0.2">
      <c r="A37" s="8"/>
      <c r="B37" s="35"/>
      <c r="C37" s="35"/>
      <c r="D37" s="35"/>
      <c r="E37" s="35"/>
      <c r="F37" s="35"/>
      <c r="G37" s="35"/>
      <c r="H37" s="35"/>
      <c r="I37" s="35"/>
      <c r="K37" s="13"/>
      <c r="L37" s="4"/>
      <c r="M37" s="4"/>
      <c r="N37" s="4"/>
      <c r="O37" s="4"/>
      <c r="P37" s="4"/>
      <c r="Q37" s="4"/>
      <c r="R37" s="4"/>
    </row>
    <row r="38" spans="1:18" x14ac:dyDescent="0.2">
      <c r="A38" s="8"/>
      <c r="B38" s="9"/>
      <c r="C38" s="34"/>
      <c r="D38" s="34"/>
      <c r="E38" s="9"/>
      <c r="F38" s="9"/>
      <c r="G38" s="34"/>
      <c r="H38" s="34"/>
      <c r="I38" s="9"/>
      <c r="K38" s="13"/>
      <c r="L38" s="4"/>
      <c r="M38" s="4"/>
      <c r="N38" s="4"/>
      <c r="O38" s="4"/>
      <c r="P38" s="4"/>
      <c r="Q38" s="4"/>
      <c r="R38" s="4"/>
    </row>
    <row r="39" spans="1:18" x14ac:dyDescent="0.2">
      <c r="A39" s="8"/>
      <c r="B39" s="9"/>
      <c r="C39" s="34"/>
      <c r="D39" s="34"/>
      <c r="E39" s="9"/>
      <c r="F39" s="9"/>
      <c r="G39" s="34"/>
      <c r="H39" s="34"/>
      <c r="I39" s="9"/>
      <c r="K39" s="4"/>
      <c r="L39" s="4"/>
      <c r="M39" s="4"/>
      <c r="N39" s="4"/>
      <c r="O39" s="4"/>
      <c r="P39" s="4"/>
      <c r="Q39" s="4"/>
      <c r="R39" s="4"/>
    </row>
    <row r="40" spans="1:18" x14ac:dyDescent="0.2">
      <c r="A40" s="8"/>
      <c r="B40" s="10"/>
      <c r="C40" s="35"/>
      <c r="D40" s="35"/>
      <c r="E40" s="10"/>
      <c r="F40" s="10"/>
      <c r="G40" s="35"/>
      <c r="H40" s="35"/>
      <c r="I40" s="10"/>
      <c r="K40" s="4"/>
      <c r="L40" s="4"/>
      <c r="M40" s="4"/>
      <c r="N40" s="4"/>
      <c r="O40" s="4"/>
      <c r="P40" s="4"/>
      <c r="Q40" s="4"/>
      <c r="R40" s="4"/>
    </row>
    <row r="41" spans="1:18" x14ac:dyDescent="0.2">
      <c r="A41" s="6"/>
      <c r="B41" s="40"/>
      <c r="C41" s="40"/>
      <c r="D41" s="40"/>
      <c r="E41" s="40"/>
      <c r="F41" s="40"/>
      <c r="G41" s="40"/>
      <c r="H41" s="40"/>
      <c r="I41" s="40"/>
    </row>
    <row r="42" spans="1:18" x14ac:dyDescent="0.2">
      <c r="A42" s="7"/>
      <c r="B42" s="40"/>
      <c r="C42" s="40"/>
      <c r="D42" s="40"/>
      <c r="E42" s="40"/>
      <c r="F42" s="40"/>
      <c r="G42" s="40"/>
      <c r="H42" s="40"/>
      <c r="I42" s="40"/>
      <c r="K42" s="4"/>
      <c r="L42" s="4"/>
      <c r="M42" s="4"/>
      <c r="N42" s="4"/>
      <c r="O42" s="4"/>
      <c r="P42" s="4"/>
      <c r="Q42" s="4"/>
      <c r="R42" s="4"/>
    </row>
    <row r="43" spans="1:18" x14ac:dyDescent="0.2">
      <c r="A43" s="8"/>
      <c r="B43" s="34"/>
      <c r="C43" s="34"/>
      <c r="D43" s="34"/>
      <c r="E43" s="34"/>
      <c r="F43" s="34"/>
      <c r="G43" s="34"/>
      <c r="H43" s="34"/>
      <c r="I43" s="34"/>
      <c r="K43" s="12"/>
      <c r="L43" s="36"/>
      <c r="M43" s="36"/>
      <c r="N43" s="36"/>
      <c r="O43" s="36"/>
      <c r="P43" s="36"/>
      <c r="Q43" s="36"/>
      <c r="R43" s="36"/>
    </row>
    <row r="44" spans="1:18" x14ac:dyDescent="0.2">
      <c r="A44" s="8"/>
      <c r="B44" s="34"/>
      <c r="C44" s="34"/>
      <c r="D44" s="34"/>
      <c r="E44" s="34"/>
      <c r="F44" s="34"/>
      <c r="G44" s="34"/>
      <c r="H44" s="34"/>
      <c r="I44" s="34"/>
      <c r="K44" s="4"/>
      <c r="L44" s="4"/>
      <c r="M44" s="4"/>
      <c r="N44" s="4"/>
      <c r="O44" s="4"/>
      <c r="P44" s="4"/>
      <c r="Q44" s="4"/>
      <c r="R44" s="4"/>
    </row>
    <row r="45" spans="1:18" x14ac:dyDescent="0.2">
      <c r="A45" s="8"/>
      <c r="B45" s="34"/>
      <c r="C45" s="34"/>
      <c r="D45" s="34"/>
      <c r="E45" s="34"/>
      <c r="F45" s="34"/>
      <c r="G45" s="34"/>
      <c r="H45" s="34"/>
      <c r="I45" s="34"/>
      <c r="K45" s="4"/>
      <c r="L45" s="4"/>
      <c r="M45" s="4"/>
      <c r="N45" s="4"/>
      <c r="O45" s="4"/>
      <c r="P45" s="4"/>
      <c r="Q45" s="4"/>
      <c r="R45" s="4"/>
    </row>
    <row r="46" spans="1:18" x14ac:dyDescent="0.2">
      <c r="A46" s="8"/>
      <c r="B46" s="34"/>
      <c r="C46" s="34"/>
      <c r="D46" s="34"/>
      <c r="E46" s="34"/>
      <c r="F46" s="34"/>
      <c r="G46" s="34"/>
      <c r="H46" s="34"/>
      <c r="I46" s="34"/>
      <c r="K46" s="4"/>
      <c r="L46" s="4"/>
      <c r="M46" s="4"/>
      <c r="N46" s="4"/>
      <c r="O46" s="4"/>
      <c r="P46" s="4"/>
      <c r="Q46" s="4"/>
      <c r="R46" s="4"/>
    </row>
    <row r="47" spans="1:18" x14ac:dyDescent="0.2">
      <c r="A47" s="8"/>
      <c r="B47" s="35"/>
      <c r="C47" s="35"/>
      <c r="D47" s="35"/>
      <c r="E47" s="35"/>
      <c r="F47" s="35"/>
      <c r="G47" s="35"/>
      <c r="H47" s="35"/>
      <c r="I47" s="35"/>
      <c r="K47" s="13"/>
      <c r="L47" s="4"/>
      <c r="M47" s="4"/>
      <c r="N47" s="4"/>
      <c r="O47" s="4"/>
      <c r="P47" s="4"/>
      <c r="Q47" s="4"/>
      <c r="R47" s="4"/>
    </row>
    <row r="48" spans="1:18" x14ac:dyDescent="0.2">
      <c r="A48" s="8"/>
      <c r="B48" s="9"/>
      <c r="C48" s="34"/>
      <c r="D48" s="34"/>
      <c r="E48" s="9"/>
      <c r="F48" s="9"/>
      <c r="G48" s="34"/>
      <c r="H48" s="34"/>
      <c r="I48" s="9"/>
      <c r="K48" s="13"/>
      <c r="L48" s="4"/>
      <c r="M48" s="4"/>
      <c r="N48" s="4"/>
      <c r="O48" s="4"/>
      <c r="P48" s="4"/>
      <c r="Q48" s="4"/>
      <c r="R48" s="4"/>
    </row>
    <row r="49" spans="1:18" x14ac:dyDescent="0.2">
      <c r="A49" s="8"/>
      <c r="B49" s="9"/>
      <c r="C49" s="34"/>
      <c r="D49" s="34"/>
      <c r="E49" s="9"/>
      <c r="F49" s="9"/>
      <c r="G49" s="34"/>
      <c r="H49" s="34"/>
      <c r="I49" s="9"/>
      <c r="K49" s="4"/>
      <c r="L49" s="4"/>
      <c r="M49" s="4"/>
      <c r="N49" s="4"/>
      <c r="O49" s="4"/>
      <c r="P49" s="4"/>
      <c r="Q49" s="4"/>
      <c r="R49" s="4"/>
    </row>
    <row r="50" spans="1:18" x14ac:dyDescent="0.2">
      <c r="A50" s="8"/>
      <c r="B50" s="10"/>
      <c r="C50" s="35"/>
      <c r="D50" s="35"/>
      <c r="E50" s="10"/>
      <c r="F50" s="10"/>
      <c r="G50" s="35"/>
      <c r="H50" s="35"/>
      <c r="I50" s="11"/>
      <c r="K50" s="4"/>
      <c r="L50" s="4"/>
      <c r="M50" s="4"/>
      <c r="N50" s="4"/>
      <c r="O50" s="4"/>
      <c r="P50" s="4"/>
      <c r="Q50" s="4"/>
      <c r="R50" s="4"/>
    </row>
    <row r="51" spans="1:18" x14ac:dyDescent="0.2">
      <c r="A51" s="6"/>
      <c r="B51" s="37"/>
      <c r="C51" s="38"/>
      <c r="D51" s="38"/>
      <c r="E51" s="39"/>
      <c r="F51" s="37"/>
      <c r="G51" s="38"/>
      <c r="H51" s="38"/>
      <c r="I51" s="39"/>
    </row>
    <row r="52" spans="1:18" x14ac:dyDescent="0.2">
      <c r="A52" s="7"/>
      <c r="B52" s="40"/>
      <c r="C52" s="40"/>
      <c r="D52" s="40"/>
      <c r="E52" s="40"/>
      <c r="F52" s="40"/>
      <c r="G52" s="40"/>
      <c r="H52" s="40"/>
      <c r="I52" s="40"/>
      <c r="K52" s="4"/>
      <c r="L52" s="4"/>
      <c r="M52" s="4"/>
      <c r="N52" s="4"/>
      <c r="O52" s="4"/>
      <c r="P52" s="4"/>
      <c r="Q52" s="4"/>
      <c r="R52" s="4"/>
    </row>
    <row r="53" spans="1:18" x14ac:dyDescent="0.2">
      <c r="A53" s="8"/>
      <c r="B53" s="34"/>
      <c r="C53" s="34"/>
      <c r="D53" s="34"/>
      <c r="E53" s="34"/>
      <c r="F53" s="34"/>
      <c r="G53" s="34"/>
      <c r="H53" s="34"/>
      <c r="I53" s="34"/>
      <c r="K53" s="12"/>
      <c r="L53" s="36"/>
      <c r="M53" s="36"/>
      <c r="N53" s="36"/>
      <c r="O53" s="36"/>
      <c r="P53" s="36"/>
      <c r="Q53" s="36"/>
      <c r="R53" s="36"/>
    </row>
    <row r="54" spans="1:18" x14ac:dyDescent="0.2">
      <c r="A54" s="8"/>
      <c r="B54" s="34"/>
      <c r="C54" s="34"/>
      <c r="D54" s="34"/>
      <c r="E54" s="34"/>
      <c r="F54" s="34"/>
      <c r="G54" s="34"/>
      <c r="H54" s="34"/>
      <c r="I54" s="34"/>
      <c r="K54" s="4"/>
      <c r="L54" s="4"/>
      <c r="M54" s="4"/>
      <c r="N54" s="4"/>
      <c r="O54" s="4"/>
      <c r="P54" s="4"/>
      <c r="Q54" s="4"/>
      <c r="R54" s="4"/>
    </row>
    <row r="55" spans="1:18" x14ac:dyDescent="0.2">
      <c r="A55" s="8"/>
      <c r="B55" s="34"/>
      <c r="C55" s="34"/>
      <c r="D55" s="34"/>
      <c r="E55" s="34"/>
      <c r="F55" s="34"/>
      <c r="G55" s="34"/>
      <c r="H55" s="34"/>
      <c r="I55" s="34"/>
      <c r="K55" s="4"/>
      <c r="L55" s="4"/>
      <c r="M55" s="4"/>
      <c r="N55" s="4"/>
      <c r="O55" s="4"/>
      <c r="P55" s="4"/>
      <c r="Q55" s="4"/>
      <c r="R55" s="4"/>
    </row>
    <row r="56" spans="1:18" x14ac:dyDescent="0.2">
      <c r="A56" s="8"/>
      <c r="B56" s="34"/>
      <c r="C56" s="34"/>
      <c r="D56" s="34"/>
      <c r="E56" s="34"/>
      <c r="F56" s="34"/>
      <c r="G56" s="34"/>
      <c r="H56" s="34"/>
      <c r="I56" s="34"/>
      <c r="K56" s="4"/>
      <c r="L56" s="4"/>
      <c r="M56" s="4"/>
      <c r="N56" s="4"/>
      <c r="O56" s="4"/>
      <c r="P56" s="4"/>
      <c r="Q56" s="4"/>
      <c r="R56" s="4"/>
    </row>
    <row r="57" spans="1:18" x14ac:dyDescent="0.2">
      <c r="A57" s="8"/>
      <c r="B57" s="35"/>
      <c r="C57" s="35"/>
      <c r="D57" s="35"/>
      <c r="E57" s="35"/>
      <c r="F57" s="35"/>
      <c r="G57" s="35"/>
      <c r="H57" s="35"/>
      <c r="I57" s="35"/>
      <c r="K57" s="13"/>
      <c r="L57" s="4"/>
      <c r="M57" s="4"/>
      <c r="N57" s="4"/>
      <c r="O57" s="4"/>
      <c r="P57" s="4"/>
      <c r="Q57" s="4"/>
      <c r="R57" s="4"/>
    </row>
    <row r="58" spans="1:18" x14ac:dyDescent="0.2">
      <c r="A58" s="8"/>
      <c r="B58" s="9"/>
      <c r="C58" s="34"/>
      <c r="D58" s="34"/>
      <c r="E58" s="9"/>
      <c r="F58" s="9"/>
      <c r="G58" s="34"/>
      <c r="H58" s="34"/>
      <c r="I58" s="9"/>
      <c r="K58" s="13"/>
      <c r="L58" s="4"/>
      <c r="M58" s="4"/>
      <c r="N58" s="4"/>
      <c r="O58" s="4"/>
      <c r="P58" s="4"/>
      <c r="Q58" s="4"/>
      <c r="R58" s="4"/>
    </row>
    <row r="59" spans="1:18" x14ac:dyDescent="0.2">
      <c r="A59" s="8"/>
      <c r="B59" s="9"/>
      <c r="C59" s="34"/>
      <c r="D59" s="34"/>
      <c r="E59" s="9"/>
      <c r="F59" s="9"/>
      <c r="G59" s="34"/>
      <c r="H59" s="34"/>
      <c r="I59" s="9"/>
      <c r="K59" s="4"/>
      <c r="L59" s="4"/>
      <c r="M59" s="4"/>
      <c r="N59" s="4"/>
      <c r="O59" s="4"/>
      <c r="P59" s="4"/>
      <c r="Q59" s="4"/>
      <c r="R59" s="4"/>
    </row>
    <row r="60" spans="1:18" x14ac:dyDescent="0.2">
      <c r="A60" s="8"/>
      <c r="B60" s="10"/>
      <c r="C60" s="35"/>
      <c r="D60" s="35"/>
      <c r="E60" s="10"/>
      <c r="F60" s="10"/>
      <c r="G60" s="35"/>
      <c r="H60" s="35"/>
      <c r="I60" s="10"/>
      <c r="K60" s="4"/>
      <c r="L60" s="4"/>
      <c r="M60" s="4"/>
      <c r="N60" s="4"/>
      <c r="O60" s="4"/>
      <c r="P60" s="4"/>
      <c r="Q60" s="4"/>
      <c r="R60" s="4"/>
    </row>
    <row r="61" spans="1:18" x14ac:dyDescent="0.2">
      <c r="K61" s="4"/>
      <c r="L61" s="4"/>
      <c r="M61" s="4"/>
      <c r="N61" s="4"/>
      <c r="O61" s="4"/>
      <c r="P61" s="4"/>
      <c r="Q61" s="4"/>
      <c r="R61" s="4"/>
    </row>
    <row r="65" spans="7:16" x14ac:dyDescent="0.2">
      <c r="G65" s="12"/>
      <c r="H65" s="36"/>
      <c r="I65" s="36"/>
      <c r="J65" s="36"/>
      <c r="K65" s="36"/>
      <c r="L65" s="36"/>
      <c r="M65" s="36"/>
      <c r="N65" s="36"/>
      <c r="O65" s="36"/>
      <c r="P65" s="4"/>
    </row>
    <row r="66" spans="7:16" x14ac:dyDescent="0.2">
      <c r="G66" s="4"/>
      <c r="H66" s="36"/>
      <c r="I66" s="36"/>
      <c r="J66" s="36"/>
      <c r="K66" s="36"/>
      <c r="L66" s="36"/>
      <c r="M66" s="36"/>
      <c r="N66" s="36"/>
      <c r="O66" s="36"/>
      <c r="P66" s="4"/>
    </row>
    <row r="67" spans="7:16" x14ac:dyDescent="0.2">
      <c r="G67" s="14"/>
      <c r="H67" s="42"/>
      <c r="I67" s="42"/>
      <c r="J67" s="42"/>
      <c r="K67" s="42"/>
      <c r="L67" s="42"/>
      <c r="M67" s="42"/>
      <c r="N67" s="42"/>
      <c r="O67" s="42"/>
      <c r="P67" s="4"/>
    </row>
    <row r="68" spans="7:16" x14ac:dyDescent="0.2">
      <c r="G68" s="14"/>
      <c r="H68" s="42"/>
      <c r="I68" s="42"/>
      <c r="J68" s="42"/>
      <c r="K68" s="42"/>
      <c r="L68" s="42"/>
      <c r="M68" s="42"/>
      <c r="N68" s="42"/>
      <c r="O68" s="42"/>
      <c r="P68" s="4"/>
    </row>
    <row r="69" spans="7:16" x14ac:dyDescent="0.2">
      <c r="G69" s="14"/>
      <c r="H69" s="42"/>
      <c r="I69" s="42"/>
      <c r="J69" s="42"/>
      <c r="K69" s="42"/>
      <c r="L69" s="42"/>
      <c r="M69" s="42"/>
      <c r="N69" s="42"/>
      <c r="O69" s="42"/>
      <c r="P69" s="4"/>
    </row>
    <row r="70" spans="7:16" x14ac:dyDescent="0.2">
      <c r="G70" s="14"/>
      <c r="H70" s="42"/>
      <c r="I70" s="42"/>
      <c r="J70" s="42"/>
      <c r="K70" s="42"/>
      <c r="L70" s="42"/>
      <c r="M70" s="42"/>
      <c r="N70" s="42"/>
      <c r="O70" s="42"/>
      <c r="P70" s="4"/>
    </row>
    <row r="71" spans="7:16" x14ac:dyDescent="0.2">
      <c r="G71" s="14"/>
      <c r="H71" s="42"/>
      <c r="I71" s="42"/>
      <c r="J71" s="42"/>
      <c r="K71" s="42"/>
      <c r="L71" s="42"/>
      <c r="M71" s="42"/>
      <c r="N71" s="42"/>
      <c r="O71" s="42"/>
      <c r="P71" s="4"/>
    </row>
    <row r="72" spans="7:16" x14ac:dyDescent="0.2">
      <c r="G72" s="14"/>
      <c r="H72" s="13"/>
      <c r="I72" s="42"/>
      <c r="J72" s="42"/>
      <c r="K72" s="13"/>
      <c r="L72" s="13"/>
      <c r="M72" s="42"/>
      <c r="N72" s="42"/>
      <c r="O72" s="13"/>
      <c r="P72" s="4"/>
    </row>
    <row r="73" spans="7:16" x14ac:dyDescent="0.2">
      <c r="G73" s="14"/>
      <c r="H73" s="13"/>
      <c r="I73" s="42"/>
      <c r="J73" s="42"/>
      <c r="K73" s="13"/>
      <c r="L73" s="13"/>
      <c r="M73" s="42"/>
      <c r="N73" s="42"/>
      <c r="O73" s="13"/>
      <c r="P73" s="4"/>
    </row>
    <row r="74" spans="7:16" x14ac:dyDescent="0.2">
      <c r="G74" s="14"/>
      <c r="H74" s="13"/>
      <c r="I74" s="42"/>
      <c r="J74" s="42"/>
      <c r="K74" s="13"/>
      <c r="L74" s="13"/>
      <c r="M74" s="42"/>
      <c r="N74" s="42"/>
      <c r="O74" s="13"/>
      <c r="P74" s="4"/>
    </row>
  </sheetData>
  <mergeCells count="184">
    <mergeCell ref="I74:J74"/>
    <mergeCell ref="M74:N74"/>
    <mergeCell ref="L33:R33"/>
    <mergeCell ref="B1:E1"/>
    <mergeCell ref="F1:I1"/>
    <mergeCell ref="B21:E21"/>
    <mergeCell ref="F21:I21"/>
    <mergeCell ref="B31:E31"/>
    <mergeCell ref="F31:I31"/>
    <mergeCell ref="H71:K71"/>
    <mergeCell ref="L71:O71"/>
    <mergeCell ref="I72:J72"/>
    <mergeCell ref="M72:N72"/>
    <mergeCell ref="I73:J73"/>
    <mergeCell ref="M73:N73"/>
    <mergeCell ref="H69:I69"/>
    <mergeCell ref="J69:K69"/>
    <mergeCell ref="L69:M69"/>
    <mergeCell ref="N69:O69"/>
    <mergeCell ref="H70:K70"/>
    <mergeCell ref="L70:O70"/>
    <mergeCell ref="H67:I67"/>
    <mergeCell ref="J67:K67"/>
    <mergeCell ref="L67:M67"/>
    <mergeCell ref="N67:O67"/>
    <mergeCell ref="H68:I68"/>
    <mergeCell ref="J68:K68"/>
    <mergeCell ref="L68:M68"/>
    <mergeCell ref="N68:O68"/>
    <mergeCell ref="B2:E2"/>
    <mergeCell ref="F2:I2"/>
    <mergeCell ref="H65:O65"/>
    <mergeCell ref="H66:K66"/>
    <mergeCell ref="L66:O66"/>
    <mergeCell ref="C39:D39"/>
    <mergeCell ref="G39:H39"/>
    <mergeCell ref="C40:D40"/>
    <mergeCell ref="G40:H40"/>
    <mergeCell ref="B36:E36"/>
    <mergeCell ref="F36:I36"/>
    <mergeCell ref="B37:E37"/>
    <mergeCell ref="F37:I37"/>
    <mergeCell ref="C38:D38"/>
    <mergeCell ref="G38:H38"/>
    <mergeCell ref="B34:C34"/>
    <mergeCell ref="D34:E34"/>
    <mergeCell ref="F34:G34"/>
    <mergeCell ref="H34:I34"/>
    <mergeCell ref="B35:C35"/>
    <mergeCell ref="D35:E35"/>
    <mergeCell ref="F35:G35"/>
    <mergeCell ref="H35:I35"/>
    <mergeCell ref="C30:D30"/>
    <mergeCell ref="G30:H30"/>
    <mergeCell ref="B32:E32"/>
    <mergeCell ref="F32:I32"/>
    <mergeCell ref="B33:C33"/>
    <mergeCell ref="D33:E33"/>
    <mergeCell ref="F33:G33"/>
    <mergeCell ref="H33:I33"/>
    <mergeCell ref="B27:E27"/>
    <mergeCell ref="F27:I27"/>
    <mergeCell ref="C28:D28"/>
    <mergeCell ref="G28:H28"/>
    <mergeCell ref="C29:D29"/>
    <mergeCell ref="G29:H29"/>
    <mergeCell ref="B25:C25"/>
    <mergeCell ref="D25:E25"/>
    <mergeCell ref="F25:G25"/>
    <mergeCell ref="H25:I25"/>
    <mergeCell ref="B26:E26"/>
    <mergeCell ref="F26:I26"/>
    <mergeCell ref="B23:C23"/>
    <mergeCell ref="D23:E23"/>
    <mergeCell ref="F23:G23"/>
    <mergeCell ref="H23:I23"/>
    <mergeCell ref="B24:C24"/>
    <mergeCell ref="D24:E24"/>
    <mergeCell ref="F24:G24"/>
    <mergeCell ref="H24:I24"/>
    <mergeCell ref="C19:D19"/>
    <mergeCell ref="G19:H19"/>
    <mergeCell ref="C20:D20"/>
    <mergeCell ref="G20:H20"/>
    <mergeCell ref="B22:E22"/>
    <mergeCell ref="F22:I22"/>
    <mergeCell ref="B17:E17"/>
    <mergeCell ref="F17:I17"/>
    <mergeCell ref="C18:D18"/>
    <mergeCell ref="G18:H18"/>
    <mergeCell ref="B14:C14"/>
    <mergeCell ref="D14:E14"/>
    <mergeCell ref="F14:G14"/>
    <mergeCell ref="H14:I14"/>
    <mergeCell ref="B15:C15"/>
    <mergeCell ref="D15:E15"/>
    <mergeCell ref="F15:G15"/>
    <mergeCell ref="H15:I15"/>
    <mergeCell ref="B12:E12"/>
    <mergeCell ref="F12:I12"/>
    <mergeCell ref="B13:C13"/>
    <mergeCell ref="D13:E13"/>
    <mergeCell ref="F13:G13"/>
    <mergeCell ref="H13:I13"/>
    <mergeCell ref="B11:E11"/>
    <mergeCell ref="F11:I11"/>
    <mergeCell ref="B16:E16"/>
    <mergeCell ref="F16:I16"/>
    <mergeCell ref="B3:C3"/>
    <mergeCell ref="D3:E3"/>
    <mergeCell ref="F3:G3"/>
    <mergeCell ref="H3:I3"/>
    <mergeCell ref="B4:C4"/>
    <mergeCell ref="D4:E4"/>
    <mergeCell ref="F4:G4"/>
    <mergeCell ref="H4:I4"/>
    <mergeCell ref="B41:E41"/>
    <mergeCell ref="F41:I41"/>
    <mergeCell ref="B7:E7"/>
    <mergeCell ref="F7:I7"/>
    <mergeCell ref="C8:D8"/>
    <mergeCell ref="G8:H8"/>
    <mergeCell ref="C9:D9"/>
    <mergeCell ref="G9:H9"/>
    <mergeCell ref="B5:C5"/>
    <mergeCell ref="D5:E5"/>
    <mergeCell ref="F5:G5"/>
    <mergeCell ref="H5:I5"/>
    <mergeCell ref="B6:E6"/>
    <mergeCell ref="F6:I6"/>
    <mergeCell ref="C10:D10"/>
    <mergeCell ref="G10:H10"/>
    <mergeCell ref="B42:E42"/>
    <mergeCell ref="F42:I42"/>
    <mergeCell ref="B43:C43"/>
    <mergeCell ref="D43:E43"/>
    <mergeCell ref="F43:G43"/>
    <mergeCell ref="H43:I43"/>
    <mergeCell ref="L43:R43"/>
    <mergeCell ref="B44:C44"/>
    <mergeCell ref="D44:E44"/>
    <mergeCell ref="F44:G44"/>
    <mergeCell ref="H44:I44"/>
    <mergeCell ref="B45:C45"/>
    <mergeCell ref="D45:E45"/>
    <mergeCell ref="F45:G45"/>
    <mergeCell ref="H45:I45"/>
    <mergeCell ref="B46:E46"/>
    <mergeCell ref="F46:I46"/>
    <mergeCell ref="B47:E47"/>
    <mergeCell ref="F47:I47"/>
    <mergeCell ref="C48:D48"/>
    <mergeCell ref="G48:H48"/>
    <mergeCell ref="C49:D49"/>
    <mergeCell ref="G49:H49"/>
    <mergeCell ref="C50:D50"/>
    <mergeCell ref="G50:H50"/>
    <mergeCell ref="B51:E51"/>
    <mergeCell ref="F51:I51"/>
    <mergeCell ref="B52:E52"/>
    <mergeCell ref="F52:I52"/>
    <mergeCell ref="B53:C53"/>
    <mergeCell ref="D53:E53"/>
    <mergeCell ref="F53:G53"/>
    <mergeCell ref="H53:I53"/>
    <mergeCell ref="L53:R53"/>
    <mergeCell ref="B54:C54"/>
    <mergeCell ref="D54:E54"/>
    <mergeCell ref="F54:G54"/>
    <mergeCell ref="H54:I54"/>
    <mergeCell ref="B55:C55"/>
    <mergeCell ref="D55:E55"/>
    <mergeCell ref="F55:G55"/>
    <mergeCell ref="H55:I55"/>
    <mergeCell ref="C59:D59"/>
    <mergeCell ref="G59:H59"/>
    <mergeCell ref="C60:D60"/>
    <mergeCell ref="G60:H60"/>
    <mergeCell ref="B56:E56"/>
    <mergeCell ref="F56:I56"/>
    <mergeCell ref="B57:E57"/>
    <mergeCell ref="F57:I57"/>
    <mergeCell ref="C58:D58"/>
    <mergeCell ref="G58:H58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"/>
  <sheetViews>
    <sheetView workbookViewId="0">
      <selection activeCell="A3" sqref="A3"/>
    </sheetView>
  </sheetViews>
  <sheetFormatPr defaultRowHeight="12.75" x14ac:dyDescent="0.2"/>
  <cols>
    <col min="1" max="1" width="49.7109375" style="1" bestFit="1" customWidth="1"/>
    <col min="2" max="7" width="12.7109375" style="1" customWidth="1"/>
    <col min="8" max="16384" width="9.140625" style="1"/>
  </cols>
  <sheetData>
    <row r="1" spans="1:7" x14ac:dyDescent="0.2">
      <c r="A1" s="16" t="s">
        <v>11</v>
      </c>
      <c r="B1" s="17" t="s">
        <v>27</v>
      </c>
      <c r="C1" s="17" t="s">
        <v>22</v>
      </c>
      <c r="D1" s="17" t="s">
        <v>23</v>
      </c>
      <c r="E1" s="17" t="s">
        <v>27</v>
      </c>
      <c r="F1" s="17" t="s">
        <v>22</v>
      </c>
      <c r="G1" s="17" t="s">
        <v>23</v>
      </c>
    </row>
    <row r="2" spans="1:7" x14ac:dyDescent="0.2">
      <c r="A2" s="16" t="s">
        <v>12</v>
      </c>
      <c r="B2" s="43" t="s">
        <v>13</v>
      </c>
      <c r="C2" s="43"/>
      <c r="D2" s="43"/>
      <c r="E2" s="43" t="s">
        <v>14</v>
      </c>
      <c r="F2" s="43"/>
      <c r="G2" s="43"/>
    </row>
    <row r="3" spans="1:7" x14ac:dyDescent="0.2">
      <c r="A3" s="16" t="str">
        <f>recircle!B1 &amp; " " &amp;recircle!B2</f>
        <v>1-Year North Current + SW Wind/Waves Beam Sea (90°)</v>
      </c>
      <c r="B3" s="18">
        <f ca="1">recircle!B9</f>
        <v>3.309582694840941</v>
      </c>
      <c r="C3" s="18">
        <f ca="1">recircle!C9</f>
        <v>2.7217919297985125</v>
      </c>
      <c r="D3" s="18">
        <f ca="1">recircle!E9</f>
        <v>2.1551568778456058</v>
      </c>
      <c r="E3" s="19">
        <f ca="1">recircle!B10</f>
        <v>128.58879355454434</v>
      </c>
      <c r="F3" s="19">
        <f ca="1">recircle!C10</f>
        <v>113.58879355454434</v>
      </c>
      <c r="G3" s="19">
        <f ca="1">recircle!E10</f>
        <v>98.588793554544338</v>
      </c>
    </row>
    <row r="4" spans="1:7" x14ac:dyDescent="0.2">
      <c r="A4" s="16" t="str">
        <f>recircle!B11 &amp; " " &amp;recircle!B12</f>
        <v>1-Year W Current + E Wind/Waves Beam Sea (90°)</v>
      </c>
      <c r="B4" s="18" t="e">
        <f>recircle!B19</f>
        <v>#REF!</v>
      </c>
      <c r="C4" s="18" t="e">
        <f>recircle!C19</f>
        <v>#REF!</v>
      </c>
      <c r="D4" s="18" t="e">
        <f>recircle!E19</f>
        <v>#REF!</v>
      </c>
      <c r="E4" s="19" t="e">
        <f>recircle!B20</f>
        <v>#REF!</v>
      </c>
      <c r="F4" s="19" t="e">
        <f>recircle!C20</f>
        <v>#REF!</v>
      </c>
      <c r="G4" s="19" t="e">
        <f>recircle!E20</f>
        <v>#REF!</v>
      </c>
    </row>
    <row r="5" spans="1:7" x14ac:dyDescent="0.2">
      <c r="A5" s="16" t="str">
        <f>recircle!B21 &amp; " " &amp;recircle!B22</f>
        <v>1-Year SW Bottom Current + NE Wind/Waves Beam Sea (90°)</v>
      </c>
      <c r="B5" s="18" t="e">
        <f>recircle!B29</f>
        <v>#REF!</v>
      </c>
      <c r="C5" s="18" t="e">
        <f>recircle!C29</f>
        <v>#REF!</v>
      </c>
      <c r="D5" s="18" t="e">
        <f>recircle!E29</f>
        <v>#REF!</v>
      </c>
      <c r="E5" s="19" t="e">
        <f>recircle!B30</f>
        <v>#REF!</v>
      </c>
      <c r="F5" s="19" t="e">
        <f>recircle!C30</f>
        <v>#REF!</v>
      </c>
      <c r="G5" s="19" t="e">
        <f>recircle!E30</f>
        <v>#REF!</v>
      </c>
    </row>
    <row r="6" spans="1:7" x14ac:dyDescent="0.2">
      <c r="A6" s="16" t="str">
        <f>recircle!F1&amp; " " &amp; recircle!F2</f>
        <v>1-Year North Current + SW Wind/Waves Head Sea (180°)</v>
      </c>
      <c r="B6" s="18" t="e">
        <f>recircle!F9</f>
        <v>#REF!</v>
      </c>
      <c r="C6" s="18" t="e">
        <f>recircle!G9</f>
        <v>#REF!</v>
      </c>
      <c r="D6" s="18" t="e">
        <f>recircle!I9</f>
        <v>#REF!</v>
      </c>
      <c r="E6" s="19" t="e">
        <f>recircle!F10</f>
        <v>#REF!</v>
      </c>
      <c r="F6" s="19" t="e">
        <f>recircle!G10</f>
        <v>#REF!</v>
      </c>
      <c r="G6" s="19" t="e">
        <f>recircle!I10</f>
        <v>#REF!</v>
      </c>
    </row>
    <row r="7" spans="1:7" x14ac:dyDescent="0.2">
      <c r="A7" s="16" t="str">
        <f>recircle!F11&amp; " " &amp; recircle!F12</f>
        <v>1-Year W Current + E Wind/Waves Head Sea (180°)</v>
      </c>
      <c r="B7" s="18" t="e">
        <f>recircle!F19</f>
        <v>#REF!</v>
      </c>
      <c r="C7" s="18" t="e">
        <f>recircle!G19</f>
        <v>#REF!</v>
      </c>
      <c r="D7" s="18" t="e">
        <f>recircle!I19</f>
        <v>#REF!</v>
      </c>
      <c r="E7" s="19" t="e">
        <f>recircle!F20</f>
        <v>#REF!</v>
      </c>
      <c r="F7" s="19" t="e">
        <f>recircle!G20</f>
        <v>#REF!</v>
      </c>
      <c r="G7" s="19" t="e">
        <f>recircle!I20</f>
        <v>#REF!</v>
      </c>
    </row>
    <row r="8" spans="1:7" x14ac:dyDescent="0.2">
      <c r="A8" s="16" t="str">
        <f>recircle!F21&amp; " " &amp; recircle!F22</f>
        <v>1-Year SW Bottom Current + NE Wind/Waves Head Sea (180°)</v>
      </c>
      <c r="B8" s="18" t="e">
        <f>recircle!F29</f>
        <v>#REF!</v>
      </c>
      <c r="C8" s="18" t="e">
        <f>recircle!G29</f>
        <v>#REF!</v>
      </c>
      <c r="D8" s="18" t="e">
        <f>recircle!I29</f>
        <v>#REF!</v>
      </c>
      <c r="E8" s="19" t="e">
        <f>recircle!F30</f>
        <v>#REF!</v>
      </c>
      <c r="F8" s="19" t="e">
        <f>recircle!G30</f>
        <v>#REF!</v>
      </c>
      <c r="G8" s="19" t="e">
        <f>recircle!I30</f>
        <v>#REF!</v>
      </c>
    </row>
  </sheetData>
  <mergeCells count="2">
    <mergeCell ref="B2:D2"/>
    <mergeCell ref="E2:G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2"/>
  <sheetViews>
    <sheetView tabSelected="1" workbookViewId="0">
      <selection activeCell="A25" sqref="A25"/>
    </sheetView>
  </sheetViews>
  <sheetFormatPr defaultRowHeight="11.25" x14ac:dyDescent="0.2"/>
  <cols>
    <col min="1" max="1" width="6.140625" style="23" bestFit="1" customWidth="1"/>
    <col min="2" max="2" width="7.140625" style="20" bestFit="1" customWidth="1"/>
    <col min="3" max="3" width="7.28515625" style="20" bestFit="1" customWidth="1"/>
    <col min="4" max="4" width="7.140625" style="20" bestFit="1" customWidth="1"/>
    <col min="5" max="5" width="7.28515625" style="20" bestFit="1" customWidth="1"/>
    <col min="6" max="6" width="7.7109375" style="20" customWidth="1"/>
    <col min="7" max="10" width="7.140625" style="20" bestFit="1" customWidth="1"/>
    <col min="11" max="11" width="9.140625" style="20"/>
    <col min="12" max="12" width="7.140625" style="20" bestFit="1" customWidth="1"/>
    <col min="13" max="13" width="7.5703125" style="20" bestFit="1" customWidth="1"/>
    <col min="14" max="14" width="2" style="20" bestFit="1" customWidth="1"/>
    <col min="15" max="16" width="9.140625" style="20"/>
    <col min="17" max="17" width="11.85546875" style="23" bestFit="1" customWidth="1"/>
    <col min="18" max="18" width="14.28515625" style="23" bestFit="1" customWidth="1"/>
    <col min="19" max="19" width="10.140625" style="23" customWidth="1"/>
    <col min="20" max="16384" width="9.140625" style="23"/>
  </cols>
  <sheetData>
    <row r="1" spans="1:27" x14ac:dyDescent="0.2">
      <c r="A1" s="32">
        <f>A25-49.3</f>
        <v>7824.7157479999996</v>
      </c>
      <c r="B1" s="15">
        <v>0</v>
      </c>
      <c r="C1" s="15">
        <v>2</v>
      </c>
      <c r="D1" s="15">
        <v>4</v>
      </c>
      <c r="E1" s="15">
        <v>6</v>
      </c>
      <c r="F1" s="15">
        <v>8</v>
      </c>
      <c r="G1" s="15">
        <v>10</v>
      </c>
      <c r="H1" s="15">
        <v>12</v>
      </c>
      <c r="I1" s="15">
        <v>14</v>
      </c>
      <c r="J1" s="15">
        <v>16</v>
      </c>
      <c r="L1" s="20" t="s">
        <v>65</v>
      </c>
      <c r="M1" s="20" t="s">
        <v>66</v>
      </c>
      <c r="N1" s="15" t="s">
        <v>67</v>
      </c>
      <c r="O1" s="15" t="s">
        <v>64</v>
      </c>
      <c r="Q1" s="21" t="s">
        <v>57</v>
      </c>
      <c r="R1" s="22">
        <v>1</v>
      </c>
      <c r="S1" s="21" t="s">
        <v>59</v>
      </c>
      <c r="T1" s="21"/>
      <c r="U1" s="21" t="s">
        <v>9</v>
      </c>
      <c r="V1" s="21"/>
    </row>
    <row r="2" spans="1:27" x14ac:dyDescent="0.2">
      <c r="A2" s="15"/>
      <c r="B2" s="24">
        <f t="shared" ref="B2:J2" si="0">360-B3</f>
        <v>180</v>
      </c>
      <c r="C2" s="24">
        <f t="shared" si="0"/>
        <v>185.27164089061699</v>
      </c>
      <c r="D2" s="24">
        <f t="shared" si="0"/>
        <v>194.000619044709</v>
      </c>
      <c r="E2" s="24">
        <f t="shared" si="0"/>
        <v>208.110246299587</v>
      </c>
      <c r="F2" s="24">
        <f t="shared" si="0"/>
        <v>230.01596080632399</v>
      </c>
      <c r="G2" s="24">
        <f t="shared" si="0"/>
        <v>262.92636856857331</v>
      </c>
      <c r="H2" s="24">
        <f t="shared" si="0"/>
        <v>316.30181971324299</v>
      </c>
      <c r="I2" s="24">
        <f t="shared" si="0"/>
        <v>360</v>
      </c>
      <c r="J2" s="24">
        <f t="shared" si="0"/>
        <v>360</v>
      </c>
      <c r="L2" s="33">
        <v>1</v>
      </c>
      <c r="M2" s="20" t="e">
        <f ca="1">FORECAST(L2,OFFSET($G$27:$G$3226,MATCH(L2,$M$27:$M$3226,1)-1,0,2),OFFSET($M$27:$M$3226,MATCH(L2,$M$27:$M$3226,1)-1,0,2))</f>
        <v>#N/A</v>
      </c>
      <c r="N2" s="15">
        <f ca="1">IF(O2&lt;100,6,IF(O2&lt;115,5,IF(O2&lt;130,4,IF(O2&lt;145,3,IF(O2&lt;160,2,1)))))</f>
        <v>1</v>
      </c>
      <c r="O2" s="15">
        <f ca="1">FORECAST(L2,OFFSET($B$2:$J$2,0,MATCH(L2,$B$1:$J$1,1)-1,1,2),OFFSET($B$1:$J$1,0,MATCH(L2,$B$1:$J$1,1)-1,1,2))</f>
        <v>182.6358204453085</v>
      </c>
      <c r="Q2" s="21" t="s">
        <v>40</v>
      </c>
      <c r="R2" s="22">
        <f>INDEX(derpsum!$C$1:$G$12,$R$1,1)</f>
        <v>4.5063235829590962</v>
      </c>
      <c r="S2" s="22">
        <f>MIN(R4,R2)</f>
        <v>4.5063235829590962</v>
      </c>
      <c r="T2" s="22">
        <v>0</v>
      </c>
      <c r="U2" s="25">
        <v>30</v>
      </c>
      <c r="V2" s="22">
        <f>S2</f>
        <v>4.5063235829590962</v>
      </c>
      <c r="W2" s="22">
        <f t="shared" ref="V2:W4" si="1">T2</f>
        <v>0</v>
      </c>
      <c r="X2" s="25">
        <v>45</v>
      </c>
      <c r="Y2" s="22">
        <f t="shared" ref="Y2:Z4" si="2">V2</f>
        <v>4.5063235829590962</v>
      </c>
      <c r="Z2" s="22">
        <f t="shared" si="2"/>
        <v>0</v>
      </c>
      <c r="AA2" s="25">
        <v>60</v>
      </c>
    </row>
    <row r="3" spans="1:27" x14ac:dyDescent="0.2">
      <c r="A3" s="15" t="s">
        <v>64</v>
      </c>
      <c r="B3" s="26">
        <v>180</v>
      </c>
      <c r="C3" s="26">
        <v>174.72835910938301</v>
      </c>
      <c r="D3" s="26">
        <v>165.999380955291</v>
      </c>
      <c r="E3" s="26">
        <v>151.889753700413</v>
      </c>
      <c r="F3" s="26">
        <v>129.98403919367601</v>
      </c>
      <c r="G3" s="26">
        <v>97.073631431426705</v>
      </c>
      <c r="H3" s="26">
        <v>43.698180286757001</v>
      </c>
      <c r="I3" s="26">
        <v>0</v>
      </c>
      <c r="J3" s="26">
        <v>0</v>
      </c>
      <c r="L3" s="33">
        <v>2</v>
      </c>
      <c r="M3" s="20" t="e">
        <f t="shared" ref="M3:M10" ca="1" si="3">FORECAST(L3,OFFSET($G$27:$G$3226,MATCH(L3,$M$27:$M$3226,1)-1,0,2),OFFSET($M$27:$M$3226,MATCH(L3,$M$27:$M$3226,1)-1,0,2))</f>
        <v>#N/A</v>
      </c>
      <c r="N3" s="15">
        <f t="shared" ref="N3:N9" ca="1" si="4">IF(O3&lt;100,6,IF(O3&lt;115,5,IF(O3&lt;130,4,IF(O3&lt;145,3,IF(O3&lt;160,2,1)))))</f>
        <v>1</v>
      </c>
      <c r="O3" s="15">
        <f t="shared" ref="O3:O9" ca="1" si="5">FORECAST(L3,OFFSET($B$2:$J$2,0,MATCH(L3,$B$1:$J$1,1)-1,1,2),OFFSET($B$1:$J$1,0,MATCH(L3,$B$1:$J$1,1)-1,1,2))</f>
        <v>185.27164089061702</v>
      </c>
      <c r="Q3" s="21" t="s">
        <v>41</v>
      </c>
      <c r="R3" s="22" t="str">
        <f>INDEX(derpsum!$C$1:$G$12,$R$1,2)</f>
        <v>Max Stress Ratio</v>
      </c>
      <c r="S3" s="22">
        <f>S2</f>
        <v>4.5063235829590962</v>
      </c>
      <c r="T3" s="22" t="e">
        <f ca="1">FORECAST(S3,OFFSET($A$27:$A$2500,MATCH(S3,$K$27:$K$2500,1)-1,0,2),OFFSET($K$27:$K$2500,MATCH(S3,$K$27:$K$2500,1)-1,0,2))</f>
        <v>#N/A</v>
      </c>
      <c r="V3" s="22">
        <f t="shared" si="1"/>
        <v>4.5063235829590962</v>
      </c>
      <c r="W3" s="22" t="e">
        <f ca="1">T3</f>
        <v>#N/A</v>
      </c>
      <c r="Y3" s="22">
        <f t="shared" si="2"/>
        <v>4.5063235829590962</v>
      </c>
      <c r="Z3" s="22" t="e">
        <f t="shared" ca="1" si="2"/>
        <v>#N/A</v>
      </c>
    </row>
    <row r="4" spans="1:27" x14ac:dyDescent="0.2">
      <c r="A4" s="15"/>
      <c r="B4" s="26"/>
      <c r="C4" s="26"/>
      <c r="D4" s="26"/>
      <c r="E4" s="26"/>
      <c r="F4" s="26"/>
      <c r="G4" s="26"/>
      <c r="H4" s="26"/>
      <c r="I4" s="26"/>
      <c r="J4" s="26"/>
      <c r="L4" s="33">
        <v>3</v>
      </c>
      <c r="M4" s="20" t="e">
        <f t="shared" ca="1" si="3"/>
        <v>#N/A</v>
      </c>
      <c r="N4" s="15">
        <f t="shared" ca="1" si="4"/>
        <v>1</v>
      </c>
      <c r="O4" s="15">
        <f t="shared" ca="1" si="5"/>
        <v>189.63612996766301</v>
      </c>
      <c r="Q4" s="21" t="s">
        <v>42</v>
      </c>
      <c r="R4" s="22">
        <f>INDEX(derpsum!$C$1:$G$12,$R$1,4)</f>
        <v>5.1931467212848279</v>
      </c>
      <c r="S4" s="22">
        <v>0</v>
      </c>
      <c r="T4" s="22" t="e">
        <f ca="1">T3</f>
        <v>#N/A</v>
      </c>
      <c r="V4" s="22">
        <f t="shared" si="1"/>
        <v>0</v>
      </c>
      <c r="W4" s="22" t="e">
        <f t="shared" ca="1" si="1"/>
        <v>#N/A</v>
      </c>
      <c r="Y4" s="22">
        <f t="shared" si="2"/>
        <v>0</v>
      </c>
      <c r="Z4" s="22" t="e">
        <f t="shared" ca="1" si="2"/>
        <v>#N/A</v>
      </c>
    </row>
    <row r="5" spans="1:27" x14ac:dyDescent="0.2">
      <c r="A5" s="15"/>
      <c r="B5" s="26"/>
      <c r="C5" s="26"/>
      <c r="D5" s="26"/>
      <c r="E5" s="26"/>
      <c r="F5" s="26"/>
      <c r="G5" s="26"/>
      <c r="H5" s="26"/>
      <c r="I5" s="26"/>
      <c r="J5" s="26"/>
      <c r="L5" s="33">
        <v>4</v>
      </c>
      <c r="M5" s="20" t="e">
        <f t="shared" ca="1" si="3"/>
        <v>#N/A</v>
      </c>
      <c r="N5" s="15">
        <f t="shared" ca="1" si="4"/>
        <v>1</v>
      </c>
      <c r="O5" s="15">
        <f t="shared" ca="1" si="5"/>
        <v>194.00061904470903</v>
      </c>
      <c r="Q5" s="21" t="s">
        <v>41</v>
      </c>
      <c r="R5" s="22" t="str">
        <f>INDEX(derpsum!$C$1:$G$12,$R$1,5)</f>
        <v>Max Stress Ratio</v>
      </c>
    </row>
    <row r="6" spans="1:27" x14ac:dyDescent="0.2">
      <c r="A6" s="15"/>
      <c r="B6" s="26"/>
      <c r="C6" s="26"/>
      <c r="D6" s="26"/>
      <c r="E6" s="26"/>
      <c r="F6" s="26"/>
      <c r="G6" s="26"/>
      <c r="H6" s="26"/>
      <c r="I6" s="26"/>
      <c r="J6" s="26"/>
      <c r="L6" s="33">
        <v>6</v>
      </c>
      <c r="M6" s="20" t="e">
        <f t="shared" ca="1" si="3"/>
        <v>#N/A</v>
      </c>
      <c r="N6" s="15">
        <f t="shared" ca="1" si="4"/>
        <v>1</v>
      </c>
      <c r="O6" s="15">
        <f t="shared" ca="1" si="5"/>
        <v>208.11024629958703</v>
      </c>
      <c r="Q6" s="21" t="s">
        <v>43</v>
      </c>
      <c r="R6" s="22" t="str">
        <f ca="1">MID(CELL("filename",R1),FIND("]",CELL("filename",R1))+1,255)</f>
        <v>temp</v>
      </c>
      <c r="S6" s="21" t="s">
        <v>58</v>
      </c>
      <c r="T6" s="21"/>
      <c r="V6" s="21" t="s">
        <v>60</v>
      </c>
      <c r="W6" s="21"/>
      <c r="Y6" s="21" t="s">
        <v>61</v>
      </c>
      <c r="Z6" s="21"/>
      <c r="AA6" s="21"/>
    </row>
    <row r="7" spans="1:27" x14ac:dyDescent="0.2">
      <c r="A7" s="15"/>
      <c r="B7" s="26"/>
      <c r="C7" s="26"/>
      <c r="D7" s="26"/>
      <c r="E7" s="26"/>
      <c r="F7" s="26"/>
      <c r="G7" s="26"/>
      <c r="H7" s="26"/>
      <c r="I7" s="26"/>
      <c r="J7" s="26"/>
      <c r="L7" s="33">
        <v>8</v>
      </c>
      <c r="M7" s="20" t="e">
        <f t="shared" ca="1" si="3"/>
        <v>#N/A</v>
      </c>
      <c r="N7" s="15">
        <f t="shared" ca="1" si="4"/>
        <v>1</v>
      </c>
      <c r="O7" s="15">
        <f t="shared" ca="1" si="5"/>
        <v>230.01596080632402</v>
      </c>
      <c r="Q7" s="23" t="s">
        <v>44</v>
      </c>
      <c r="S7" s="22" t="e">
        <f ca="1">FORECAST(T8,OFFSET($K$27:$K$2500,MATCH(T8,$A$27:$A$2500,1)-1,0,2),OFFSET($A$27:$A$2500,MATCH(T8,$A$27:$A$2500,1)-1,0,2))</f>
        <v>#N/A</v>
      </c>
      <c r="T7" s="22">
        <v>0</v>
      </c>
      <c r="V7" s="22" t="e">
        <f ca="1">FORECAST(W8,OFFSET($K$27:$K$2500,MATCH(W8,$A$27:$A$2500,1)-1,0,2),OFFSET($A$27:$A$2500,MATCH(W8,$A$27:$A$2500,1)-1,0,2))</f>
        <v>#N/A</v>
      </c>
      <c r="W7" s="22">
        <v>0</v>
      </c>
      <c r="Y7" s="22" t="e">
        <f ca="1">FORECAST(Z8,OFFSET($K$27:$K$2500,MATCH(Z8,$A$27:$A$2500,1)-1,0,2),OFFSET($A$27:$A$2500,MATCH(Z8,$A$27:$A$2500,1)-1,0,2))</f>
        <v>#N/A</v>
      </c>
      <c r="Z7" s="22">
        <v>0</v>
      </c>
    </row>
    <row r="8" spans="1:27" x14ac:dyDescent="0.2">
      <c r="A8" s="15"/>
      <c r="B8" s="26"/>
      <c r="C8" s="26"/>
      <c r="D8" s="26"/>
      <c r="E8" s="26"/>
      <c r="F8" s="26"/>
      <c r="G8" s="26"/>
      <c r="H8" s="26"/>
      <c r="I8" s="26"/>
      <c r="J8" s="26"/>
      <c r="L8" s="33">
        <v>9</v>
      </c>
      <c r="M8" s="20" t="e">
        <f t="shared" ca="1" si="3"/>
        <v>#N/A</v>
      </c>
      <c r="N8" s="15">
        <f t="shared" ca="1" si="4"/>
        <v>1</v>
      </c>
      <c r="O8" s="15">
        <f t="shared" ca="1" si="5"/>
        <v>246.47116468744866</v>
      </c>
      <c r="S8" s="22" t="e">
        <f ca="1">S7</f>
        <v>#N/A</v>
      </c>
      <c r="T8" s="22" t="e">
        <f ca="1">T3-U2</f>
        <v>#N/A</v>
      </c>
      <c r="V8" s="22" t="e">
        <f ca="1">V7</f>
        <v>#N/A</v>
      </c>
      <c r="W8" s="22" t="e">
        <f ca="1">W3-X2</f>
        <v>#N/A</v>
      </c>
      <c r="Y8" s="22" t="e">
        <f ca="1">Y7</f>
        <v>#N/A</v>
      </c>
      <c r="Z8" s="22" t="e">
        <f ca="1">Z3-AA2</f>
        <v>#N/A</v>
      </c>
    </row>
    <row r="9" spans="1:27" x14ac:dyDescent="0.2">
      <c r="A9" s="15"/>
      <c r="B9" s="26"/>
      <c r="C9" s="26"/>
      <c r="D9" s="26"/>
      <c r="E9" s="26"/>
      <c r="F9" s="26"/>
      <c r="G9" s="26"/>
      <c r="H9" s="26"/>
      <c r="I9" s="26"/>
      <c r="J9" s="26"/>
      <c r="L9" s="33">
        <v>10</v>
      </c>
      <c r="M9" s="20" t="e">
        <f t="shared" ca="1" si="3"/>
        <v>#N/A</v>
      </c>
      <c r="N9" s="15">
        <f t="shared" ca="1" si="4"/>
        <v>1</v>
      </c>
      <c r="O9" s="15">
        <f t="shared" ca="1" si="5"/>
        <v>262.92636856857331</v>
      </c>
      <c r="S9" s="22">
        <v>0</v>
      </c>
      <c r="T9" s="22" t="e">
        <f ca="1">T8</f>
        <v>#N/A</v>
      </c>
      <c r="V9" s="22">
        <v>0</v>
      </c>
      <c r="W9" s="22" t="e">
        <f ca="1">W8</f>
        <v>#N/A</v>
      </c>
      <c r="Y9" s="22">
        <v>0</v>
      </c>
      <c r="Z9" s="22" t="e">
        <f ca="1">Z8</f>
        <v>#N/A</v>
      </c>
    </row>
    <row r="10" spans="1:27" x14ac:dyDescent="0.2">
      <c r="A10" s="15"/>
      <c r="B10" s="26"/>
      <c r="C10" s="26"/>
      <c r="D10" s="26"/>
      <c r="E10" s="26"/>
      <c r="F10" s="26"/>
      <c r="G10" s="26"/>
      <c r="H10" s="26"/>
      <c r="I10" s="26"/>
      <c r="J10" s="26"/>
      <c r="L10" s="33">
        <v>11</v>
      </c>
      <c r="M10" s="20" t="e">
        <f t="shared" ca="1" si="3"/>
        <v>#N/A</v>
      </c>
      <c r="N10" s="15">
        <f ca="1">IF(O10&lt;100,6,IF(O10&lt;115,5,IF(O10&lt;130,4,IF(O10&lt;145,3,IF(O10&lt;160,2,1)))))</f>
        <v>1</v>
      </c>
      <c r="O10" s="15">
        <f ca="1">FORECAST(L10,OFFSET($B$2:$J$2,0,MATCH(L10,$B$1:$J$1,1)-1,1,2),OFFSET($B$1:$J$1,0,MATCH(L10,$B$1:$J$1,1)-1,1,2))</f>
        <v>289.61409414090815</v>
      </c>
      <c r="S10" s="22"/>
      <c r="T10" s="22"/>
      <c r="U10" s="22"/>
    </row>
    <row r="11" spans="1:27" x14ac:dyDescent="0.2">
      <c r="A11" s="15"/>
      <c r="B11" s="26"/>
      <c r="C11" s="26"/>
      <c r="D11" s="26"/>
      <c r="E11" s="26"/>
      <c r="F11" s="26"/>
      <c r="G11" s="26"/>
      <c r="H11" s="26"/>
      <c r="I11" s="26"/>
      <c r="J11" s="26"/>
      <c r="S11" s="22" t="e">
        <f ca="1">S8</f>
        <v>#N/A</v>
      </c>
      <c r="T11" s="22" t="e">
        <f ca="1">V8</f>
        <v>#N/A</v>
      </c>
      <c r="U11" s="22" t="e">
        <f ca="1">Y8</f>
        <v>#N/A</v>
      </c>
    </row>
    <row r="12" spans="1:27" x14ac:dyDescent="0.2">
      <c r="A12" s="15"/>
      <c r="B12" s="26"/>
      <c r="C12" s="26"/>
      <c r="D12" s="26"/>
      <c r="E12" s="26"/>
      <c r="F12" s="26"/>
      <c r="G12" s="26"/>
      <c r="H12" s="26"/>
      <c r="I12" s="26"/>
      <c r="J12" s="26"/>
      <c r="S12" s="22" t="e">
        <f ca="1">T8</f>
        <v>#N/A</v>
      </c>
      <c r="T12" s="22" t="e">
        <f ca="1">W8</f>
        <v>#N/A</v>
      </c>
      <c r="U12" s="22" t="e">
        <f ca="1">Z8</f>
        <v>#N/A</v>
      </c>
    </row>
    <row r="13" spans="1:27" x14ac:dyDescent="0.2">
      <c r="A13" s="15"/>
      <c r="B13" s="26"/>
      <c r="C13" s="26"/>
      <c r="D13" s="26"/>
      <c r="E13" s="26"/>
      <c r="F13" s="26"/>
      <c r="G13" s="26"/>
      <c r="H13" s="26"/>
      <c r="I13" s="26"/>
      <c r="J13" s="26"/>
      <c r="S13" s="27"/>
      <c r="T13" s="27"/>
      <c r="U13" s="27"/>
    </row>
    <row r="14" spans="1:27" x14ac:dyDescent="0.2">
      <c r="A14" s="15"/>
      <c r="B14" s="26"/>
      <c r="C14" s="26"/>
      <c r="D14" s="26"/>
      <c r="E14" s="26"/>
      <c r="F14" s="26"/>
      <c r="G14" s="26"/>
      <c r="H14" s="26"/>
      <c r="I14" s="26"/>
      <c r="J14" s="26"/>
      <c r="S14" s="27"/>
      <c r="T14" s="27"/>
      <c r="U14" s="27"/>
    </row>
    <row r="15" spans="1:27" x14ac:dyDescent="0.2">
      <c r="A15" s="15"/>
      <c r="B15" s="26"/>
      <c r="C15" s="26"/>
      <c r="D15" s="26"/>
      <c r="E15" s="26"/>
      <c r="F15" s="26"/>
      <c r="G15" s="26"/>
      <c r="H15" s="26"/>
      <c r="I15" s="26"/>
      <c r="J15" s="26"/>
      <c r="Q15" s="28"/>
    </row>
    <row r="16" spans="1:27" x14ac:dyDescent="0.2">
      <c r="A16" s="15"/>
      <c r="B16" s="26"/>
      <c r="C16" s="26"/>
      <c r="D16" s="26"/>
      <c r="E16" s="26"/>
      <c r="F16" s="26"/>
      <c r="G16" s="26"/>
      <c r="H16" s="26"/>
      <c r="I16" s="26"/>
      <c r="J16" s="26"/>
    </row>
    <row r="17" spans="1:16" x14ac:dyDescent="0.2">
      <c r="A17" s="15"/>
      <c r="B17" s="26"/>
      <c r="C17" s="26"/>
      <c r="D17" s="26"/>
      <c r="E17" s="26"/>
      <c r="F17" s="26"/>
      <c r="G17" s="26"/>
      <c r="H17" s="26"/>
      <c r="I17" s="26"/>
      <c r="J17" s="26"/>
      <c r="P17" s="29"/>
    </row>
    <row r="18" spans="1:16" x14ac:dyDescent="0.2">
      <c r="A18" s="15"/>
      <c r="B18" s="26"/>
      <c r="C18" s="26"/>
      <c r="D18" s="26"/>
      <c r="E18" s="26"/>
      <c r="F18" s="26"/>
      <c r="G18" s="26"/>
      <c r="H18" s="26"/>
      <c r="I18" s="26"/>
      <c r="J18" s="26"/>
    </row>
    <row r="19" spans="1:16" x14ac:dyDescent="0.2">
      <c r="A19" s="15"/>
      <c r="B19" s="26"/>
      <c r="C19" s="26"/>
      <c r="D19" s="26"/>
      <c r="E19" s="26"/>
      <c r="F19" s="26"/>
      <c r="G19" s="26"/>
      <c r="H19" s="26"/>
      <c r="I19" s="26"/>
      <c r="J19" s="26"/>
      <c r="N19" s="23"/>
      <c r="O19" s="23"/>
    </row>
    <row r="20" spans="1:16" x14ac:dyDescent="0.2">
      <c r="A20" s="15"/>
      <c r="B20" s="26"/>
      <c r="C20" s="26"/>
      <c r="D20" s="26"/>
      <c r="E20" s="26"/>
      <c r="F20" s="26"/>
      <c r="G20" s="26"/>
      <c r="H20" s="26"/>
      <c r="I20" s="26"/>
      <c r="J20" s="26"/>
      <c r="N20" s="29"/>
      <c r="O20" s="29"/>
    </row>
    <row r="21" spans="1:16" x14ac:dyDescent="0.2">
      <c r="A21" s="15"/>
      <c r="B21" s="26"/>
      <c r="C21" s="26"/>
      <c r="D21" s="26"/>
      <c r="E21" s="26"/>
      <c r="F21" s="26"/>
      <c r="G21" s="26"/>
      <c r="H21" s="26"/>
      <c r="I21" s="26"/>
      <c r="J21" s="26"/>
    </row>
    <row r="22" spans="1:16" x14ac:dyDescent="0.2">
      <c r="A22" s="15"/>
      <c r="B22" s="26"/>
      <c r="C22" s="26"/>
      <c r="D22" s="26"/>
      <c r="E22" s="26"/>
      <c r="F22" s="26"/>
      <c r="G22" s="26"/>
      <c r="H22" s="26"/>
      <c r="I22" s="26"/>
      <c r="J22" s="26"/>
    </row>
    <row r="23" spans="1:16" x14ac:dyDescent="0.2">
      <c r="A23" s="15"/>
      <c r="B23" s="26"/>
      <c r="C23" s="26"/>
      <c r="D23" s="26"/>
      <c r="E23" s="26"/>
      <c r="F23" s="26"/>
      <c r="G23" s="26"/>
      <c r="H23" s="26"/>
      <c r="I23" s="26"/>
      <c r="J23" s="26"/>
    </row>
    <row r="25" spans="1:16" x14ac:dyDescent="0.2">
      <c r="A25" s="32">
        <v>7874.0157479999998</v>
      </c>
      <c r="B25" s="20" t="s">
        <v>45</v>
      </c>
      <c r="C25" s="20" t="s">
        <v>46</v>
      </c>
      <c r="D25" s="20" t="s">
        <v>47</v>
      </c>
      <c r="E25" s="20" t="s">
        <v>48</v>
      </c>
      <c r="F25" s="20" t="s">
        <v>49</v>
      </c>
      <c r="G25" s="20" t="s">
        <v>50</v>
      </c>
      <c r="H25" s="20" t="s">
        <v>51</v>
      </c>
      <c r="I25" s="20" t="s">
        <v>52</v>
      </c>
      <c r="J25" s="20" t="s">
        <v>53</v>
      </c>
      <c r="K25" s="20" t="s">
        <v>54</v>
      </c>
      <c r="L25" s="20" t="s">
        <v>55</v>
      </c>
      <c r="M25" s="20" t="s">
        <v>56</v>
      </c>
    </row>
    <row r="26" spans="1:16" x14ac:dyDescent="0.2">
      <c r="A26" s="30" t="s">
        <v>0</v>
      </c>
      <c r="B26" s="30" t="s">
        <v>1</v>
      </c>
      <c r="C26" s="30" t="s">
        <v>8</v>
      </c>
      <c r="D26" s="30" t="s">
        <v>7</v>
      </c>
      <c r="E26" s="30" t="s">
        <v>6</v>
      </c>
      <c r="F26" s="30" t="s">
        <v>5</v>
      </c>
      <c r="G26" s="30" t="s">
        <v>4</v>
      </c>
      <c r="H26" s="30" t="s">
        <v>3</v>
      </c>
      <c r="I26" s="30" t="s">
        <v>2</v>
      </c>
      <c r="J26" s="30"/>
      <c r="K26" s="29" t="s">
        <v>39</v>
      </c>
    </row>
    <row r="51" spans="6:6" ht="12" thickBot="1" x14ac:dyDescent="0.25">
      <c r="F51" s="31"/>
    </row>
    <row r="52" spans="6:6" ht="12" thickTop="1" x14ac:dyDescent="0.2"/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1yN90</vt:lpstr>
      <vt:lpstr>derpsum</vt:lpstr>
      <vt:lpstr>recircle</vt:lpstr>
      <vt:lpstr>summary</vt:lpstr>
      <vt:lpstr>temp</vt:lpstr>
    </vt:vector>
  </TitlesOfParts>
  <Company>David Tein Consulting Engineers,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Laptop3</dc:creator>
  <cp:lastModifiedBy>GE Laptop3</cp:lastModifiedBy>
  <cp:lastPrinted>2010-12-28T22:58:19Z</cp:lastPrinted>
  <dcterms:created xsi:type="dcterms:W3CDTF">2008-08-28T12:55:35Z</dcterms:created>
  <dcterms:modified xsi:type="dcterms:W3CDTF">2016-01-12T15:52:40Z</dcterms:modified>
</cp:coreProperties>
</file>