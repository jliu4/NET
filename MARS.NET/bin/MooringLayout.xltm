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0245" windowHeight="8310" firstSheet="4" activeTab="9"/>
  </bookViews>
  <sheets>
    <sheet name="User Input" sheetId="1" r:id="rId1"/>
    <sheet name="catenary Input" sheetId="3032" state="hidden" r:id="rId2"/>
    <sheet name="calculations" sheetId="46476" state="hidden" r:id="rId3"/>
    <sheet name="Payout" sheetId="111" r:id="rId4"/>
    <sheet name="Payout Metric" sheetId="46477" r:id="rId5"/>
    <sheet name="Summary" sheetId="46478" r:id="rId6"/>
    <sheet name="Line Properties" sheetId="46479" r:id="rId7"/>
    <sheet name="Mooring" sheetId="46480" r:id="rId8"/>
    <sheet name="Anchor" sheetId="46481" r:id="rId9"/>
    <sheet name="fairlead" sheetId="46482" r:id="rId10"/>
  </sheets>
  <definedNames>
    <definedName name="ChainPayoutMIn">'User Input'!$B$14</definedName>
    <definedName name="ChainPayoutRange">'User Input'!$B$11</definedName>
    <definedName name="ChainPayoutRangeSurv">'User Input'!$B$11</definedName>
    <definedName name="ClientName">'User Input'!$B$2</definedName>
    <definedName name="CtrlLineAnchorLoad">'User Input'!$B$26</definedName>
    <definedName name="CtrlLineAnchorUpliftAngle">'User Input'!$B$25</definedName>
    <definedName name="CtrlLineGrdLen">'User Input'!$B$24</definedName>
    <definedName name="CtrlLineOperAhcnorLoad" localSheetId="9">'User Input'!#REF!</definedName>
    <definedName name="CtrlLineOperAhcnorLoad">'User Input'!#REF!</definedName>
    <definedName name="CtrlLineOperAnchorLoad" localSheetId="9">'User Input'!#REF!</definedName>
    <definedName name="CtrlLineOperAnchorLoad">'User Input'!#REF!</definedName>
    <definedName name="CtrlLineOperAnchorUpliftAngle" localSheetId="9">'User Input'!#REF!</definedName>
    <definedName name="CtrlLineOperAnchorUpliftAngle">'User Input'!#REF!</definedName>
    <definedName name="CtrlLineOperGrdLen" localSheetId="9">'User Input'!#REF!</definedName>
    <definedName name="CtrlLineOperGrdLen">'User Input'!#REF!</definedName>
    <definedName name="CtrlLineOperScope" localSheetId="9">'User Input'!#REF!</definedName>
    <definedName name="CtrlLineOperScope">'User Input'!#REF!</definedName>
    <definedName name="CtrlLineScope">'User Input'!$B$23</definedName>
    <definedName name="CtrlLineSurvAnchorLoad">'User Input'!$B$26</definedName>
    <definedName name="CtrlLineSurvAnchorUpliftAngle">'User Input'!$B$25</definedName>
    <definedName name="CtrlLineSurvGrdLen">'User Input'!$B$24</definedName>
    <definedName name="CtrlLineSurvScope">'User Input'!$B$23</definedName>
    <definedName name="fairleadLocalX">calculations!$B$10</definedName>
    <definedName name="FairleadLocalY">calculations!$C$10</definedName>
    <definedName name="LocationName">'User Input'!$B$4</definedName>
    <definedName name="NumLines">'User Input'!$B$6</definedName>
    <definedName name="OperPretension" localSheetId="9">'User Input'!#REF!</definedName>
    <definedName name="OperPretension">'User Input'!#REF!</definedName>
    <definedName name="Pretension">'User Input'!$B$20</definedName>
    <definedName name="pretensionMax">'User Input'!$C$20</definedName>
    <definedName name="PretensionMin">'User Input'!$B$20</definedName>
    <definedName name="_xlnm.Print_Area" localSheetId="2">calculations!$E$7:$J$25</definedName>
    <definedName name="_xlnm.Print_Area" localSheetId="1">'catenary Input'!$A$2:$C$29</definedName>
    <definedName name="_xlnm.Print_Area" localSheetId="6">'Line Properties'!$A$1:$N$45</definedName>
    <definedName name="_xlnm.Print_Area" localSheetId="3">Payout!$A$1:$R$38</definedName>
    <definedName name="_xlnm.Print_Area" localSheetId="4">'Payout Metric'!$A$1:$R$38</definedName>
    <definedName name="_xlnm.Print_Area" localSheetId="0">'User Input'!$A$1:$B$26</definedName>
    <definedName name="SurvPretension">'User Input'!$B$20</definedName>
    <definedName name="VesselHdg">'User Input'!$B$15</definedName>
    <definedName name="VesselName">'User Input'!$B$3</definedName>
    <definedName name="vPosX">'User Input'!$B$17</definedName>
    <definedName name="vPosY">'User Input'!$B$18</definedName>
    <definedName name="WaterDepth">'User Input'!$B$7</definedName>
    <definedName name="WirePayoutMax">'User Input'!$C$13</definedName>
    <definedName name="WirePayoutMin">'User Input'!$B$13</definedName>
    <definedName name="WirePayoutRange">'User Input'!$B$10</definedName>
    <definedName name="WirePayoutRangeOper">'User Input'!$B$13</definedName>
    <definedName name="WirePayoutRangeSurv">'User Input'!$B$10</definedName>
  </definedNames>
  <calcPr calcId="145621"/>
</workbook>
</file>

<file path=xl/calcChain.xml><?xml version="1.0" encoding="utf-8"?>
<calcChain xmlns="http://schemas.openxmlformats.org/spreadsheetml/2006/main">
  <c r="K5" i="46476" l="1"/>
  <c r="P6" i="46477" s="1"/>
  <c r="V9" i="46477"/>
  <c r="W9" i="46477" s="1"/>
  <c r="M5" i="46476"/>
  <c r="V9" i="111"/>
  <c r="W9" i="111" s="1"/>
  <c r="P6" i="111"/>
  <c r="T21" i="111" s="1"/>
  <c r="O37" i="46477"/>
  <c r="L2" i="46477"/>
  <c r="A5" i="46476"/>
  <c r="C29" i="46476" s="1"/>
  <c r="O37" i="111"/>
  <c r="L2" i="111"/>
  <c r="P35" i="46479"/>
  <c r="Q35" i="46479"/>
  <c r="R35" i="46479"/>
  <c r="S35" i="46479"/>
  <c r="T35" i="46479"/>
  <c r="U35" i="46479"/>
  <c r="V35" i="46479"/>
  <c r="W35" i="46479"/>
  <c r="X35" i="46479"/>
  <c r="Y35" i="46479"/>
  <c r="Z35" i="46479"/>
  <c r="AA35" i="46479"/>
  <c r="AB35" i="46479"/>
  <c r="P36" i="46479"/>
  <c r="Q36" i="46479"/>
  <c r="R36" i="46479"/>
  <c r="S36" i="46479"/>
  <c r="T36" i="46479"/>
  <c r="U36" i="46479"/>
  <c r="V36" i="46479"/>
  <c r="W36" i="46479"/>
  <c r="X36" i="46479"/>
  <c r="Y36" i="46479"/>
  <c r="Z36" i="46479"/>
  <c r="AA36" i="46479"/>
  <c r="AB36" i="46479"/>
  <c r="P37" i="46479"/>
  <c r="Q37" i="46479"/>
  <c r="R37" i="46479"/>
  <c r="S37" i="46479"/>
  <c r="T37" i="46479"/>
  <c r="U37" i="46479"/>
  <c r="V37" i="46479"/>
  <c r="W37" i="46479"/>
  <c r="X37" i="46479"/>
  <c r="Y37" i="46479"/>
  <c r="Z37" i="46479"/>
  <c r="AA37" i="46479"/>
  <c r="AB37" i="46479"/>
  <c r="P38" i="46479"/>
  <c r="Q38" i="46479"/>
  <c r="R38" i="46479"/>
  <c r="S38" i="46479"/>
  <c r="T38" i="46479"/>
  <c r="U38" i="46479"/>
  <c r="V38" i="46479"/>
  <c r="W38" i="46479"/>
  <c r="X38" i="46479"/>
  <c r="Y38" i="46479"/>
  <c r="Z38" i="46479"/>
  <c r="AA38" i="46479"/>
  <c r="AB38" i="46479"/>
  <c r="P39" i="46479"/>
  <c r="Q39" i="46479"/>
  <c r="R39" i="46479"/>
  <c r="S39" i="46479"/>
  <c r="T39" i="46479"/>
  <c r="U39" i="46479"/>
  <c r="V39" i="46479"/>
  <c r="W39" i="46479"/>
  <c r="X39" i="46479"/>
  <c r="Y39" i="46479"/>
  <c r="Z39" i="46479"/>
  <c r="AA39" i="46479"/>
  <c r="AB39" i="46479"/>
  <c r="P40" i="46479"/>
  <c r="Q40" i="46479"/>
  <c r="R40" i="46479"/>
  <c r="S40" i="46479"/>
  <c r="T40" i="46479"/>
  <c r="U40" i="46479"/>
  <c r="V40" i="46479"/>
  <c r="W40" i="46479"/>
  <c r="X40" i="46479"/>
  <c r="Y40" i="46479"/>
  <c r="Z40" i="46479"/>
  <c r="AA40" i="46479"/>
  <c r="AB40" i="46479"/>
  <c r="W45" i="46479"/>
  <c r="V45" i="46479"/>
  <c r="W44" i="46479"/>
  <c r="V44" i="46479"/>
  <c r="W43" i="46479"/>
  <c r="V43" i="46479"/>
  <c r="W42" i="46479"/>
  <c r="V42" i="46479"/>
  <c r="W41" i="46479"/>
  <c r="V41" i="46479"/>
  <c r="W34" i="46479"/>
  <c r="V34" i="46479"/>
  <c r="W33" i="46479"/>
  <c r="V33" i="46479"/>
  <c r="W32" i="46479"/>
  <c r="V32" i="46479"/>
  <c r="W31" i="46479"/>
  <c r="V31" i="46479"/>
  <c r="W30" i="46479"/>
  <c r="V30" i="46479"/>
  <c r="W29" i="46479"/>
  <c r="V29" i="46479"/>
  <c r="W28" i="46479"/>
  <c r="V28" i="46479"/>
  <c r="W27" i="46479"/>
  <c r="V27" i="46479"/>
  <c r="W26" i="46479"/>
  <c r="V26" i="46479"/>
  <c r="W25" i="46479"/>
  <c r="V25" i="46479"/>
  <c r="W24" i="46479"/>
  <c r="V24" i="46479"/>
  <c r="W23" i="46479"/>
  <c r="V23" i="46479"/>
  <c r="W22" i="46479"/>
  <c r="V22" i="46479"/>
  <c r="W21" i="46479"/>
  <c r="V21" i="46479"/>
  <c r="W20" i="46479"/>
  <c r="V20" i="46479"/>
  <c r="W19" i="46479"/>
  <c r="V19" i="46479"/>
  <c r="W18" i="46479"/>
  <c r="V18" i="46479"/>
  <c r="W17" i="46479"/>
  <c r="V17" i="46479"/>
  <c r="W16" i="46479"/>
  <c r="V16" i="46479"/>
  <c r="W15" i="46479"/>
  <c r="V15" i="46479"/>
  <c r="W14" i="46479"/>
  <c r="V14" i="46479"/>
  <c r="W13" i="46479"/>
  <c r="V13" i="46479"/>
  <c r="W12" i="46479"/>
  <c r="V12" i="46479"/>
  <c r="W11" i="46479"/>
  <c r="V11" i="46479"/>
  <c r="W10" i="46479"/>
  <c r="V10" i="46479"/>
  <c r="W9" i="46479"/>
  <c r="V9" i="46479"/>
  <c r="W8" i="46479"/>
  <c r="V8" i="46479"/>
  <c r="W7" i="46479"/>
  <c r="V7" i="46479"/>
  <c r="X45" i="46479"/>
  <c r="X44" i="46479"/>
  <c r="X43" i="46479"/>
  <c r="X42" i="46479"/>
  <c r="X41" i="46479"/>
  <c r="X34" i="46479"/>
  <c r="X33" i="46479"/>
  <c r="X32" i="46479"/>
  <c r="X31" i="46479"/>
  <c r="X30" i="46479"/>
  <c r="X29" i="46479"/>
  <c r="X28" i="46479"/>
  <c r="X27" i="46479"/>
  <c r="X26" i="46479"/>
  <c r="X25" i="46479"/>
  <c r="X24" i="46479"/>
  <c r="X23" i="46479"/>
  <c r="X22" i="46479"/>
  <c r="X21" i="46479"/>
  <c r="X20" i="46479"/>
  <c r="X19" i="46479"/>
  <c r="X18" i="46479"/>
  <c r="X17" i="46479"/>
  <c r="X16" i="46479"/>
  <c r="X15" i="46479"/>
  <c r="X14" i="46479"/>
  <c r="X13" i="46479"/>
  <c r="X12" i="46479"/>
  <c r="X11" i="46479"/>
  <c r="X10" i="46479"/>
  <c r="X9" i="46479"/>
  <c r="X8" i="46479"/>
  <c r="X7" i="46479"/>
  <c r="Q45" i="46479"/>
  <c r="Q44" i="46479"/>
  <c r="Q43" i="46479"/>
  <c r="Q42" i="46479"/>
  <c r="Q41" i="46479"/>
  <c r="Q34" i="46479"/>
  <c r="Q33" i="46479"/>
  <c r="Q32" i="46479"/>
  <c r="Q31" i="46479"/>
  <c r="Q30" i="46479"/>
  <c r="Q29" i="46479"/>
  <c r="Q28" i="46479"/>
  <c r="Q27" i="46479"/>
  <c r="Q26" i="46479"/>
  <c r="Q25" i="46479"/>
  <c r="Q24" i="46479"/>
  <c r="Q23" i="46479"/>
  <c r="Q22" i="46479"/>
  <c r="Q21" i="46479"/>
  <c r="Q20" i="46479"/>
  <c r="Q19" i="46479"/>
  <c r="Q18" i="46479"/>
  <c r="Q17" i="46479"/>
  <c r="Q16" i="46479"/>
  <c r="Q15" i="46479"/>
  <c r="Q14" i="46479"/>
  <c r="Q13" i="46479"/>
  <c r="Q12" i="46479"/>
  <c r="Q11" i="46479"/>
  <c r="Q10" i="46479"/>
  <c r="Q9" i="46479"/>
  <c r="Q8" i="46479"/>
  <c r="Q7" i="46479"/>
  <c r="AB27" i="46479"/>
  <c r="AA27" i="46479"/>
  <c r="Z27" i="46479"/>
  <c r="Y27" i="46479"/>
  <c r="U27" i="46479"/>
  <c r="T27" i="46479"/>
  <c r="S27" i="46479"/>
  <c r="R27" i="46479"/>
  <c r="P27" i="46479"/>
  <c r="AB26" i="46479"/>
  <c r="AA26" i="46479"/>
  <c r="Z26" i="46479"/>
  <c r="Y26" i="46479"/>
  <c r="U26" i="46479"/>
  <c r="T26" i="46479"/>
  <c r="S26" i="46479"/>
  <c r="R26" i="46479"/>
  <c r="P26" i="46479"/>
  <c r="AB25" i="46479"/>
  <c r="AA25" i="46479"/>
  <c r="Z25" i="46479"/>
  <c r="Y25" i="46479"/>
  <c r="U25" i="46479"/>
  <c r="T25" i="46479"/>
  <c r="S25" i="46479"/>
  <c r="R25" i="46479"/>
  <c r="P25" i="46479"/>
  <c r="AB24" i="46479"/>
  <c r="AA24" i="46479"/>
  <c r="Z24" i="46479"/>
  <c r="Y24" i="46479"/>
  <c r="U24" i="46479"/>
  <c r="T24" i="46479"/>
  <c r="S24" i="46479"/>
  <c r="R24" i="46479"/>
  <c r="P24" i="46479"/>
  <c r="AB23" i="46479"/>
  <c r="AA23" i="46479"/>
  <c r="Z23" i="46479"/>
  <c r="Y23" i="46479"/>
  <c r="U23" i="46479"/>
  <c r="T23" i="46479"/>
  <c r="S23" i="46479"/>
  <c r="R23" i="46479"/>
  <c r="P23" i="46479"/>
  <c r="AB22" i="46479"/>
  <c r="AA22" i="46479"/>
  <c r="Z22" i="46479"/>
  <c r="Y22" i="46479"/>
  <c r="U22" i="46479"/>
  <c r="T22" i="46479"/>
  <c r="S22" i="46479"/>
  <c r="R22" i="46479"/>
  <c r="P22" i="46479"/>
  <c r="AB21" i="46479"/>
  <c r="AA21" i="46479"/>
  <c r="Z21" i="46479"/>
  <c r="Y21" i="46479"/>
  <c r="U21" i="46479"/>
  <c r="T21" i="46479"/>
  <c r="S21" i="46479"/>
  <c r="R21" i="46479"/>
  <c r="P21" i="46479"/>
  <c r="AB20" i="46479"/>
  <c r="AA20" i="46479"/>
  <c r="Z20" i="46479"/>
  <c r="Y20" i="46479"/>
  <c r="U20" i="46479"/>
  <c r="T20" i="46479"/>
  <c r="S20" i="46479"/>
  <c r="R20" i="46479"/>
  <c r="P20" i="46479"/>
  <c r="AB19" i="46479"/>
  <c r="AA19" i="46479"/>
  <c r="Z19" i="46479"/>
  <c r="Y19" i="46479"/>
  <c r="U19" i="46479"/>
  <c r="T19" i="46479"/>
  <c r="S19" i="46479"/>
  <c r="R19" i="46479"/>
  <c r="P19" i="46479"/>
  <c r="AB18" i="46479"/>
  <c r="AA18" i="46479"/>
  <c r="Z18" i="46479"/>
  <c r="Y18" i="46479"/>
  <c r="U18" i="46479"/>
  <c r="T18" i="46479"/>
  <c r="S18" i="46479"/>
  <c r="R18" i="46479"/>
  <c r="P18" i="46479"/>
  <c r="AB17" i="46479"/>
  <c r="AA17" i="46479"/>
  <c r="Z17" i="46479"/>
  <c r="Y17" i="46479"/>
  <c r="U17" i="46479"/>
  <c r="T17" i="46479"/>
  <c r="S17" i="46479"/>
  <c r="R17" i="46479"/>
  <c r="P17" i="46479"/>
  <c r="AB16" i="46479"/>
  <c r="AA16" i="46479"/>
  <c r="Z16" i="46479"/>
  <c r="Y16" i="46479"/>
  <c r="U16" i="46479"/>
  <c r="T16" i="46479"/>
  <c r="S16" i="46479"/>
  <c r="R16" i="46479"/>
  <c r="P16" i="46479"/>
  <c r="AB15" i="46479"/>
  <c r="AA15" i="46479"/>
  <c r="Z15" i="46479"/>
  <c r="Y15" i="46479"/>
  <c r="U15" i="46479"/>
  <c r="T15" i="46479"/>
  <c r="S15" i="46479"/>
  <c r="R15" i="46479"/>
  <c r="P15" i="46479"/>
  <c r="AB14" i="46479"/>
  <c r="AA14" i="46479"/>
  <c r="Z14" i="46479"/>
  <c r="Y14" i="46479"/>
  <c r="U14" i="46479"/>
  <c r="T14" i="46479"/>
  <c r="S14" i="46479"/>
  <c r="R14" i="46479"/>
  <c r="P14" i="46479"/>
  <c r="AB13" i="46479"/>
  <c r="AA13" i="46479"/>
  <c r="Z13" i="46479"/>
  <c r="Y13" i="46479"/>
  <c r="U13" i="46479"/>
  <c r="T13" i="46479"/>
  <c r="S13" i="46479"/>
  <c r="R13" i="46479"/>
  <c r="P13" i="46479"/>
  <c r="AB12" i="46479"/>
  <c r="AA12" i="46479"/>
  <c r="Z12" i="46479"/>
  <c r="Y12" i="46479"/>
  <c r="U12" i="46479"/>
  <c r="T12" i="46479"/>
  <c r="S12" i="46479"/>
  <c r="R12" i="46479"/>
  <c r="P12" i="46479"/>
  <c r="AB11" i="46479"/>
  <c r="AA11" i="46479"/>
  <c r="Z11" i="46479"/>
  <c r="Y11" i="46479"/>
  <c r="U11" i="46479"/>
  <c r="T11" i="46479"/>
  <c r="S11" i="46479"/>
  <c r="R11" i="46479"/>
  <c r="P11" i="46479"/>
  <c r="AB10" i="46479"/>
  <c r="AA10" i="46479"/>
  <c r="Z10" i="46479"/>
  <c r="Y10" i="46479"/>
  <c r="U10" i="46479"/>
  <c r="T10" i="46479"/>
  <c r="S10" i="46479"/>
  <c r="R10" i="46479"/>
  <c r="P10" i="46479"/>
  <c r="AB9" i="46479"/>
  <c r="AA9" i="46479"/>
  <c r="Z9" i="46479"/>
  <c r="Y9" i="46479"/>
  <c r="U9" i="46479"/>
  <c r="T9" i="46479"/>
  <c r="S9" i="46479"/>
  <c r="R9" i="46479"/>
  <c r="P9" i="46479"/>
  <c r="AB45" i="46479"/>
  <c r="AB44" i="46479"/>
  <c r="AB43" i="46479"/>
  <c r="AB42" i="46479"/>
  <c r="AB41" i="46479"/>
  <c r="AB34" i="46479"/>
  <c r="AB33" i="46479"/>
  <c r="AB32" i="46479"/>
  <c r="AB31" i="46479"/>
  <c r="AB30" i="46479"/>
  <c r="AB29" i="46479"/>
  <c r="AB28" i="46479"/>
  <c r="AB8" i="46479"/>
  <c r="AB7" i="46479"/>
  <c r="AA45" i="46479"/>
  <c r="AA44" i="46479"/>
  <c r="AA43" i="46479"/>
  <c r="AA42" i="46479"/>
  <c r="AA41" i="46479"/>
  <c r="AA34" i="46479"/>
  <c r="AA33" i="46479"/>
  <c r="AA32" i="46479"/>
  <c r="AA31" i="46479"/>
  <c r="AA30" i="46479"/>
  <c r="AA29" i="46479"/>
  <c r="AA28" i="46479"/>
  <c r="AA8" i="46479"/>
  <c r="AA7" i="46479"/>
  <c r="Z45" i="46479"/>
  <c r="Y45" i="46479"/>
  <c r="Z44" i="46479"/>
  <c r="Y44" i="46479"/>
  <c r="Z43" i="46479"/>
  <c r="Y43" i="46479"/>
  <c r="Z42" i="46479"/>
  <c r="Y42" i="46479"/>
  <c r="Z41" i="46479"/>
  <c r="Y41" i="46479"/>
  <c r="Z34" i="46479"/>
  <c r="Y34" i="46479"/>
  <c r="Z33" i="46479"/>
  <c r="Y33" i="46479"/>
  <c r="Z32" i="46479"/>
  <c r="Y32" i="46479"/>
  <c r="Z31" i="46479"/>
  <c r="Y31" i="46479"/>
  <c r="Z30" i="46479"/>
  <c r="Y30" i="46479"/>
  <c r="Z29" i="46479"/>
  <c r="Y29" i="46479"/>
  <c r="Z28" i="46479"/>
  <c r="Y28" i="46479"/>
  <c r="Z8" i="46479"/>
  <c r="Y8" i="46479"/>
  <c r="Z7" i="46479"/>
  <c r="Y7" i="46479"/>
  <c r="U45" i="46479"/>
  <c r="U44" i="46479"/>
  <c r="U43" i="46479"/>
  <c r="U42" i="46479"/>
  <c r="U41" i="46479"/>
  <c r="U34" i="46479"/>
  <c r="U33" i="46479"/>
  <c r="U32" i="46479"/>
  <c r="U31" i="46479"/>
  <c r="U30" i="46479"/>
  <c r="U29" i="46479"/>
  <c r="U28" i="46479"/>
  <c r="U8" i="46479"/>
  <c r="U7" i="46479"/>
  <c r="T45" i="46479"/>
  <c r="T44" i="46479"/>
  <c r="T43" i="46479"/>
  <c r="T42" i="46479"/>
  <c r="T41" i="46479"/>
  <c r="T34" i="46479"/>
  <c r="T33" i="46479"/>
  <c r="T32" i="46479"/>
  <c r="T31" i="46479"/>
  <c r="T30" i="46479"/>
  <c r="T29" i="46479"/>
  <c r="T28" i="46479"/>
  <c r="T8" i="46479"/>
  <c r="T7" i="46479"/>
  <c r="S45" i="46479"/>
  <c r="S44" i="46479"/>
  <c r="S43" i="46479"/>
  <c r="S42" i="46479"/>
  <c r="S41" i="46479"/>
  <c r="S34" i="46479"/>
  <c r="S33" i="46479"/>
  <c r="S32" i="46479"/>
  <c r="S31" i="46479"/>
  <c r="S30" i="46479"/>
  <c r="S29" i="46479"/>
  <c r="S28" i="46479"/>
  <c r="S8" i="46479"/>
  <c r="S7" i="46479"/>
  <c r="R45" i="46479"/>
  <c r="R44" i="46479"/>
  <c r="R43" i="46479"/>
  <c r="R42" i="46479"/>
  <c r="R41" i="46479"/>
  <c r="R34" i="46479"/>
  <c r="R33" i="46479"/>
  <c r="R32" i="46479"/>
  <c r="R31" i="46479"/>
  <c r="R30" i="46479"/>
  <c r="R29" i="46479"/>
  <c r="R28" i="46479"/>
  <c r="R8" i="46479"/>
  <c r="R7" i="46479"/>
  <c r="P7" i="46479"/>
  <c r="P8" i="46479"/>
  <c r="P28" i="46479"/>
  <c r="P29" i="46479"/>
  <c r="P30" i="46479"/>
  <c r="P31" i="46479"/>
  <c r="P32" i="46479"/>
  <c r="P33" i="46479"/>
  <c r="P34" i="46479"/>
  <c r="P41" i="46479"/>
  <c r="P42" i="46479"/>
  <c r="P43" i="46479"/>
  <c r="P44" i="46479"/>
  <c r="P45" i="46479"/>
  <c r="B1" i="46479"/>
  <c r="P1" i="46479" s="1"/>
  <c r="Q3" i="111"/>
  <c r="O3" i="111"/>
  <c r="O3" i="46477"/>
  <c r="B1" i="46478"/>
  <c r="O1" i="46478" s="1"/>
  <c r="P4" i="46477"/>
  <c r="P4" i="111"/>
  <c r="Z22" i="46478"/>
  <c r="Z21" i="46478"/>
  <c r="Z20" i="46478"/>
  <c r="Z19" i="46478"/>
  <c r="Z18" i="46478"/>
  <c r="Z17" i="46478"/>
  <c r="Z16" i="46478"/>
  <c r="Y22" i="46478"/>
  <c r="Y21" i="46478"/>
  <c r="Y20" i="46478"/>
  <c r="Y19" i="46478"/>
  <c r="Y18" i="46478"/>
  <c r="Y17" i="46478"/>
  <c r="Y16" i="46478"/>
  <c r="X22" i="46478"/>
  <c r="X21" i="46478"/>
  <c r="X20" i="46478"/>
  <c r="X19" i="46478"/>
  <c r="X18" i="46478"/>
  <c r="X17" i="46478"/>
  <c r="X16" i="46478"/>
  <c r="W22" i="46478"/>
  <c r="W21" i="46478"/>
  <c r="W20" i="46478"/>
  <c r="W19" i="46478"/>
  <c r="W18" i="46478"/>
  <c r="W17" i="46478"/>
  <c r="W16" i="46478"/>
  <c r="W15" i="46478"/>
  <c r="W14" i="46478"/>
  <c r="W13" i="46478"/>
  <c r="W12" i="46478"/>
  <c r="W11" i="46478"/>
  <c r="W10" i="46478"/>
  <c r="W9" i="46478"/>
  <c r="W8" i="46478"/>
  <c r="W7" i="46478"/>
  <c r="V22" i="46478"/>
  <c r="V21" i="46478"/>
  <c r="V20" i="46478"/>
  <c r="V19" i="46478"/>
  <c r="V18" i="46478"/>
  <c r="V17" i="46478"/>
  <c r="V16" i="46478"/>
  <c r="V15" i="46478"/>
  <c r="V14" i="46478"/>
  <c r="V13" i="46478"/>
  <c r="V12" i="46478"/>
  <c r="V11" i="46478"/>
  <c r="V10" i="46478"/>
  <c r="V9" i="46478"/>
  <c r="V8" i="46478"/>
  <c r="V7" i="46478"/>
  <c r="U22" i="46478"/>
  <c r="U21" i="46478"/>
  <c r="U20" i="46478"/>
  <c r="U19" i="46478"/>
  <c r="U18" i="46478"/>
  <c r="U17" i="46478"/>
  <c r="U16" i="46478"/>
  <c r="U15" i="46478"/>
  <c r="U14" i="46478"/>
  <c r="U13" i="46478"/>
  <c r="U12" i="46478"/>
  <c r="U11" i="46478"/>
  <c r="U10" i="46478"/>
  <c r="U9" i="46478"/>
  <c r="U8" i="46478"/>
  <c r="U7" i="46478"/>
  <c r="S22" i="46478"/>
  <c r="S21" i="46478"/>
  <c r="S20" i="46478"/>
  <c r="S19" i="46478"/>
  <c r="S18" i="46478"/>
  <c r="S17" i="46478"/>
  <c r="S16" i="46478"/>
  <c r="S15" i="46478"/>
  <c r="S14" i="46478"/>
  <c r="S13" i="46478"/>
  <c r="S12" i="46478"/>
  <c r="S11" i="46478"/>
  <c r="S10" i="46478"/>
  <c r="S9" i="46478"/>
  <c r="S8" i="46478"/>
  <c r="S7" i="46478"/>
  <c r="Q22" i="46478"/>
  <c r="Q21" i="46478"/>
  <c r="Q20" i="46478"/>
  <c r="Q19" i="46478"/>
  <c r="Q18" i="46478"/>
  <c r="Q17" i="46478"/>
  <c r="Q16" i="46478"/>
  <c r="Q15" i="46478"/>
  <c r="Q14" i="46478"/>
  <c r="Q13" i="46478"/>
  <c r="Q12" i="46478"/>
  <c r="Q11" i="46478"/>
  <c r="Q10" i="46478"/>
  <c r="Q9" i="46478"/>
  <c r="Q8" i="46478"/>
  <c r="Q7" i="46478"/>
  <c r="O22" i="46478"/>
  <c r="O21" i="46478"/>
  <c r="O20" i="46478"/>
  <c r="O19" i="46478"/>
  <c r="O18" i="46478"/>
  <c r="O17" i="46478"/>
  <c r="O16" i="46478"/>
  <c r="O15" i="46478"/>
  <c r="O14" i="46478"/>
  <c r="O13" i="46478"/>
  <c r="O12" i="46478"/>
  <c r="O11" i="46478"/>
  <c r="O10" i="46478"/>
  <c r="O9" i="46478"/>
  <c r="O8" i="46478"/>
  <c r="O7" i="46478"/>
  <c r="T22" i="46478"/>
  <c r="T21" i="46478"/>
  <c r="T20" i="46478"/>
  <c r="T19" i="46478"/>
  <c r="T18" i="46478"/>
  <c r="T17" i="46478"/>
  <c r="T16" i="46478"/>
  <c r="T15" i="46478"/>
  <c r="T14" i="46478"/>
  <c r="T13" i="46478"/>
  <c r="T12" i="46478"/>
  <c r="T11" i="46478"/>
  <c r="T10" i="46478"/>
  <c r="T9" i="46478"/>
  <c r="T8" i="46478"/>
  <c r="T7" i="46478"/>
  <c r="R22" i="46478"/>
  <c r="R21" i="46478"/>
  <c r="R20" i="46478"/>
  <c r="R19" i="46478"/>
  <c r="R18" i="46478"/>
  <c r="R17" i="46478"/>
  <c r="R16" i="46478"/>
  <c r="R15" i="46478"/>
  <c r="R14" i="46478"/>
  <c r="R13" i="46478"/>
  <c r="R12" i="46478"/>
  <c r="R11" i="46478"/>
  <c r="R10" i="46478"/>
  <c r="R9" i="46478"/>
  <c r="R8" i="46478"/>
  <c r="R7" i="46478"/>
  <c r="Z15" i="46478"/>
  <c r="Y15" i="46478"/>
  <c r="Z14" i="46478"/>
  <c r="Y14" i="46478"/>
  <c r="Z13" i="46478"/>
  <c r="Y13" i="46478"/>
  <c r="Z12" i="46478"/>
  <c r="Y12" i="46478"/>
  <c r="Z11" i="46478"/>
  <c r="Y11" i="46478"/>
  <c r="Z10" i="46478"/>
  <c r="Y10" i="46478"/>
  <c r="Z9" i="46478"/>
  <c r="Y9" i="46478"/>
  <c r="Z8" i="46478"/>
  <c r="Y8" i="46478"/>
  <c r="Z7" i="46478"/>
  <c r="Y7" i="46478"/>
  <c r="X15" i="46478"/>
  <c r="X14" i="46478"/>
  <c r="X13" i="46478"/>
  <c r="X12" i="46478"/>
  <c r="X11" i="46478"/>
  <c r="X10" i="46478"/>
  <c r="X9" i="46478"/>
  <c r="X8" i="46478"/>
  <c r="X7" i="46478"/>
  <c r="P22" i="46478"/>
  <c r="P21" i="46478"/>
  <c r="P20" i="46478"/>
  <c r="P19" i="46478"/>
  <c r="P18" i="46478"/>
  <c r="P17" i="46478"/>
  <c r="P16" i="46478"/>
  <c r="P15" i="46478"/>
  <c r="P14" i="46478"/>
  <c r="P13" i="46478"/>
  <c r="P12" i="46478"/>
  <c r="P11" i="46478"/>
  <c r="P10" i="46478"/>
  <c r="P9" i="46478"/>
  <c r="P8" i="46478"/>
  <c r="P7" i="46478"/>
  <c r="P2" i="46478"/>
  <c r="H15" i="46476"/>
  <c r="H18" i="46476" s="1"/>
  <c r="H21" i="46476" s="1"/>
  <c r="H24" i="46476" s="1"/>
  <c r="H16" i="46476"/>
  <c r="H19" i="46476" s="1"/>
  <c r="H22" i="46476" s="1"/>
  <c r="H25" i="46476" s="1"/>
  <c r="H14" i="46476"/>
  <c r="H17" i="46476" s="1"/>
  <c r="G18" i="46476"/>
  <c r="G19" i="46476"/>
  <c r="G20" i="46476"/>
  <c r="G21" i="46476"/>
  <c r="G22" i="46476"/>
  <c r="G23" i="46476"/>
  <c r="G24" i="46476"/>
  <c r="G25" i="46476"/>
  <c r="F11" i="46476"/>
  <c r="F12" i="46476"/>
  <c r="D30" i="3032"/>
  <c r="E30" i="3032"/>
  <c r="D31" i="3032"/>
  <c r="E31" i="3032"/>
  <c r="D32" i="3032"/>
  <c r="E32" i="3032"/>
  <c r="D33" i="3032"/>
  <c r="E33" i="3032"/>
  <c r="D34" i="3032"/>
  <c r="E34" i="3032"/>
  <c r="D35" i="3032"/>
  <c r="E35" i="3032"/>
  <c r="D36" i="3032"/>
  <c r="E36" i="3032"/>
  <c r="D37" i="3032"/>
  <c r="E37" i="3032"/>
  <c r="D38" i="3032"/>
  <c r="E38" i="3032"/>
  <c r="D39" i="3032"/>
  <c r="E39" i="3032"/>
  <c r="D40" i="3032"/>
  <c r="E40" i="3032"/>
  <c r="D41" i="3032"/>
  <c r="E41" i="3032"/>
  <c r="D42" i="3032"/>
  <c r="E42" i="3032"/>
  <c r="D43" i="3032"/>
  <c r="E43" i="3032"/>
  <c r="D44" i="3032"/>
  <c r="E44" i="3032"/>
  <c r="D45" i="3032"/>
  <c r="E45" i="3032"/>
  <c r="D46" i="3032"/>
  <c r="E46" i="3032"/>
  <c r="D47" i="3032"/>
  <c r="E47" i="3032"/>
  <c r="D48" i="3032"/>
  <c r="E48" i="3032"/>
  <c r="D49" i="3032"/>
  <c r="E49" i="3032"/>
  <c r="D50" i="3032"/>
  <c r="E50" i="3032"/>
  <c r="D51" i="3032"/>
  <c r="E51" i="3032"/>
  <c r="D52" i="3032"/>
  <c r="E52" i="3032"/>
  <c r="D53" i="3032"/>
  <c r="E53" i="3032"/>
  <c r="D54" i="3032"/>
  <c r="E54" i="3032"/>
  <c r="D55" i="3032"/>
  <c r="E55" i="3032"/>
  <c r="D56" i="3032"/>
  <c r="E56" i="3032"/>
  <c r="D57" i="3032"/>
  <c r="E57" i="3032"/>
  <c r="D58" i="3032"/>
  <c r="E58" i="3032"/>
  <c r="D59" i="3032"/>
  <c r="E59" i="3032"/>
  <c r="D60" i="3032"/>
  <c r="E60" i="3032"/>
  <c r="D61" i="3032"/>
  <c r="E61" i="3032"/>
  <c r="D62" i="3032"/>
  <c r="E62" i="3032"/>
  <c r="D63" i="3032"/>
  <c r="E63" i="3032"/>
  <c r="D64" i="3032"/>
  <c r="E64" i="3032"/>
  <c r="D65" i="3032"/>
  <c r="E65" i="3032"/>
  <c r="D66" i="3032"/>
  <c r="E66" i="3032"/>
  <c r="D67" i="3032"/>
  <c r="E67" i="3032"/>
  <c r="D68" i="3032"/>
  <c r="E68" i="3032"/>
  <c r="D69" i="3032"/>
  <c r="E69" i="3032"/>
  <c r="D70" i="3032"/>
  <c r="E70" i="3032"/>
  <c r="D71" i="3032"/>
  <c r="E71" i="3032"/>
  <c r="D72" i="3032"/>
  <c r="E72" i="3032"/>
  <c r="D73" i="3032"/>
  <c r="E73" i="3032"/>
  <c r="D74" i="3032"/>
  <c r="E74" i="3032"/>
  <c r="D75" i="3032"/>
  <c r="E75" i="3032"/>
  <c r="D76" i="3032"/>
  <c r="E76" i="3032"/>
  <c r="D77" i="3032"/>
  <c r="E77" i="3032"/>
  <c r="D78" i="3032"/>
  <c r="E78" i="3032"/>
  <c r="D79" i="3032"/>
  <c r="E79" i="3032"/>
  <c r="D80" i="3032"/>
  <c r="E80" i="3032"/>
  <c r="D81" i="3032"/>
  <c r="E81" i="3032"/>
  <c r="D82" i="3032"/>
  <c r="E82" i="3032"/>
  <c r="D83" i="3032"/>
  <c r="E83" i="3032"/>
  <c r="D84" i="3032"/>
  <c r="E84" i="3032"/>
  <c r="D85" i="3032"/>
  <c r="E85" i="3032"/>
  <c r="D86" i="3032"/>
  <c r="E86" i="3032"/>
  <c r="D87" i="3032"/>
  <c r="E87" i="3032"/>
  <c r="D88" i="3032"/>
  <c r="E88" i="3032"/>
  <c r="D89" i="3032"/>
  <c r="E89" i="3032"/>
  <c r="D90" i="3032"/>
  <c r="E90" i="3032"/>
  <c r="D91" i="3032"/>
  <c r="E91" i="3032"/>
  <c r="D92" i="3032"/>
  <c r="E92" i="3032"/>
  <c r="D93" i="3032"/>
  <c r="E93" i="3032"/>
  <c r="D94" i="3032"/>
  <c r="E94" i="3032"/>
  <c r="D95" i="3032"/>
  <c r="E95" i="3032"/>
  <c r="D96" i="3032"/>
  <c r="E96" i="3032"/>
  <c r="D97" i="3032"/>
  <c r="E97" i="3032"/>
  <c r="D98" i="3032"/>
  <c r="E98" i="3032"/>
  <c r="D99" i="3032"/>
  <c r="E99" i="3032"/>
  <c r="D100" i="3032"/>
  <c r="E100" i="3032"/>
  <c r="D101" i="3032"/>
  <c r="E101" i="3032"/>
  <c r="D102" i="3032"/>
  <c r="E102" i="3032"/>
  <c r="D103" i="3032"/>
  <c r="E103" i="3032"/>
  <c r="D104" i="3032"/>
  <c r="E104" i="3032"/>
  <c r="D105" i="3032"/>
  <c r="E105" i="3032"/>
  <c r="D106" i="3032"/>
  <c r="E106" i="3032"/>
  <c r="D107" i="3032"/>
  <c r="E107" i="3032"/>
  <c r="D108" i="3032"/>
  <c r="E108" i="3032"/>
  <c r="D109" i="3032"/>
  <c r="E109" i="3032"/>
  <c r="D110" i="3032"/>
  <c r="E110" i="3032"/>
  <c r="D111" i="3032"/>
  <c r="E111" i="3032"/>
  <c r="D112" i="3032"/>
  <c r="E112" i="3032"/>
  <c r="D113" i="3032"/>
  <c r="E113" i="3032"/>
  <c r="D114" i="3032"/>
  <c r="E114" i="3032"/>
  <c r="D115" i="3032"/>
  <c r="E115" i="3032"/>
  <c r="D116" i="3032"/>
  <c r="E116" i="3032"/>
  <c r="D117" i="3032"/>
  <c r="E117" i="3032"/>
  <c r="D118" i="3032"/>
  <c r="E118" i="3032"/>
  <c r="D119" i="3032"/>
  <c r="E119" i="3032"/>
  <c r="D120" i="3032"/>
  <c r="E120" i="3032"/>
  <c r="D121" i="3032"/>
  <c r="E121" i="3032"/>
  <c r="D122" i="3032"/>
  <c r="E122" i="3032"/>
  <c r="D123" i="3032"/>
  <c r="E123" i="3032"/>
  <c r="D124" i="3032"/>
  <c r="E124" i="3032"/>
  <c r="D125" i="3032"/>
  <c r="E125" i="3032"/>
  <c r="D126" i="3032"/>
  <c r="E126" i="3032"/>
  <c r="D127" i="3032"/>
  <c r="E127" i="3032"/>
  <c r="D128" i="3032"/>
  <c r="E128" i="3032"/>
  <c r="D129" i="3032"/>
  <c r="E129" i="3032"/>
  <c r="D130" i="3032"/>
  <c r="E130" i="3032"/>
  <c r="D131" i="3032"/>
  <c r="E131" i="3032"/>
  <c r="D132" i="3032"/>
  <c r="E132" i="3032"/>
  <c r="D133" i="3032"/>
  <c r="E133" i="3032"/>
  <c r="D134" i="3032"/>
  <c r="E134" i="3032"/>
  <c r="D135" i="3032"/>
  <c r="E135" i="3032"/>
  <c r="D136" i="3032"/>
  <c r="E136" i="3032"/>
  <c r="D137" i="3032"/>
  <c r="E137" i="3032"/>
  <c r="D138" i="3032"/>
  <c r="E138" i="3032"/>
  <c r="D139" i="3032"/>
  <c r="E139" i="3032"/>
  <c r="D140" i="3032"/>
  <c r="E140" i="3032"/>
  <c r="D141" i="3032"/>
  <c r="E141" i="3032"/>
  <c r="D142" i="3032"/>
  <c r="E142" i="3032"/>
  <c r="D143" i="3032"/>
  <c r="E143" i="3032"/>
  <c r="D144" i="3032"/>
  <c r="E144" i="3032"/>
  <c r="D145" i="3032"/>
  <c r="E145" i="3032"/>
  <c r="D146" i="3032"/>
  <c r="E146" i="3032"/>
  <c r="D147" i="3032"/>
  <c r="E147" i="3032"/>
  <c r="D148" i="3032"/>
  <c r="E148" i="3032"/>
  <c r="D149" i="3032"/>
  <c r="E149" i="3032"/>
  <c r="D150" i="3032"/>
  <c r="E150" i="3032"/>
  <c r="D151" i="3032"/>
  <c r="E151" i="3032"/>
  <c r="D152" i="3032"/>
  <c r="E152" i="3032"/>
  <c r="D153" i="3032"/>
  <c r="E153" i="3032"/>
  <c r="D154" i="3032"/>
  <c r="E154" i="3032"/>
  <c r="D155" i="3032"/>
  <c r="E155" i="3032"/>
  <c r="D156" i="3032"/>
  <c r="E156" i="3032"/>
  <c r="D157" i="3032"/>
  <c r="E157" i="3032"/>
  <c r="D158" i="3032"/>
  <c r="E158" i="3032"/>
  <c r="D159" i="3032"/>
  <c r="E159" i="3032"/>
  <c r="D160" i="3032"/>
  <c r="E160" i="3032"/>
  <c r="D161" i="3032"/>
  <c r="E161" i="3032"/>
  <c r="D162" i="3032"/>
  <c r="E162" i="3032"/>
  <c r="D163" i="3032"/>
  <c r="E163" i="3032"/>
  <c r="D164" i="3032"/>
  <c r="E164" i="3032"/>
  <c r="D165" i="3032"/>
  <c r="E165" i="3032"/>
  <c r="D166" i="3032"/>
  <c r="E166" i="3032"/>
  <c r="D167" i="3032"/>
  <c r="E167" i="3032"/>
  <c r="D168" i="3032"/>
  <c r="E168" i="3032"/>
  <c r="D169" i="3032"/>
  <c r="E169" i="3032"/>
  <c r="D170" i="3032"/>
  <c r="E170" i="3032"/>
  <c r="D171" i="3032"/>
  <c r="E171" i="3032"/>
  <c r="D172" i="3032"/>
  <c r="E172" i="3032"/>
  <c r="D173" i="3032"/>
  <c r="E173" i="3032"/>
  <c r="D174" i="3032"/>
  <c r="E174" i="3032"/>
  <c r="D175" i="3032"/>
  <c r="E175" i="3032"/>
  <c r="D176" i="3032"/>
  <c r="E176" i="3032"/>
  <c r="D177" i="3032"/>
  <c r="E177" i="3032"/>
  <c r="D178" i="3032"/>
  <c r="E178" i="3032"/>
  <c r="D179" i="3032"/>
  <c r="E179" i="3032"/>
  <c r="D180" i="3032"/>
  <c r="E180" i="3032"/>
  <c r="D181" i="3032"/>
  <c r="E181" i="3032"/>
  <c r="D182" i="3032"/>
  <c r="E182" i="3032"/>
  <c r="D183" i="3032"/>
  <c r="E183" i="3032"/>
  <c r="D184" i="3032"/>
  <c r="E184" i="3032"/>
  <c r="D185" i="3032"/>
  <c r="E185" i="3032"/>
  <c r="D186" i="3032"/>
  <c r="E186" i="3032"/>
  <c r="D187" i="3032"/>
  <c r="E187" i="3032"/>
  <c r="D188" i="3032"/>
  <c r="E188" i="3032"/>
  <c r="D189" i="3032"/>
  <c r="E189" i="3032"/>
  <c r="D190" i="3032"/>
  <c r="E190" i="3032"/>
  <c r="D191" i="3032"/>
  <c r="E191" i="3032"/>
  <c r="D192" i="3032"/>
  <c r="E192" i="3032"/>
  <c r="D193" i="3032"/>
  <c r="E193" i="3032"/>
  <c r="D194" i="3032"/>
  <c r="E194" i="3032"/>
  <c r="D195" i="3032"/>
  <c r="E195" i="3032"/>
  <c r="D196" i="3032"/>
  <c r="E196" i="3032"/>
  <c r="D197" i="3032"/>
  <c r="E197" i="3032"/>
  <c r="D198" i="3032"/>
  <c r="E198" i="3032"/>
  <c r="D199" i="3032"/>
  <c r="E199" i="3032"/>
  <c r="D200" i="3032"/>
  <c r="E200" i="3032"/>
  <c r="D201" i="3032"/>
  <c r="E201" i="3032"/>
  <c r="D202" i="3032"/>
  <c r="E202" i="3032"/>
  <c r="D203" i="3032"/>
  <c r="E203" i="3032"/>
  <c r="D204" i="3032"/>
  <c r="E204" i="3032"/>
  <c r="D205" i="3032"/>
  <c r="E205" i="3032"/>
  <c r="D206" i="3032"/>
  <c r="E206" i="3032"/>
  <c r="D207" i="3032"/>
  <c r="E207" i="3032"/>
  <c r="D208" i="3032"/>
  <c r="E208" i="3032"/>
  <c r="D209" i="3032"/>
  <c r="E209" i="3032"/>
  <c r="D210" i="3032"/>
  <c r="E210" i="3032"/>
  <c r="D211" i="3032"/>
  <c r="E211" i="3032"/>
  <c r="D212" i="3032"/>
  <c r="E212" i="3032"/>
  <c r="D213" i="3032"/>
  <c r="E213" i="3032"/>
  <c r="D214" i="3032"/>
  <c r="E214" i="3032"/>
  <c r="D215" i="3032"/>
  <c r="E215" i="3032"/>
  <c r="D216" i="3032"/>
  <c r="E216" i="3032"/>
  <c r="D217" i="3032"/>
  <c r="E217" i="3032"/>
  <c r="D218" i="3032"/>
  <c r="E218" i="3032"/>
  <c r="D219" i="3032"/>
  <c r="E219" i="3032"/>
  <c r="D220" i="3032"/>
  <c r="E220" i="3032"/>
  <c r="D221" i="3032"/>
  <c r="E221" i="3032"/>
  <c r="D222" i="3032"/>
  <c r="E222" i="3032"/>
  <c r="D223" i="3032"/>
  <c r="E223" i="3032"/>
  <c r="D224" i="3032"/>
  <c r="E224" i="3032"/>
  <c r="D225" i="3032"/>
  <c r="E225" i="3032"/>
  <c r="D226" i="3032"/>
  <c r="E226" i="3032"/>
  <c r="D227" i="3032"/>
  <c r="E227" i="3032"/>
  <c r="D228" i="3032"/>
  <c r="E228" i="3032"/>
  <c r="D229" i="3032"/>
  <c r="E229" i="3032"/>
  <c r="D230" i="3032"/>
  <c r="E230" i="3032"/>
  <c r="D231" i="3032"/>
  <c r="E231" i="3032"/>
  <c r="D232" i="3032"/>
  <c r="E232" i="3032"/>
  <c r="D233" i="3032"/>
  <c r="E233" i="3032"/>
  <c r="D234" i="3032"/>
  <c r="E234" i="3032"/>
  <c r="D235" i="3032"/>
  <c r="E235" i="3032"/>
  <c r="D236" i="3032"/>
  <c r="E236" i="3032"/>
  <c r="D237" i="3032"/>
  <c r="E237" i="3032"/>
  <c r="D238" i="3032"/>
  <c r="E238" i="3032"/>
  <c r="D239" i="3032"/>
  <c r="E239" i="3032"/>
  <c r="D240" i="3032"/>
  <c r="E240" i="3032"/>
  <c r="D241" i="3032"/>
  <c r="E241" i="3032"/>
  <c r="D242" i="3032"/>
  <c r="E242" i="3032"/>
  <c r="D243" i="3032"/>
  <c r="E243" i="3032"/>
  <c r="D244" i="3032"/>
  <c r="E244" i="3032"/>
  <c r="D245" i="3032"/>
  <c r="E245" i="3032"/>
  <c r="D246" i="3032"/>
  <c r="E246" i="3032"/>
  <c r="D247" i="3032"/>
  <c r="E247" i="3032"/>
  <c r="D248" i="3032"/>
  <c r="E248" i="3032"/>
  <c r="D249" i="3032"/>
  <c r="E249" i="3032"/>
  <c r="D250" i="3032"/>
  <c r="E250" i="3032"/>
  <c r="D251" i="3032"/>
  <c r="E251" i="3032"/>
  <c r="D252" i="3032"/>
  <c r="E252" i="3032"/>
  <c r="D253" i="3032"/>
  <c r="E253" i="3032"/>
  <c r="D254" i="3032"/>
  <c r="E254" i="3032"/>
  <c r="D255" i="3032"/>
  <c r="E255" i="3032"/>
  <c r="D256" i="3032"/>
  <c r="E256" i="3032"/>
  <c r="D257" i="3032"/>
  <c r="E257" i="3032"/>
  <c r="D258" i="3032"/>
  <c r="E258" i="3032"/>
  <c r="D259" i="3032"/>
  <c r="E259" i="3032"/>
  <c r="D260" i="3032"/>
  <c r="E260" i="3032"/>
  <c r="D261" i="3032"/>
  <c r="E261" i="3032"/>
  <c r="D262" i="3032"/>
  <c r="E262" i="3032"/>
  <c r="D263" i="3032"/>
  <c r="E263" i="3032"/>
  <c r="D264" i="3032"/>
  <c r="E264" i="3032"/>
  <c r="D265" i="3032"/>
  <c r="E265" i="3032"/>
  <c r="D266" i="3032"/>
  <c r="E266" i="3032"/>
  <c r="D267" i="3032"/>
  <c r="E267" i="3032"/>
  <c r="D268" i="3032"/>
  <c r="E268" i="3032"/>
  <c r="D269" i="3032"/>
  <c r="E269" i="3032"/>
  <c r="D270" i="3032"/>
  <c r="E270" i="3032"/>
  <c r="D271" i="3032"/>
  <c r="E271" i="3032"/>
  <c r="D272" i="3032"/>
  <c r="E272" i="3032"/>
  <c r="D273" i="3032"/>
  <c r="E273" i="3032"/>
  <c r="D274" i="3032"/>
  <c r="E274" i="3032"/>
  <c r="D275" i="3032"/>
  <c r="E275" i="3032"/>
  <c r="D276" i="3032"/>
  <c r="E276" i="3032"/>
  <c r="D277" i="3032"/>
  <c r="E277" i="3032"/>
  <c r="D278" i="3032"/>
  <c r="E278" i="3032"/>
  <c r="D279" i="3032"/>
  <c r="E279" i="3032"/>
  <c r="D280" i="3032"/>
  <c r="E280" i="3032"/>
  <c r="D281" i="3032"/>
  <c r="E281" i="3032"/>
  <c r="D282" i="3032"/>
  <c r="E282" i="3032"/>
  <c r="D283" i="3032"/>
  <c r="E283" i="3032"/>
  <c r="D284" i="3032"/>
  <c r="E284" i="3032"/>
  <c r="D285" i="3032"/>
  <c r="E285" i="3032"/>
  <c r="D286" i="3032"/>
  <c r="E286" i="3032"/>
  <c r="D287" i="3032"/>
  <c r="E287" i="3032"/>
  <c r="D288" i="3032"/>
  <c r="E288" i="3032"/>
  <c r="D289" i="3032"/>
  <c r="E289" i="3032"/>
  <c r="D290" i="3032"/>
  <c r="E290" i="3032"/>
  <c r="D291" i="3032"/>
  <c r="E291" i="3032"/>
  <c r="D292" i="3032"/>
  <c r="E292" i="3032"/>
  <c r="D293" i="3032"/>
  <c r="E293" i="3032"/>
  <c r="D294" i="3032"/>
  <c r="E294" i="3032"/>
  <c r="D295" i="3032"/>
  <c r="E295" i="3032"/>
  <c r="D296" i="3032"/>
  <c r="E296" i="3032"/>
  <c r="D297" i="3032"/>
  <c r="E297" i="3032"/>
  <c r="D298" i="3032"/>
  <c r="E298" i="3032"/>
  <c r="D299" i="3032"/>
  <c r="E299" i="3032"/>
  <c r="D300" i="3032"/>
  <c r="E300" i="3032"/>
  <c r="D301" i="3032"/>
  <c r="E301" i="3032"/>
  <c r="D302" i="3032"/>
  <c r="E302" i="3032"/>
  <c r="D303" i="3032"/>
  <c r="E303" i="3032"/>
  <c r="D304" i="3032"/>
  <c r="E304" i="3032"/>
  <c r="D305" i="3032"/>
  <c r="E305" i="3032"/>
  <c r="D306" i="3032"/>
  <c r="E306" i="3032"/>
  <c r="D307" i="3032"/>
  <c r="E307" i="3032"/>
  <c r="D308" i="3032"/>
  <c r="E308" i="3032"/>
  <c r="D309" i="3032"/>
  <c r="E309" i="3032"/>
  <c r="D310" i="3032"/>
  <c r="E310" i="3032"/>
  <c r="D311" i="3032"/>
  <c r="E311" i="3032"/>
  <c r="D312" i="3032"/>
  <c r="E312" i="3032"/>
  <c r="D313" i="3032"/>
  <c r="E313" i="3032"/>
  <c r="D314" i="3032"/>
  <c r="E314" i="3032"/>
  <c r="D315" i="3032"/>
  <c r="E315" i="3032"/>
  <c r="D316" i="3032"/>
  <c r="E316" i="3032"/>
  <c r="D317" i="3032"/>
  <c r="E317" i="3032"/>
  <c r="D318" i="3032"/>
  <c r="E318" i="3032"/>
  <c r="D319" i="3032"/>
  <c r="E319" i="3032"/>
  <c r="D320" i="3032"/>
  <c r="E320" i="3032"/>
  <c r="D321" i="3032"/>
  <c r="E321" i="3032"/>
  <c r="D322" i="3032"/>
  <c r="E322" i="3032"/>
  <c r="D323" i="3032"/>
  <c r="E323" i="3032"/>
  <c r="D324" i="3032"/>
  <c r="E324" i="3032"/>
  <c r="D325" i="3032"/>
  <c r="E325" i="3032"/>
  <c r="D326" i="3032"/>
  <c r="E326" i="3032"/>
  <c r="D327" i="3032"/>
  <c r="E327" i="3032"/>
  <c r="D328" i="3032"/>
  <c r="E328" i="3032"/>
  <c r="D329" i="3032"/>
  <c r="E329" i="3032"/>
  <c r="D330" i="3032"/>
  <c r="E330" i="3032"/>
  <c r="D331" i="3032"/>
  <c r="E331" i="3032"/>
  <c r="D332" i="3032"/>
  <c r="E332" i="3032"/>
  <c r="D333" i="3032"/>
  <c r="E333" i="3032"/>
  <c r="D334" i="3032"/>
  <c r="E334" i="3032"/>
  <c r="D335" i="3032"/>
  <c r="E335" i="3032"/>
  <c r="D336" i="3032"/>
  <c r="E336" i="3032"/>
  <c r="D337" i="3032"/>
  <c r="E337" i="3032"/>
  <c r="D338" i="3032"/>
  <c r="E338" i="3032"/>
  <c r="D339" i="3032"/>
  <c r="E339" i="3032"/>
  <c r="D340" i="3032"/>
  <c r="E340" i="3032"/>
  <c r="D341" i="3032"/>
  <c r="E341" i="3032"/>
  <c r="D342" i="3032"/>
  <c r="E342" i="3032"/>
  <c r="D343" i="3032"/>
  <c r="E343" i="3032"/>
  <c r="D344" i="3032"/>
  <c r="E344" i="3032"/>
  <c r="D345" i="3032"/>
  <c r="E345" i="3032"/>
  <c r="D346" i="3032"/>
  <c r="E346" i="3032"/>
  <c r="D347" i="3032"/>
  <c r="E347" i="3032"/>
  <c r="D348" i="3032"/>
  <c r="E348" i="3032"/>
  <c r="D349" i="3032"/>
  <c r="E349" i="3032"/>
  <c r="D350" i="3032"/>
  <c r="E350" i="3032"/>
  <c r="D351" i="3032"/>
  <c r="E351" i="3032"/>
  <c r="D352" i="3032"/>
  <c r="E352" i="3032"/>
  <c r="D353" i="3032"/>
  <c r="E353" i="3032"/>
  <c r="D354" i="3032"/>
  <c r="E354" i="3032"/>
  <c r="D355" i="3032"/>
  <c r="E355" i="3032"/>
  <c r="D356" i="3032"/>
  <c r="E356" i="3032"/>
  <c r="D357" i="3032"/>
  <c r="E357" i="3032"/>
  <c r="D358" i="3032"/>
  <c r="E358" i="3032"/>
  <c r="D359" i="3032"/>
  <c r="E359" i="3032"/>
  <c r="D360" i="3032"/>
  <c r="E360" i="3032"/>
  <c r="D361" i="3032"/>
  <c r="E361" i="3032"/>
  <c r="D362" i="3032"/>
  <c r="E362" i="3032"/>
  <c r="D363" i="3032"/>
  <c r="E363" i="3032"/>
  <c r="D364" i="3032"/>
  <c r="E364" i="3032"/>
  <c r="D365" i="3032"/>
  <c r="E365" i="3032"/>
  <c r="D366" i="3032"/>
  <c r="E366" i="3032"/>
  <c r="D367" i="3032"/>
  <c r="E367" i="3032"/>
  <c r="D368" i="3032"/>
  <c r="E368" i="3032"/>
  <c r="D369" i="3032"/>
  <c r="E369" i="3032"/>
  <c r="D370" i="3032"/>
  <c r="E370" i="3032"/>
  <c r="D371" i="3032"/>
  <c r="E371" i="3032"/>
  <c r="D372" i="3032"/>
  <c r="E372" i="3032"/>
  <c r="D373" i="3032"/>
  <c r="E373" i="3032"/>
  <c r="D374" i="3032"/>
  <c r="E374" i="3032"/>
  <c r="D375" i="3032"/>
  <c r="E375" i="3032"/>
  <c r="D376" i="3032"/>
  <c r="E376" i="3032"/>
  <c r="D377" i="3032"/>
  <c r="E377" i="3032"/>
  <c r="D378" i="3032"/>
  <c r="E378" i="3032"/>
  <c r="D379" i="3032"/>
  <c r="E379" i="3032"/>
  <c r="D380" i="3032"/>
  <c r="E380" i="3032"/>
  <c r="D381" i="3032"/>
  <c r="E381" i="3032"/>
  <c r="D382" i="3032"/>
  <c r="E382" i="3032"/>
  <c r="D383" i="3032"/>
  <c r="E383" i="3032"/>
  <c r="D384" i="3032"/>
  <c r="E384" i="3032"/>
  <c r="D385" i="3032"/>
  <c r="E385" i="3032"/>
  <c r="D386" i="3032"/>
  <c r="E386" i="3032"/>
  <c r="D387" i="3032"/>
  <c r="E387" i="3032"/>
  <c r="D388" i="3032"/>
  <c r="E388" i="3032"/>
  <c r="D389" i="3032"/>
  <c r="E389" i="3032"/>
  <c r="D390" i="3032"/>
  <c r="E390" i="3032"/>
  <c r="D391" i="3032"/>
  <c r="E391" i="3032"/>
  <c r="D392" i="3032"/>
  <c r="E392" i="3032"/>
  <c r="D393" i="3032"/>
  <c r="E393" i="3032"/>
  <c r="D394" i="3032"/>
  <c r="E394" i="3032"/>
  <c r="D395" i="3032"/>
  <c r="E395" i="3032"/>
  <c r="D396" i="3032"/>
  <c r="E396" i="3032"/>
  <c r="D397" i="3032"/>
  <c r="E397" i="3032"/>
  <c r="D398" i="3032"/>
  <c r="E398" i="3032"/>
  <c r="D399" i="3032"/>
  <c r="E399" i="3032"/>
  <c r="D400" i="3032"/>
  <c r="E400" i="3032"/>
  <c r="D401" i="3032"/>
  <c r="E401" i="3032"/>
  <c r="D402" i="3032"/>
  <c r="E402" i="3032"/>
  <c r="D403" i="3032"/>
  <c r="E403" i="3032"/>
  <c r="D404" i="3032"/>
  <c r="E404" i="3032"/>
  <c r="D405" i="3032"/>
  <c r="E405" i="3032"/>
  <c r="D406" i="3032"/>
  <c r="E406" i="3032"/>
  <c r="D407" i="3032"/>
  <c r="E407" i="3032"/>
  <c r="D408" i="3032"/>
  <c r="E408" i="3032"/>
  <c r="D409" i="3032"/>
  <c r="E409" i="3032"/>
  <c r="D410" i="3032"/>
  <c r="E410" i="3032"/>
  <c r="D411" i="3032"/>
  <c r="E411" i="3032"/>
  <c r="D412" i="3032"/>
  <c r="E412" i="3032"/>
  <c r="D413" i="3032"/>
  <c r="E413" i="3032"/>
  <c r="D414" i="3032"/>
  <c r="E414" i="3032"/>
  <c r="D415" i="3032"/>
  <c r="E415" i="3032"/>
  <c r="D416" i="3032"/>
  <c r="E416" i="3032"/>
  <c r="D417" i="3032"/>
  <c r="E417" i="3032"/>
  <c r="D418" i="3032"/>
  <c r="E418" i="3032"/>
  <c r="D419" i="3032"/>
  <c r="E419" i="3032"/>
  <c r="D420" i="3032"/>
  <c r="E420" i="3032"/>
  <c r="D421" i="3032"/>
  <c r="E421" i="3032"/>
  <c r="D422" i="3032"/>
  <c r="E422" i="3032"/>
  <c r="D423" i="3032"/>
  <c r="E423" i="3032"/>
  <c r="D424" i="3032"/>
  <c r="E424" i="3032"/>
  <c r="D425" i="3032"/>
  <c r="E425" i="3032"/>
  <c r="D426" i="3032"/>
  <c r="E426" i="3032"/>
  <c r="D427" i="3032"/>
  <c r="E427" i="3032"/>
  <c r="D428" i="3032"/>
  <c r="E428" i="3032"/>
  <c r="D429" i="3032"/>
  <c r="E429" i="3032"/>
  <c r="D430" i="3032"/>
  <c r="E430" i="3032"/>
  <c r="D431" i="3032"/>
  <c r="E431" i="3032"/>
  <c r="D432" i="3032"/>
  <c r="E432" i="3032"/>
  <c r="D433" i="3032"/>
  <c r="E433" i="3032"/>
  <c r="D434" i="3032"/>
  <c r="E434" i="3032"/>
  <c r="D435" i="3032"/>
  <c r="E435" i="3032"/>
  <c r="D436" i="3032"/>
  <c r="E436" i="3032"/>
  <c r="D437" i="3032"/>
  <c r="E437" i="3032"/>
  <c r="D438" i="3032"/>
  <c r="E438" i="3032"/>
  <c r="D439" i="3032"/>
  <c r="E439" i="3032"/>
  <c r="D440" i="3032"/>
  <c r="E440" i="3032"/>
  <c r="D441" i="3032"/>
  <c r="E441" i="3032"/>
  <c r="D442" i="3032"/>
  <c r="E442" i="3032"/>
  <c r="D443" i="3032"/>
  <c r="E443" i="3032"/>
  <c r="D444" i="3032"/>
  <c r="E444" i="3032"/>
  <c r="D445" i="3032"/>
  <c r="E445" i="3032"/>
  <c r="D446" i="3032"/>
  <c r="E446" i="3032"/>
  <c r="D447" i="3032"/>
  <c r="E447" i="3032"/>
  <c r="D448" i="3032"/>
  <c r="E448" i="3032"/>
  <c r="D449" i="3032"/>
  <c r="E449" i="3032"/>
  <c r="D450" i="3032"/>
  <c r="E450" i="3032"/>
  <c r="D451" i="3032"/>
  <c r="E451" i="3032"/>
  <c r="D452" i="3032"/>
  <c r="E452" i="3032"/>
  <c r="D453" i="3032"/>
  <c r="E453" i="3032"/>
  <c r="D454" i="3032"/>
  <c r="E454" i="3032"/>
  <c r="D455" i="3032"/>
  <c r="E455" i="3032"/>
  <c r="D456" i="3032"/>
  <c r="E456" i="3032"/>
  <c r="D457" i="3032"/>
  <c r="E457" i="3032"/>
  <c r="D458" i="3032"/>
  <c r="E458" i="3032"/>
  <c r="D459" i="3032"/>
  <c r="E459" i="3032"/>
  <c r="D460" i="3032"/>
  <c r="E460" i="3032"/>
  <c r="D461" i="3032"/>
  <c r="E461" i="3032"/>
  <c r="D462" i="3032"/>
  <c r="E462" i="3032"/>
  <c r="D463" i="3032"/>
  <c r="E463" i="3032"/>
  <c r="D464" i="3032"/>
  <c r="E464" i="3032"/>
  <c r="D465" i="3032"/>
  <c r="E465" i="3032"/>
  <c r="D466" i="3032"/>
  <c r="E466" i="3032"/>
  <c r="D467" i="3032"/>
  <c r="E467" i="3032"/>
  <c r="D468" i="3032"/>
  <c r="E468" i="3032"/>
  <c r="D469" i="3032"/>
  <c r="E469" i="3032"/>
  <c r="D470" i="3032"/>
  <c r="E470" i="3032"/>
  <c r="D471" i="3032"/>
  <c r="E471" i="3032"/>
  <c r="D472" i="3032"/>
  <c r="E472" i="3032"/>
  <c r="D473" i="3032"/>
  <c r="E473" i="3032"/>
  <c r="D474" i="3032"/>
  <c r="E474" i="3032"/>
  <c r="D475" i="3032"/>
  <c r="E475" i="3032"/>
  <c r="D476" i="3032"/>
  <c r="E476" i="3032"/>
  <c r="D477" i="3032"/>
  <c r="E477" i="3032"/>
  <c r="D478" i="3032"/>
  <c r="E478" i="3032"/>
  <c r="D479" i="3032"/>
  <c r="E479" i="3032"/>
  <c r="D480" i="3032"/>
  <c r="E480" i="3032"/>
  <c r="D481" i="3032"/>
  <c r="E481" i="3032"/>
  <c r="D482" i="3032"/>
  <c r="E482" i="3032"/>
  <c r="D483" i="3032"/>
  <c r="E483" i="3032"/>
  <c r="D484" i="3032"/>
  <c r="E484" i="3032"/>
  <c r="D485" i="3032"/>
  <c r="E485" i="3032"/>
  <c r="D486" i="3032"/>
  <c r="E486" i="3032"/>
  <c r="D487" i="3032"/>
  <c r="E487" i="3032"/>
  <c r="D488" i="3032"/>
  <c r="E488" i="3032"/>
  <c r="D489" i="3032"/>
  <c r="E489" i="3032"/>
  <c r="D490" i="3032"/>
  <c r="E490" i="3032"/>
  <c r="D491" i="3032"/>
  <c r="E491" i="3032"/>
  <c r="D492" i="3032"/>
  <c r="E492" i="3032"/>
  <c r="D493" i="3032"/>
  <c r="E493" i="3032"/>
  <c r="D494" i="3032"/>
  <c r="E494" i="3032"/>
  <c r="D495" i="3032"/>
  <c r="E495" i="3032"/>
  <c r="D496" i="3032"/>
  <c r="E496" i="3032"/>
  <c r="D497" i="3032"/>
  <c r="E497" i="3032"/>
  <c r="D498" i="3032"/>
  <c r="E498" i="3032"/>
  <c r="D499" i="3032"/>
  <c r="E499" i="3032"/>
  <c r="D500" i="3032"/>
  <c r="E500" i="3032"/>
  <c r="D501" i="3032"/>
  <c r="E501" i="3032"/>
  <c r="D502" i="3032"/>
  <c r="E502" i="3032"/>
  <c r="D503" i="3032"/>
  <c r="E503" i="3032"/>
  <c r="D504" i="3032"/>
  <c r="E504" i="3032"/>
  <c r="D505" i="3032"/>
  <c r="E505" i="3032"/>
  <c r="D506" i="3032"/>
  <c r="E506" i="3032"/>
  <c r="D507" i="3032"/>
  <c r="E507" i="3032"/>
  <c r="D508" i="3032"/>
  <c r="E508" i="3032"/>
  <c r="D509" i="3032"/>
  <c r="E509" i="3032"/>
  <c r="D510" i="3032"/>
  <c r="E510" i="3032"/>
  <c r="D511" i="3032"/>
  <c r="E511" i="3032"/>
  <c r="D512" i="3032"/>
  <c r="E512" i="3032"/>
  <c r="D513" i="3032"/>
  <c r="E513" i="3032"/>
  <c r="D514" i="3032"/>
  <c r="E514" i="3032"/>
  <c r="D515" i="3032"/>
  <c r="E515" i="3032"/>
  <c r="D516" i="3032"/>
  <c r="E516" i="3032"/>
  <c r="D517" i="3032"/>
  <c r="E517" i="3032"/>
  <c r="D518" i="3032"/>
  <c r="E518" i="3032"/>
  <c r="D519" i="3032"/>
  <c r="E519" i="3032"/>
  <c r="D520" i="3032"/>
  <c r="E520" i="3032"/>
  <c r="D521" i="3032"/>
  <c r="E521" i="3032"/>
  <c r="D522" i="3032"/>
  <c r="E522" i="3032"/>
  <c r="D523" i="3032"/>
  <c r="E523" i="3032"/>
  <c r="D524" i="3032"/>
  <c r="E524" i="3032"/>
  <c r="D525" i="3032"/>
  <c r="E525" i="3032"/>
  <c r="D526" i="3032"/>
  <c r="E526" i="3032"/>
  <c r="D527" i="3032"/>
  <c r="E527" i="3032"/>
  <c r="D528" i="3032"/>
  <c r="E528" i="3032"/>
  <c r="D529" i="3032"/>
  <c r="E529" i="3032"/>
  <c r="D530" i="3032"/>
  <c r="E530" i="3032"/>
  <c r="D531" i="3032"/>
  <c r="E531" i="3032"/>
  <c r="D532" i="3032"/>
  <c r="E532" i="3032"/>
  <c r="D533" i="3032"/>
  <c r="E533" i="3032"/>
  <c r="D534" i="3032"/>
  <c r="E534" i="3032"/>
  <c r="D535" i="3032"/>
  <c r="E535" i="3032"/>
  <c r="D536" i="3032"/>
  <c r="E536" i="3032"/>
  <c r="D537" i="3032"/>
  <c r="E537" i="3032"/>
  <c r="D538" i="3032"/>
  <c r="E538" i="3032"/>
  <c r="D539" i="3032"/>
  <c r="E539" i="3032"/>
  <c r="D540" i="3032"/>
  <c r="E540" i="3032"/>
  <c r="D541" i="3032"/>
  <c r="E541" i="3032"/>
  <c r="D542" i="3032"/>
  <c r="E542" i="3032"/>
  <c r="D543" i="3032"/>
  <c r="E543" i="3032"/>
  <c r="D544" i="3032"/>
  <c r="E544" i="3032"/>
  <c r="D545" i="3032"/>
  <c r="E545" i="3032"/>
  <c r="D546" i="3032"/>
  <c r="E546" i="3032"/>
  <c r="D547" i="3032"/>
  <c r="E547" i="3032"/>
  <c r="D548" i="3032"/>
  <c r="E548" i="3032"/>
  <c r="D549" i="3032"/>
  <c r="E549" i="3032"/>
  <c r="D550" i="3032"/>
  <c r="E550" i="3032"/>
  <c r="D551" i="3032"/>
  <c r="E551" i="3032"/>
  <c r="D552" i="3032"/>
  <c r="E552" i="3032"/>
  <c r="D553" i="3032"/>
  <c r="E553" i="3032"/>
  <c r="D554" i="3032"/>
  <c r="E554" i="3032"/>
  <c r="D555" i="3032"/>
  <c r="E555" i="3032"/>
  <c r="D556" i="3032"/>
  <c r="E556" i="3032"/>
  <c r="D557" i="3032"/>
  <c r="E557" i="3032"/>
  <c r="D558" i="3032"/>
  <c r="E558" i="3032"/>
  <c r="D559" i="3032"/>
  <c r="E559" i="3032"/>
  <c r="D560" i="3032"/>
  <c r="E560" i="3032"/>
  <c r="D561" i="3032"/>
  <c r="E561" i="3032"/>
  <c r="D562" i="3032"/>
  <c r="E562" i="3032"/>
  <c r="D563" i="3032"/>
  <c r="E563" i="3032"/>
  <c r="D564" i="3032"/>
  <c r="E564" i="3032"/>
  <c r="D565" i="3032"/>
  <c r="E565" i="3032"/>
  <c r="D566" i="3032"/>
  <c r="E566" i="3032"/>
  <c r="D567" i="3032"/>
  <c r="E567" i="3032"/>
  <c r="D568" i="3032"/>
  <c r="E568" i="3032"/>
  <c r="D569" i="3032"/>
  <c r="E569" i="3032"/>
  <c r="D570" i="3032"/>
  <c r="E570" i="3032"/>
  <c r="D571" i="3032"/>
  <c r="E571" i="3032"/>
  <c r="D572" i="3032"/>
  <c r="E572" i="3032"/>
  <c r="D573" i="3032"/>
  <c r="E573" i="3032"/>
  <c r="D574" i="3032"/>
  <c r="E574" i="3032"/>
  <c r="D575" i="3032"/>
  <c r="E575" i="3032"/>
  <c r="D576" i="3032"/>
  <c r="E576" i="3032"/>
  <c r="D577" i="3032"/>
  <c r="E577" i="3032"/>
  <c r="D578" i="3032"/>
  <c r="E578" i="3032"/>
  <c r="D579" i="3032"/>
  <c r="E579" i="3032"/>
  <c r="D580" i="3032"/>
  <c r="E580" i="3032"/>
  <c r="D581" i="3032"/>
  <c r="E581" i="3032"/>
  <c r="D582" i="3032"/>
  <c r="E582" i="3032"/>
  <c r="D583" i="3032"/>
  <c r="E583" i="3032"/>
  <c r="D584" i="3032"/>
  <c r="E584" i="3032"/>
  <c r="D585" i="3032"/>
  <c r="E585" i="3032"/>
  <c r="D586" i="3032"/>
  <c r="E586" i="3032"/>
  <c r="D587" i="3032"/>
  <c r="E587" i="3032"/>
  <c r="D588" i="3032"/>
  <c r="E588" i="3032"/>
  <c r="D589" i="3032"/>
  <c r="E589" i="3032"/>
  <c r="D590" i="3032"/>
  <c r="E590" i="3032"/>
  <c r="D591" i="3032"/>
  <c r="E591" i="3032"/>
  <c r="D592" i="3032"/>
  <c r="E592" i="3032"/>
  <c r="D593" i="3032"/>
  <c r="E593" i="3032"/>
  <c r="D594" i="3032"/>
  <c r="E594" i="3032"/>
  <c r="D595" i="3032"/>
  <c r="E595" i="3032"/>
  <c r="D596" i="3032"/>
  <c r="E596" i="3032"/>
  <c r="D597" i="3032"/>
  <c r="E597" i="3032"/>
  <c r="D598" i="3032"/>
  <c r="E598" i="3032"/>
  <c r="D599" i="3032"/>
  <c r="E599" i="3032"/>
  <c r="D600" i="3032"/>
  <c r="E600" i="3032"/>
  <c r="D601" i="3032"/>
  <c r="E601" i="3032"/>
  <c r="D602" i="3032"/>
  <c r="E602" i="3032"/>
  <c r="D603" i="3032"/>
  <c r="E603" i="3032"/>
  <c r="D604" i="3032"/>
  <c r="E604" i="3032"/>
  <c r="D605" i="3032"/>
  <c r="E605" i="3032"/>
  <c r="D606" i="3032"/>
  <c r="E606" i="3032"/>
  <c r="D607" i="3032"/>
  <c r="E607" i="3032"/>
  <c r="D608" i="3032"/>
  <c r="E608" i="3032"/>
  <c r="D609" i="3032"/>
  <c r="E609" i="3032"/>
  <c r="D610" i="3032"/>
  <c r="E610" i="3032"/>
  <c r="D611" i="3032"/>
  <c r="E611" i="3032"/>
  <c r="D612" i="3032"/>
  <c r="E612" i="3032"/>
  <c r="D613" i="3032"/>
  <c r="E613" i="3032"/>
  <c r="D614" i="3032"/>
  <c r="E614" i="3032"/>
  <c r="D615" i="3032"/>
  <c r="E615" i="3032"/>
  <c r="D616" i="3032"/>
  <c r="E616" i="3032"/>
  <c r="D617" i="3032"/>
  <c r="E617" i="3032"/>
  <c r="D618" i="3032"/>
  <c r="E618" i="3032"/>
  <c r="D619" i="3032"/>
  <c r="E619" i="3032"/>
  <c r="D620" i="3032"/>
  <c r="E620" i="3032"/>
  <c r="D621" i="3032"/>
  <c r="E621" i="3032"/>
  <c r="D622" i="3032"/>
  <c r="E622" i="3032"/>
  <c r="D623" i="3032"/>
  <c r="E623" i="3032"/>
  <c r="D624" i="3032"/>
  <c r="E624" i="3032"/>
  <c r="D625" i="3032"/>
  <c r="E625" i="3032"/>
  <c r="D626" i="3032"/>
  <c r="E626" i="3032"/>
  <c r="D627" i="3032"/>
  <c r="E627" i="3032"/>
  <c r="D628" i="3032"/>
  <c r="E628" i="3032"/>
  <c r="D629" i="3032"/>
  <c r="E629" i="3032"/>
  <c r="D630" i="3032"/>
  <c r="E630" i="3032"/>
  <c r="D631" i="3032"/>
  <c r="E631" i="3032"/>
  <c r="D632" i="3032"/>
  <c r="E632" i="3032"/>
  <c r="D633" i="3032"/>
  <c r="E633" i="3032"/>
  <c r="D634" i="3032"/>
  <c r="E634" i="3032"/>
  <c r="D635" i="3032"/>
  <c r="E635" i="3032"/>
  <c r="D636" i="3032"/>
  <c r="E636" i="3032"/>
  <c r="D637" i="3032"/>
  <c r="E637" i="3032"/>
  <c r="D638" i="3032"/>
  <c r="E638" i="3032"/>
  <c r="D639" i="3032"/>
  <c r="E639" i="3032"/>
  <c r="D640" i="3032"/>
  <c r="E640" i="3032"/>
  <c r="D641" i="3032"/>
  <c r="E641" i="3032"/>
  <c r="D642" i="3032"/>
  <c r="E642" i="3032"/>
  <c r="D643" i="3032"/>
  <c r="E643" i="3032"/>
  <c r="D644" i="3032"/>
  <c r="E644" i="3032"/>
  <c r="D645" i="3032"/>
  <c r="E645" i="3032"/>
  <c r="D646" i="3032"/>
  <c r="E646" i="3032"/>
  <c r="D647" i="3032"/>
  <c r="E647" i="3032"/>
  <c r="D648" i="3032"/>
  <c r="E648" i="3032"/>
  <c r="D649" i="3032"/>
  <c r="E649" i="3032"/>
  <c r="D650" i="3032"/>
  <c r="E650" i="3032"/>
  <c r="D651" i="3032"/>
  <c r="E651" i="3032"/>
  <c r="D652" i="3032"/>
  <c r="E652" i="3032"/>
  <c r="D653" i="3032"/>
  <c r="E653" i="3032"/>
  <c r="D654" i="3032"/>
  <c r="E654" i="3032"/>
  <c r="D655" i="3032"/>
  <c r="E655" i="3032"/>
  <c r="D656" i="3032"/>
  <c r="E656" i="3032"/>
  <c r="D657" i="3032"/>
  <c r="E657" i="3032"/>
  <c r="D658" i="3032"/>
  <c r="E658" i="3032"/>
  <c r="D659" i="3032"/>
  <c r="E659" i="3032"/>
  <c r="D660" i="3032"/>
  <c r="E660" i="3032"/>
  <c r="D661" i="3032"/>
  <c r="E661" i="3032"/>
  <c r="D662" i="3032"/>
  <c r="E662" i="3032"/>
  <c r="D663" i="3032"/>
  <c r="E663" i="3032"/>
  <c r="D664" i="3032"/>
  <c r="E664" i="3032"/>
  <c r="D665" i="3032"/>
  <c r="E665" i="3032"/>
  <c r="D666" i="3032"/>
  <c r="E666" i="3032"/>
  <c r="D667" i="3032"/>
  <c r="E667" i="3032"/>
  <c r="D668" i="3032"/>
  <c r="E668" i="3032"/>
  <c r="D669" i="3032"/>
  <c r="E669" i="3032"/>
  <c r="D670" i="3032"/>
  <c r="E670" i="3032"/>
  <c r="D671" i="3032"/>
  <c r="E671" i="3032"/>
  <c r="D672" i="3032"/>
  <c r="E672" i="3032"/>
  <c r="D673" i="3032"/>
  <c r="E673" i="3032"/>
  <c r="D674" i="3032"/>
  <c r="E674" i="3032"/>
  <c r="D675" i="3032"/>
  <c r="E675" i="3032"/>
  <c r="D676" i="3032"/>
  <c r="E676" i="3032"/>
  <c r="D677" i="3032"/>
  <c r="E677" i="3032"/>
  <c r="D678" i="3032"/>
  <c r="E678" i="3032"/>
  <c r="D679" i="3032"/>
  <c r="E679" i="3032"/>
  <c r="D680" i="3032"/>
  <c r="E680" i="3032"/>
  <c r="D681" i="3032"/>
  <c r="E681" i="3032"/>
  <c r="D682" i="3032"/>
  <c r="E682" i="3032"/>
  <c r="D683" i="3032"/>
  <c r="E683" i="3032"/>
  <c r="D684" i="3032"/>
  <c r="E684" i="3032"/>
  <c r="D685" i="3032"/>
  <c r="E685" i="3032"/>
  <c r="D686" i="3032"/>
  <c r="E686" i="3032"/>
  <c r="D687" i="3032"/>
  <c r="E687" i="3032"/>
  <c r="D688" i="3032"/>
  <c r="E688" i="3032"/>
  <c r="D689" i="3032"/>
  <c r="E689" i="3032"/>
  <c r="D690" i="3032"/>
  <c r="E690" i="3032"/>
  <c r="D691" i="3032"/>
  <c r="E691" i="3032"/>
  <c r="D692" i="3032"/>
  <c r="E692" i="3032"/>
  <c r="D693" i="3032"/>
  <c r="E693" i="3032"/>
  <c r="D694" i="3032"/>
  <c r="E694" i="3032"/>
  <c r="D695" i="3032"/>
  <c r="E695" i="3032"/>
  <c r="D696" i="3032"/>
  <c r="E696" i="3032"/>
  <c r="D697" i="3032"/>
  <c r="E697" i="3032"/>
  <c r="D698" i="3032"/>
  <c r="E698" i="3032"/>
  <c r="D699" i="3032"/>
  <c r="E699" i="3032"/>
  <c r="D700" i="3032"/>
  <c r="E700" i="3032"/>
  <c r="D701" i="3032"/>
  <c r="E701" i="3032"/>
  <c r="D702" i="3032"/>
  <c r="E702" i="3032"/>
  <c r="D703" i="3032"/>
  <c r="E703" i="3032"/>
  <c r="D704" i="3032"/>
  <c r="E704" i="3032"/>
  <c r="D705" i="3032"/>
  <c r="E705" i="3032"/>
  <c r="D706" i="3032"/>
  <c r="E706" i="3032"/>
  <c r="D707" i="3032"/>
  <c r="E707" i="3032"/>
  <c r="D708" i="3032"/>
  <c r="E708" i="3032"/>
  <c r="D709" i="3032"/>
  <c r="E709" i="3032"/>
  <c r="D710" i="3032"/>
  <c r="E710" i="3032"/>
  <c r="D711" i="3032"/>
  <c r="E711" i="3032"/>
  <c r="D712" i="3032"/>
  <c r="E712" i="3032"/>
  <c r="D713" i="3032"/>
  <c r="E713" i="3032"/>
  <c r="D714" i="3032"/>
  <c r="E714" i="3032"/>
  <c r="D715" i="3032"/>
  <c r="E715" i="3032"/>
  <c r="D716" i="3032"/>
  <c r="E716" i="3032"/>
  <c r="D717" i="3032"/>
  <c r="E717" i="3032"/>
  <c r="D718" i="3032"/>
  <c r="E718" i="3032"/>
  <c r="D719" i="3032"/>
  <c r="E719" i="3032"/>
  <c r="D720" i="3032"/>
  <c r="E720" i="3032"/>
  <c r="D721" i="3032"/>
  <c r="E721" i="3032"/>
  <c r="D722" i="3032"/>
  <c r="E722" i="3032"/>
  <c r="D723" i="3032"/>
  <c r="E723" i="3032"/>
  <c r="D724" i="3032"/>
  <c r="E724" i="3032"/>
  <c r="D725" i="3032"/>
  <c r="E725" i="3032"/>
  <c r="D726" i="3032"/>
  <c r="E726" i="3032"/>
  <c r="D727" i="3032"/>
  <c r="E727" i="3032"/>
  <c r="D728" i="3032"/>
  <c r="E728" i="3032"/>
  <c r="D729" i="3032"/>
  <c r="E729" i="3032"/>
  <c r="D730" i="3032"/>
  <c r="E730" i="3032"/>
  <c r="D731" i="3032"/>
  <c r="E731" i="3032"/>
  <c r="D732" i="3032"/>
  <c r="E732" i="3032"/>
  <c r="D733" i="3032"/>
  <c r="E733" i="3032"/>
  <c r="D734" i="3032"/>
  <c r="E734" i="3032"/>
  <c r="D735" i="3032"/>
  <c r="E735" i="3032"/>
  <c r="D736" i="3032"/>
  <c r="E736" i="3032"/>
  <c r="D737" i="3032"/>
  <c r="E737" i="3032"/>
  <c r="D738" i="3032"/>
  <c r="E738" i="3032"/>
  <c r="D739" i="3032"/>
  <c r="E739" i="3032"/>
  <c r="D740" i="3032"/>
  <c r="E740" i="3032"/>
  <c r="D741" i="3032"/>
  <c r="E741" i="3032"/>
  <c r="D742" i="3032"/>
  <c r="E742" i="3032"/>
  <c r="D743" i="3032"/>
  <c r="E743" i="3032"/>
  <c r="D744" i="3032"/>
  <c r="E744" i="3032"/>
  <c r="D745" i="3032"/>
  <c r="E745" i="3032"/>
  <c r="D746" i="3032"/>
  <c r="E746" i="3032"/>
  <c r="D747" i="3032"/>
  <c r="E747" i="3032"/>
  <c r="D748" i="3032"/>
  <c r="E748" i="3032"/>
  <c r="D749" i="3032"/>
  <c r="E749" i="3032"/>
  <c r="D750" i="3032"/>
  <c r="E750" i="3032"/>
  <c r="D751" i="3032"/>
  <c r="E751" i="3032"/>
  <c r="D752" i="3032"/>
  <c r="E752" i="3032"/>
  <c r="D753" i="3032"/>
  <c r="E753" i="3032"/>
  <c r="D754" i="3032"/>
  <c r="E754" i="3032"/>
  <c r="D755" i="3032"/>
  <c r="E755" i="3032"/>
  <c r="D756" i="3032"/>
  <c r="E756" i="3032"/>
  <c r="D757" i="3032"/>
  <c r="E757" i="3032"/>
  <c r="D758" i="3032"/>
  <c r="E758" i="3032"/>
  <c r="D759" i="3032"/>
  <c r="E759" i="3032"/>
  <c r="D760" i="3032"/>
  <c r="E760" i="3032"/>
  <c r="D761" i="3032"/>
  <c r="E761" i="3032"/>
  <c r="D762" i="3032"/>
  <c r="E762" i="3032"/>
  <c r="D763" i="3032"/>
  <c r="E763" i="3032"/>
  <c r="D764" i="3032"/>
  <c r="E764" i="3032"/>
  <c r="D765" i="3032"/>
  <c r="E765" i="3032"/>
  <c r="D766" i="3032"/>
  <c r="E766" i="3032"/>
  <c r="D767" i="3032"/>
  <c r="E767" i="3032"/>
  <c r="D768" i="3032"/>
  <c r="E768" i="3032"/>
  <c r="D769" i="3032"/>
  <c r="E769" i="3032"/>
  <c r="D770" i="3032"/>
  <c r="E770" i="3032"/>
  <c r="D771" i="3032"/>
  <c r="E771" i="3032"/>
  <c r="D772" i="3032"/>
  <c r="E772" i="3032"/>
  <c r="D773" i="3032"/>
  <c r="E773" i="3032"/>
  <c r="D774" i="3032"/>
  <c r="E774" i="3032"/>
  <c r="D775" i="3032"/>
  <c r="E775" i="3032"/>
  <c r="D776" i="3032"/>
  <c r="E776" i="3032"/>
  <c r="D777" i="3032"/>
  <c r="E777" i="3032"/>
  <c r="D778" i="3032"/>
  <c r="E778" i="3032"/>
  <c r="D779" i="3032"/>
  <c r="E779" i="3032"/>
  <c r="D780" i="3032"/>
  <c r="E780" i="3032"/>
  <c r="D781" i="3032"/>
  <c r="E781" i="3032"/>
  <c r="D782" i="3032"/>
  <c r="E782" i="3032"/>
  <c r="D783" i="3032"/>
  <c r="E783" i="3032"/>
  <c r="D784" i="3032"/>
  <c r="E784" i="3032"/>
  <c r="D785" i="3032"/>
  <c r="E785" i="3032"/>
  <c r="D786" i="3032"/>
  <c r="E786" i="3032"/>
  <c r="D787" i="3032"/>
  <c r="E787" i="3032"/>
  <c r="D788" i="3032"/>
  <c r="E788" i="3032"/>
  <c r="D789" i="3032"/>
  <c r="E789" i="3032"/>
  <c r="D790" i="3032"/>
  <c r="E790" i="3032"/>
  <c r="D791" i="3032"/>
  <c r="E791" i="3032"/>
  <c r="D792" i="3032"/>
  <c r="E792" i="3032"/>
  <c r="D793" i="3032"/>
  <c r="E793" i="3032"/>
  <c r="D794" i="3032"/>
  <c r="E794" i="3032"/>
  <c r="D795" i="3032"/>
  <c r="E795" i="3032"/>
  <c r="D796" i="3032"/>
  <c r="E796" i="3032"/>
  <c r="D797" i="3032"/>
  <c r="E797" i="3032"/>
  <c r="D798" i="3032"/>
  <c r="E798" i="3032"/>
  <c r="D799" i="3032"/>
  <c r="E799" i="3032"/>
  <c r="D800" i="3032"/>
  <c r="E800" i="3032"/>
  <c r="D801" i="3032"/>
  <c r="E801" i="3032"/>
  <c r="D802" i="3032"/>
  <c r="E802" i="3032"/>
  <c r="D803" i="3032"/>
  <c r="E803" i="3032"/>
  <c r="D804" i="3032"/>
  <c r="E804" i="3032"/>
  <c r="D805" i="3032"/>
  <c r="E805" i="3032"/>
  <c r="D806" i="3032"/>
  <c r="E806" i="3032"/>
  <c r="D807" i="3032"/>
  <c r="E807" i="3032"/>
  <c r="D808" i="3032"/>
  <c r="E808" i="3032"/>
  <c r="D809" i="3032"/>
  <c r="E809" i="3032"/>
  <c r="D810" i="3032"/>
  <c r="E810" i="3032"/>
  <c r="D811" i="3032"/>
  <c r="E811" i="3032"/>
  <c r="D812" i="3032"/>
  <c r="E812" i="3032"/>
  <c r="D813" i="3032"/>
  <c r="E813" i="3032"/>
  <c r="D814" i="3032"/>
  <c r="E814" i="3032"/>
  <c r="D815" i="3032"/>
  <c r="E815" i="3032"/>
  <c r="D816" i="3032"/>
  <c r="E816" i="3032"/>
  <c r="D817" i="3032"/>
  <c r="E817" i="3032"/>
  <c r="D818" i="3032"/>
  <c r="E818" i="3032"/>
  <c r="D819" i="3032"/>
  <c r="E819" i="3032"/>
  <c r="D820" i="3032"/>
  <c r="E820" i="3032"/>
  <c r="D821" i="3032"/>
  <c r="E821" i="3032"/>
  <c r="D822" i="3032"/>
  <c r="E822" i="3032"/>
  <c r="D823" i="3032"/>
  <c r="E823" i="3032"/>
  <c r="D824" i="3032"/>
  <c r="E824" i="3032"/>
  <c r="D825" i="3032"/>
  <c r="E825" i="3032"/>
  <c r="D826" i="3032"/>
  <c r="E826" i="3032"/>
  <c r="D827" i="3032"/>
  <c r="E827" i="3032"/>
  <c r="D828" i="3032"/>
  <c r="E828" i="3032"/>
  <c r="D829" i="3032"/>
  <c r="E829" i="3032"/>
  <c r="D830" i="3032"/>
  <c r="E830" i="3032"/>
  <c r="D831" i="3032"/>
  <c r="E831" i="3032"/>
  <c r="D832" i="3032"/>
  <c r="E832" i="3032"/>
  <c r="D833" i="3032"/>
  <c r="E833" i="3032"/>
  <c r="D834" i="3032"/>
  <c r="E834" i="3032"/>
  <c r="D835" i="3032"/>
  <c r="E835" i="3032"/>
  <c r="D836" i="3032"/>
  <c r="E836" i="3032"/>
  <c r="D837" i="3032"/>
  <c r="E837" i="3032"/>
  <c r="D838" i="3032"/>
  <c r="E838" i="3032"/>
  <c r="D839" i="3032"/>
  <c r="E839" i="3032"/>
  <c r="D840" i="3032"/>
  <c r="E840" i="3032"/>
  <c r="D841" i="3032"/>
  <c r="E841" i="3032"/>
  <c r="D842" i="3032"/>
  <c r="E842" i="3032"/>
  <c r="D843" i="3032"/>
  <c r="E843" i="3032"/>
  <c r="D844" i="3032"/>
  <c r="E844" i="3032"/>
  <c r="D845" i="3032"/>
  <c r="E845" i="3032"/>
  <c r="D846" i="3032"/>
  <c r="E846" i="3032"/>
  <c r="D847" i="3032"/>
  <c r="E847" i="3032"/>
  <c r="D848" i="3032"/>
  <c r="E848" i="3032"/>
  <c r="D849" i="3032"/>
  <c r="E849" i="3032"/>
  <c r="D850" i="3032"/>
  <c r="E850" i="3032"/>
  <c r="D851" i="3032"/>
  <c r="E851" i="3032"/>
  <c r="D852" i="3032"/>
  <c r="E852" i="3032"/>
  <c r="D853" i="3032"/>
  <c r="E853" i="3032"/>
  <c r="D854" i="3032"/>
  <c r="E854" i="3032"/>
  <c r="D855" i="3032"/>
  <c r="E855" i="3032"/>
  <c r="D856" i="3032"/>
  <c r="E856" i="3032"/>
  <c r="D857" i="3032"/>
  <c r="E857" i="3032"/>
  <c r="D858" i="3032"/>
  <c r="E858" i="3032"/>
  <c r="D859" i="3032"/>
  <c r="E859" i="3032"/>
  <c r="D860" i="3032"/>
  <c r="E860" i="3032"/>
  <c r="D861" i="3032"/>
  <c r="E861" i="3032"/>
  <c r="D862" i="3032"/>
  <c r="E862" i="3032"/>
  <c r="D863" i="3032"/>
  <c r="E863" i="3032"/>
  <c r="D864" i="3032"/>
  <c r="E864" i="3032"/>
  <c r="D865" i="3032"/>
  <c r="E865" i="3032"/>
  <c r="D866" i="3032"/>
  <c r="E866" i="3032"/>
  <c r="D867" i="3032"/>
  <c r="E867" i="3032"/>
  <c r="D868" i="3032"/>
  <c r="E868" i="3032"/>
  <c r="D869" i="3032"/>
  <c r="E869" i="3032"/>
  <c r="D870" i="3032"/>
  <c r="E870" i="3032"/>
  <c r="D871" i="3032"/>
  <c r="E871" i="3032"/>
  <c r="D872" i="3032"/>
  <c r="E872" i="3032"/>
  <c r="D873" i="3032"/>
  <c r="E873" i="3032"/>
  <c r="D874" i="3032"/>
  <c r="E874" i="3032"/>
  <c r="D875" i="3032"/>
  <c r="E875" i="3032"/>
  <c r="D876" i="3032"/>
  <c r="E876" i="3032"/>
  <c r="D877" i="3032"/>
  <c r="E877" i="3032"/>
  <c r="D878" i="3032"/>
  <c r="E878" i="3032"/>
  <c r="D879" i="3032"/>
  <c r="E879" i="3032"/>
  <c r="D880" i="3032"/>
  <c r="E880" i="3032"/>
  <c r="D881" i="3032"/>
  <c r="E881" i="3032"/>
  <c r="D882" i="3032"/>
  <c r="E882" i="3032"/>
  <c r="D883" i="3032"/>
  <c r="E883" i="3032"/>
  <c r="D884" i="3032"/>
  <c r="E884" i="3032"/>
  <c r="D885" i="3032"/>
  <c r="E885" i="3032"/>
  <c r="D886" i="3032"/>
  <c r="E886" i="3032"/>
  <c r="D887" i="3032"/>
  <c r="E887" i="3032"/>
  <c r="D888" i="3032"/>
  <c r="E888" i="3032"/>
  <c r="D889" i="3032"/>
  <c r="E889" i="3032"/>
  <c r="D890" i="3032"/>
  <c r="E890" i="3032"/>
  <c r="D891" i="3032"/>
  <c r="E891" i="3032"/>
  <c r="D892" i="3032"/>
  <c r="E892" i="3032"/>
  <c r="D893" i="3032"/>
  <c r="E893" i="3032"/>
  <c r="D894" i="3032"/>
  <c r="E894" i="3032"/>
  <c r="D895" i="3032"/>
  <c r="E895" i="3032"/>
  <c r="D896" i="3032"/>
  <c r="E896" i="3032"/>
  <c r="D897" i="3032"/>
  <c r="E897" i="3032"/>
  <c r="D898" i="3032"/>
  <c r="E898" i="3032"/>
  <c r="D899" i="3032"/>
  <c r="E899" i="3032"/>
  <c r="D900" i="3032"/>
  <c r="E900" i="3032"/>
  <c r="D901" i="3032"/>
  <c r="E901" i="3032"/>
  <c r="D902" i="3032"/>
  <c r="E902" i="3032"/>
  <c r="D903" i="3032"/>
  <c r="E903" i="3032"/>
  <c r="D904" i="3032"/>
  <c r="E904" i="3032"/>
  <c r="D905" i="3032"/>
  <c r="E905" i="3032"/>
  <c r="D906" i="3032"/>
  <c r="E906" i="3032"/>
  <c r="D907" i="3032"/>
  <c r="E907" i="3032"/>
  <c r="D908" i="3032"/>
  <c r="E908" i="3032"/>
  <c r="D909" i="3032"/>
  <c r="E909" i="3032"/>
  <c r="D910" i="3032"/>
  <c r="E910" i="3032"/>
  <c r="D911" i="3032"/>
  <c r="E911" i="3032"/>
  <c r="D912" i="3032"/>
  <c r="E912" i="3032"/>
  <c r="D913" i="3032"/>
  <c r="E913" i="3032"/>
  <c r="D914" i="3032"/>
  <c r="E914" i="3032"/>
  <c r="D915" i="3032"/>
  <c r="E915" i="3032"/>
  <c r="D916" i="3032"/>
  <c r="E916" i="3032"/>
  <c r="D917" i="3032"/>
  <c r="E917" i="3032"/>
  <c r="D918" i="3032"/>
  <c r="E918" i="3032"/>
  <c r="D919" i="3032"/>
  <c r="E919" i="3032"/>
  <c r="D920" i="3032"/>
  <c r="E920" i="3032"/>
  <c r="D921" i="3032"/>
  <c r="E921" i="3032"/>
  <c r="D922" i="3032"/>
  <c r="E922" i="3032"/>
  <c r="D923" i="3032"/>
  <c r="E923" i="3032"/>
  <c r="D924" i="3032"/>
  <c r="E924" i="3032"/>
  <c r="D925" i="3032"/>
  <c r="E925" i="3032"/>
  <c r="D926" i="3032"/>
  <c r="E926" i="3032"/>
  <c r="D927" i="3032"/>
  <c r="E927" i="3032"/>
  <c r="D928" i="3032"/>
  <c r="E928" i="3032"/>
  <c r="D929" i="3032"/>
  <c r="E929" i="3032"/>
  <c r="D930" i="3032"/>
  <c r="E930" i="3032"/>
  <c r="D931" i="3032"/>
  <c r="E931" i="3032"/>
  <c r="D932" i="3032"/>
  <c r="E932" i="3032"/>
  <c r="D933" i="3032"/>
  <c r="E933" i="3032"/>
  <c r="D934" i="3032"/>
  <c r="E934" i="3032"/>
  <c r="D935" i="3032"/>
  <c r="E935" i="3032"/>
  <c r="D936" i="3032"/>
  <c r="E936" i="3032"/>
  <c r="D937" i="3032"/>
  <c r="E937" i="3032"/>
  <c r="D938" i="3032"/>
  <c r="E938" i="3032"/>
  <c r="D939" i="3032"/>
  <c r="E939" i="3032"/>
  <c r="D940" i="3032"/>
  <c r="E940" i="3032"/>
  <c r="D941" i="3032"/>
  <c r="E941" i="3032"/>
  <c r="D942" i="3032"/>
  <c r="E942" i="3032"/>
  <c r="D943" i="3032"/>
  <c r="E943" i="3032"/>
  <c r="D944" i="3032"/>
  <c r="E944" i="3032"/>
  <c r="D945" i="3032"/>
  <c r="E945" i="3032"/>
  <c r="D946" i="3032"/>
  <c r="E946" i="3032"/>
  <c r="D947" i="3032"/>
  <c r="E947" i="3032"/>
  <c r="D948" i="3032"/>
  <c r="E948" i="3032"/>
  <c r="D949" i="3032"/>
  <c r="E949" i="3032"/>
  <c r="D950" i="3032"/>
  <c r="E950" i="3032"/>
  <c r="D951" i="3032"/>
  <c r="E951" i="3032"/>
  <c r="D952" i="3032"/>
  <c r="E952" i="3032"/>
  <c r="D953" i="3032"/>
  <c r="E953" i="3032"/>
  <c r="D954" i="3032"/>
  <c r="E954" i="3032"/>
  <c r="D955" i="3032"/>
  <c r="E955" i="3032"/>
  <c r="D956" i="3032"/>
  <c r="E956" i="3032"/>
  <c r="D957" i="3032"/>
  <c r="E957" i="3032"/>
  <c r="D958" i="3032"/>
  <c r="E958" i="3032"/>
  <c r="D959" i="3032"/>
  <c r="E959" i="3032"/>
  <c r="D960" i="3032"/>
  <c r="E960" i="3032"/>
  <c r="D961" i="3032"/>
  <c r="E961" i="3032"/>
  <c r="D962" i="3032"/>
  <c r="E962" i="3032"/>
  <c r="D963" i="3032"/>
  <c r="E963" i="3032"/>
  <c r="D964" i="3032"/>
  <c r="E964" i="3032"/>
  <c r="D965" i="3032"/>
  <c r="E965" i="3032"/>
  <c r="D966" i="3032"/>
  <c r="E966" i="3032"/>
  <c r="D967" i="3032"/>
  <c r="E967" i="3032"/>
  <c r="D968" i="3032"/>
  <c r="E968" i="3032"/>
  <c r="D969" i="3032"/>
  <c r="E969" i="3032"/>
  <c r="D970" i="3032"/>
  <c r="E970" i="3032"/>
  <c r="D971" i="3032"/>
  <c r="E971" i="3032"/>
  <c r="D972" i="3032"/>
  <c r="E972" i="3032"/>
  <c r="D973" i="3032"/>
  <c r="E973" i="3032"/>
  <c r="D974" i="3032"/>
  <c r="E974" i="3032"/>
  <c r="D975" i="3032"/>
  <c r="E975" i="3032"/>
  <c r="D976" i="3032"/>
  <c r="E976" i="3032"/>
  <c r="D977" i="3032"/>
  <c r="E977" i="3032"/>
  <c r="D978" i="3032"/>
  <c r="E978" i="3032"/>
  <c r="D979" i="3032"/>
  <c r="E979" i="3032"/>
  <c r="D980" i="3032"/>
  <c r="E980" i="3032"/>
  <c r="D981" i="3032"/>
  <c r="E981" i="3032"/>
  <c r="D982" i="3032"/>
  <c r="E982" i="3032"/>
  <c r="D983" i="3032"/>
  <c r="E983" i="3032"/>
  <c r="D984" i="3032"/>
  <c r="E984" i="3032"/>
  <c r="D985" i="3032"/>
  <c r="E985" i="3032"/>
  <c r="D986" i="3032"/>
  <c r="E986" i="3032"/>
  <c r="D987" i="3032"/>
  <c r="E987" i="3032"/>
  <c r="D988" i="3032"/>
  <c r="E988" i="3032"/>
  <c r="D989" i="3032"/>
  <c r="E989" i="3032"/>
  <c r="D990" i="3032"/>
  <c r="E990" i="3032"/>
  <c r="D991" i="3032"/>
  <c r="E991" i="3032"/>
  <c r="D992" i="3032"/>
  <c r="E992" i="3032"/>
  <c r="D993" i="3032"/>
  <c r="E993" i="3032"/>
  <c r="D994" i="3032"/>
  <c r="E994" i="3032"/>
  <c r="D995" i="3032"/>
  <c r="E995" i="3032"/>
  <c r="D996" i="3032"/>
  <c r="E996" i="3032"/>
  <c r="D997" i="3032"/>
  <c r="E997" i="3032"/>
  <c r="D998" i="3032"/>
  <c r="E998" i="3032"/>
  <c r="D999" i="3032"/>
  <c r="E999" i="3032"/>
  <c r="D1000" i="3032"/>
  <c r="E1000" i="3032"/>
  <c r="D1001" i="3032"/>
  <c r="E1001" i="3032"/>
  <c r="D1002" i="3032"/>
  <c r="E1002" i="3032"/>
  <c r="D1003" i="3032"/>
  <c r="E1003" i="3032"/>
  <c r="D1004" i="3032"/>
  <c r="E1004" i="3032"/>
  <c r="D1005" i="3032"/>
  <c r="E1005" i="3032"/>
  <c r="D1006" i="3032"/>
  <c r="E1006" i="3032"/>
  <c r="D1007" i="3032"/>
  <c r="E1007" i="3032"/>
  <c r="D1008" i="3032"/>
  <c r="E1008" i="3032"/>
  <c r="D1009" i="3032"/>
  <c r="E1009" i="3032"/>
  <c r="D1010" i="3032"/>
  <c r="E1010" i="3032"/>
  <c r="D1011" i="3032"/>
  <c r="E1011" i="3032"/>
  <c r="D1012" i="3032"/>
  <c r="E1012" i="3032"/>
  <c r="D1013" i="3032"/>
  <c r="E1013" i="3032"/>
  <c r="D1014" i="3032"/>
  <c r="E1014" i="3032"/>
  <c r="D1015" i="3032"/>
  <c r="E1015" i="3032"/>
  <c r="D1016" i="3032"/>
  <c r="E1016" i="3032"/>
  <c r="D1017" i="3032"/>
  <c r="E1017" i="3032"/>
  <c r="D1018" i="3032"/>
  <c r="E1018" i="3032"/>
  <c r="D1019" i="3032"/>
  <c r="E1019" i="3032"/>
  <c r="D1020" i="3032"/>
  <c r="E1020" i="3032"/>
  <c r="D1021" i="3032"/>
  <c r="E1021" i="3032"/>
  <c r="D1022" i="3032"/>
  <c r="E1022" i="3032"/>
  <c r="D1023" i="3032"/>
  <c r="E1023" i="3032"/>
  <c r="D1024" i="3032"/>
  <c r="E1024" i="3032"/>
  <c r="D1025" i="3032"/>
  <c r="E1025" i="3032"/>
  <c r="D1026" i="3032"/>
  <c r="E1026" i="3032"/>
  <c r="D1027" i="3032"/>
  <c r="E1027" i="3032"/>
  <c r="D1028" i="3032"/>
  <c r="E1028" i="3032"/>
  <c r="D1029" i="3032"/>
  <c r="E1029" i="3032"/>
  <c r="D1030" i="3032"/>
  <c r="E1030" i="3032"/>
  <c r="D1031" i="3032"/>
  <c r="E1031" i="3032"/>
  <c r="D1032" i="3032"/>
  <c r="E1032" i="3032"/>
  <c r="D1033" i="3032"/>
  <c r="E1033" i="3032"/>
  <c r="D1034" i="3032"/>
  <c r="E1034" i="3032"/>
  <c r="D1035" i="3032"/>
  <c r="E1035" i="3032"/>
  <c r="D1036" i="3032"/>
  <c r="E1036" i="3032"/>
  <c r="D1037" i="3032"/>
  <c r="E1037" i="3032"/>
  <c r="D1038" i="3032"/>
  <c r="E1038" i="3032"/>
  <c r="D1039" i="3032"/>
  <c r="E1039" i="3032"/>
  <c r="D1040" i="3032"/>
  <c r="E1040" i="3032"/>
  <c r="D1041" i="3032"/>
  <c r="E1041" i="3032"/>
  <c r="D1042" i="3032"/>
  <c r="E1042" i="3032"/>
  <c r="D1043" i="3032"/>
  <c r="E1043" i="3032"/>
  <c r="D1044" i="3032"/>
  <c r="E1044" i="3032"/>
  <c r="D1045" i="3032"/>
  <c r="E1045" i="3032"/>
  <c r="D1046" i="3032"/>
  <c r="E1046" i="3032"/>
  <c r="D1047" i="3032"/>
  <c r="E1047" i="3032"/>
  <c r="D1048" i="3032"/>
  <c r="E1048" i="3032"/>
  <c r="D1049" i="3032"/>
  <c r="E1049" i="3032"/>
  <c r="D1050" i="3032"/>
  <c r="E1050" i="3032"/>
  <c r="D1051" i="3032"/>
  <c r="E1051" i="3032"/>
  <c r="D1052" i="3032"/>
  <c r="E1052" i="3032"/>
  <c r="D1053" i="3032"/>
  <c r="E1053" i="3032"/>
  <c r="D1054" i="3032"/>
  <c r="E1054" i="3032"/>
  <c r="D1055" i="3032"/>
  <c r="E1055" i="3032"/>
  <c r="D1056" i="3032"/>
  <c r="E1056" i="3032"/>
  <c r="D1057" i="3032"/>
  <c r="E1057" i="3032"/>
  <c r="D1058" i="3032"/>
  <c r="E1058" i="3032"/>
  <c r="D1059" i="3032"/>
  <c r="E1059" i="3032"/>
  <c r="D1060" i="3032"/>
  <c r="E1060" i="3032"/>
  <c r="D1061" i="3032"/>
  <c r="E1061" i="3032"/>
  <c r="D1062" i="3032"/>
  <c r="E1062" i="3032"/>
  <c r="D1063" i="3032"/>
  <c r="E1063" i="3032"/>
  <c r="D1064" i="3032"/>
  <c r="E1064" i="3032"/>
  <c r="D1065" i="3032"/>
  <c r="E1065" i="3032"/>
  <c r="D1066" i="3032"/>
  <c r="E1066" i="3032"/>
  <c r="D1067" i="3032"/>
  <c r="E1067" i="3032"/>
  <c r="D1068" i="3032"/>
  <c r="E1068" i="3032"/>
  <c r="D1069" i="3032"/>
  <c r="E1069" i="3032"/>
  <c r="D1070" i="3032"/>
  <c r="E1070" i="3032"/>
  <c r="D1071" i="3032"/>
  <c r="E1071" i="3032"/>
  <c r="D1072" i="3032"/>
  <c r="E1072" i="3032"/>
  <c r="D1073" i="3032"/>
  <c r="E1073" i="3032"/>
  <c r="D1074" i="3032"/>
  <c r="E1074" i="3032"/>
  <c r="D1075" i="3032"/>
  <c r="E1075" i="3032"/>
  <c r="D1076" i="3032"/>
  <c r="E1076" i="3032"/>
  <c r="D1077" i="3032"/>
  <c r="E1077" i="3032"/>
  <c r="D1078" i="3032"/>
  <c r="E1078" i="3032"/>
  <c r="D1079" i="3032"/>
  <c r="E1079" i="3032"/>
  <c r="D1080" i="3032"/>
  <c r="E1080" i="3032"/>
  <c r="D1081" i="3032"/>
  <c r="E1081" i="3032"/>
  <c r="D1082" i="3032"/>
  <c r="E1082" i="3032"/>
  <c r="D1083" i="3032"/>
  <c r="E1083" i="3032"/>
  <c r="D1084" i="3032"/>
  <c r="E1084" i="3032"/>
  <c r="D1085" i="3032"/>
  <c r="E1085" i="3032"/>
  <c r="D1086" i="3032"/>
  <c r="E1086" i="3032"/>
  <c r="D1087" i="3032"/>
  <c r="E1087" i="3032"/>
  <c r="D1088" i="3032"/>
  <c r="E1088" i="3032"/>
  <c r="D1089" i="3032"/>
  <c r="E1089" i="3032"/>
  <c r="D1090" i="3032"/>
  <c r="E1090" i="3032"/>
  <c r="D1091" i="3032"/>
  <c r="E1091" i="3032"/>
  <c r="D1092" i="3032"/>
  <c r="E1092" i="3032"/>
  <c r="D1093" i="3032"/>
  <c r="E1093" i="3032"/>
  <c r="D1094" i="3032"/>
  <c r="E1094" i="3032"/>
  <c r="D1095" i="3032"/>
  <c r="E1095" i="3032"/>
  <c r="D1096" i="3032"/>
  <c r="E1096" i="3032"/>
  <c r="D1097" i="3032"/>
  <c r="E1097" i="3032"/>
  <c r="D1098" i="3032"/>
  <c r="E1098" i="3032"/>
  <c r="D1099" i="3032"/>
  <c r="E1099" i="3032"/>
  <c r="D1100" i="3032"/>
  <c r="E1100" i="3032"/>
  <c r="D1101" i="3032"/>
  <c r="E1101" i="3032"/>
  <c r="D1102" i="3032"/>
  <c r="E1102" i="3032"/>
  <c r="D1103" i="3032"/>
  <c r="E1103" i="3032"/>
  <c r="D1104" i="3032"/>
  <c r="E1104" i="3032"/>
  <c r="D1105" i="3032"/>
  <c r="E1105" i="3032"/>
  <c r="D1106" i="3032"/>
  <c r="E1106" i="3032"/>
  <c r="D1107" i="3032"/>
  <c r="E1107" i="3032"/>
  <c r="D1108" i="3032"/>
  <c r="E1108" i="3032"/>
  <c r="D1109" i="3032"/>
  <c r="E1109" i="3032"/>
  <c r="D1110" i="3032"/>
  <c r="E1110" i="3032"/>
  <c r="D1111" i="3032"/>
  <c r="E1111" i="3032"/>
  <c r="D1112" i="3032"/>
  <c r="E1112" i="3032"/>
  <c r="D1113" i="3032"/>
  <c r="E1113" i="3032"/>
  <c r="D1114" i="3032"/>
  <c r="E1114" i="3032"/>
  <c r="D1115" i="3032"/>
  <c r="E1115" i="3032"/>
  <c r="D1116" i="3032"/>
  <c r="E1116" i="3032"/>
  <c r="E5" i="3032"/>
  <c r="E6" i="3032"/>
  <c r="E7" i="3032"/>
  <c r="E8" i="3032"/>
  <c r="E9" i="3032"/>
  <c r="E10" i="3032"/>
  <c r="E11" i="3032"/>
  <c r="E12" i="3032"/>
  <c r="E13" i="3032"/>
  <c r="E14" i="3032"/>
  <c r="E15" i="3032"/>
  <c r="E16" i="3032"/>
  <c r="E17" i="3032"/>
  <c r="E18" i="3032"/>
  <c r="E19" i="3032"/>
  <c r="E20" i="3032"/>
  <c r="E21" i="3032"/>
  <c r="E22" i="3032"/>
  <c r="E23" i="3032"/>
  <c r="E24" i="3032"/>
  <c r="E25" i="3032"/>
  <c r="E26" i="3032"/>
  <c r="E27" i="3032"/>
  <c r="E28" i="3032"/>
  <c r="E29" i="3032"/>
  <c r="D6" i="3032"/>
  <c r="D7" i="3032"/>
  <c r="D8" i="3032"/>
  <c r="D9" i="3032"/>
  <c r="D10" i="3032"/>
  <c r="D11" i="3032"/>
  <c r="D12" i="3032"/>
  <c r="D13" i="3032"/>
  <c r="D14" i="3032"/>
  <c r="D15" i="3032"/>
  <c r="D16" i="3032"/>
  <c r="D17" i="3032"/>
  <c r="D18" i="3032"/>
  <c r="D19" i="3032"/>
  <c r="D20" i="3032"/>
  <c r="D21" i="3032"/>
  <c r="D22" i="3032"/>
  <c r="D23" i="3032"/>
  <c r="D24" i="3032"/>
  <c r="D25" i="3032"/>
  <c r="D26" i="3032"/>
  <c r="D27" i="3032"/>
  <c r="D28" i="3032"/>
  <c r="D29" i="3032"/>
  <c r="D5" i="3032"/>
  <c r="P35" i="46477"/>
  <c r="P33" i="46477"/>
  <c r="P32" i="46477"/>
  <c r="Q3" i="46477"/>
  <c r="AJ22" i="46476"/>
  <c r="AI22" i="46476"/>
  <c r="C44" i="46476"/>
  <c r="F84" i="46476"/>
  <c r="H84" i="46476"/>
  <c r="G84" i="46476"/>
  <c r="C41" i="46476"/>
  <c r="F81" i="46476"/>
  <c r="G81" i="46476"/>
  <c r="H81" i="46476"/>
  <c r="C38" i="46476"/>
  <c r="F78" i="46476"/>
  <c r="H78" i="46476"/>
  <c r="G78" i="46476"/>
  <c r="G15" i="46476"/>
  <c r="G12" i="46476"/>
  <c r="AJ21" i="46476"/>
  <c r="AI21" i="46476"/>
  <c r="H12" i="46476"/>
  <c r="AJ20" i="46476"/>
  <c r="AI20" i="46476"/>
  <c r="AJ17" i="46476"/>
  <c r="AI17" i="46476"/>
  <c r="C43" i="46476"/>
  <c r="F83" i="46476"/>
  <c r="G83" i="46476"/>
  <c r="H83" i="46476"/>
  <c r="C40" i="46476"/>
  <c r="F80" i="46476"/>
  <c r="G80" i="46476"/>
  <c r="H80" i="46476"/>
  <c r="G17" i="46476"/>
  <c r="G14" i="46476"/>
  <c r="I74" i="46476"/>
  <c r="J74" i="46476" s="1"/>
  <c r="G11" i="46476"/>
  <c r="AJ16" i="46476"/>
  <c r="AI16" i="46476"/>
  <c r="H11" i="46476"/>
  <c r="AJ15" i="46476"/>
  <c r="AI15" i="46476"/>
  <c r="G10" i="46476"/>
  <c r="H10" i="46476"/>
  <c r="G13" i="46476"/>
  <c r="H13" i="46476"/>
  <c r="G16" i="46476"/>
  <c r="C39" i="46476"/>
  <c r="F79" i="46476"/>
  <c r="G79" i="46476"/>
  <c r="H79" i="46476"/>
  <c r="C42" i="46476"/>
  <c r="F82" i="46476"/>
  <c r="G82" i="46476"/>
  <c r="H82" i="46476"/>
  <c r="C45" i="46476"/>
  <c r="F85" i="46476"/>
  <c r="H85" i="46476"/>
  <c r="G85" i="46476"/>
  <c r="A1" i="46477"/>
  <c r="L1" i="46477"/>
  <c r="A4" i="46477"/>
  <c r="P34" i="46477"/>
  <c r="G70" i="46476"/>
  <c r="F70" i="46476"/>
  <c r="H70" i="46476"/>
  <c r="C30" i="46476"/>
  <c r="F77" i="46476"/>
  <c r="H77" i="46476"/>
  <c r="G77" i="46476"/>
  <c r="C37" i="46476"/>
  <c r="F76" i="46476"/>
  <c r="G76" i="46476"/>
  <c r="H76" i="46476"/>
  <c r="C36" i="46476"/>
  <c r="F73" i="46476"/>
  <c r="G73" i="46476"/>
  <c r="H73" i="46476"/>
  <c r="C33" i="46476"/>
  <c r="F74" i="46476"/>
  <c r="G74" i="46476"/>
  <c r="C34" i="46476"/>
  <c r="F75" i="46476"/>
  <c r="G75" i="46476"/>
  <c r="H75" i="46476"/>
  <c r="C35" i="46476"/>
  <c r="F72" i="46476"/>
  <c r="H72" i="46476"/>
  <c r="G72" i="46476"/>
  <c r="C32" i="46476"/>
  <c r="F71" i="46476"/>
  <c r="G71" i="46476"/>
  <c r="H71" i="46476"/>
  <c r="C31" i="46476"/>
  <c r="V3" i="46476"/>
  <c r="O3" i="46476"/>
  <c r="C5" i="46476"/>
  <c r="G1" i="46476"/>
  <c r="A4" i="111"/>
  <c r="P34" i="111"/>
  <c r="P35" i="111"/>
  <c r="P33" i="111"/>
  <c r="P32" i="111"/>
  <c r="L1" i="111"/>
  <c r="A1" i="111"/>
  <c r="F13" i="46476"/>
  <c r="H74" i="46476"/>
  <c r="T22" i="111"/>
  <c r="T20" i="111"/>
  <c r="T16" i="111"/>
  <c r="T14" i="111"/>
  <c r="I84" i="46476"/>
  <c r="J84" i="46476" s="1"/>
  <c r="I81" i="46476"/>
  <c r="J81" i="46476" s="1"/>
  <c r="K81" i="46476" s="1"/>
  <c r="R20" i="46476" s="1"/>
  <c r="AE20" i="46476" s="1"/>
  <c r="I80" i="46476"/>
  <c r="J80" i="46476" s="1"/>
  <c r="L80" i="46476" s="1"/>
  <c r="I79" i="46476"/>
  <c r="J79" i="46476" s="1"/>
  <c r="I73" i="46476"/>
  <c r="J73" i="46476" s="1"/>
  <c r="L73" i="46476" s="1"/>
  <c r="O10" i="46476" s="1"/>
  <c r="AB10" i="46476" s="1"/>
  <c r="I77" i="46476"/>
  <c r="J77" i="46476" s="1"/>
  <c r="F14" i="46476"/>
  <c r="F15" i="46476"/>
  <c r="F16" i="46476"/>
  <c r="F17" i="46476"/>
  <c r="F18" i="46476"/>
  <c r="F19" i="46476"/>
  <c r="F20" i="46476"/>
  <c r="F21" i="46476"/>
  <c r="F22" i="46476"/>
  <c r="F23" i="46476"/>
  <c r="F24" i="46476"/>
  <c r="F25" i="46476"/>
  <c r="K73" i="46476" l="1"/>
  <c r="T28" i="46477"/>
  <c r="T13" i="46477"/>
  <c r="T22" i="46477"/>
  <c r="T16" i="46477"/>
  <c r="T25" i="46477"/>
  <c r="T15" i="46477"/>
  <c r="T23" i="46477"/>
  <c r="K80" i="46476"/>
  <c r="L81" i="46476"/>
  <c r="S20" i="46476" s="1"/>
  <c r="AF20" i="46476" s="1"/>
  <c r="L84" i="46476"/>
  <c r="U20" i="46476" s="1"/>
  <c r="AH20" i="46476" s="1"/>
  <c r="K84" i="46476"/>
  <c r="T20" i="46476" s="1"/>
  <c r="AG20" i="46476" s="1"/>
  <c r="K74" i="46476"/>
  <c r="L74" i="46476"/>
  <c r="L77" i="46476"/>
  <c r="Q15" i="46476" s="1"/>
  <c r="AD15" i="46476" s="1"/>
  <c r="K77" i="46476"/>
  <c r="P15" i="46476" s="1"/>
  <c r="AC15" i="46476" s="1"/>
  <c r="K79" i="46476"/>
  <c r="L79" i="46476"/>
  <c r="S10" i="46476" s="1"/>
  <c r="AF10" i="46476" s="1"/>
  <c r="H20" i="46476"/>
  <c r="R6" i="46477"/>
  <c r="U10" i="46476"/>
  <c r="AH10" i="46476" s="1"/>
  <c r="O15" i="46476"/>
  <c r="AB15" i="46476" s="1"/>
  <c r="S15" i="46476"/>
  <c r="AF15" i="46476" s="1"/>
  <c r="I71" i="46476"/>
  <c r="J71" i="46476" s="1"/>
  <c r="I78" i="46476"/>
  <c r="J78" i="46476" s="1"/>
  <c r="I85" i="46476"/>
  <c r="J85" i="46476" s="1"/>
  <c r="C28" i="46476"/>
  <c r="I76" i="46476"/>
  <c r="J76" i="46476" s="1"/>
  <c r="I82" i="46476"/>
  <c r="J82" i="46476" s="1"/>
  <c r="I75" i="46476"/>
  <c r="J75" i="46476" s="1"/>
  <c r="I83" i="46476"/>
  <c r="J83" i="46476" s="1"/>
  <c r="I70" i="46476"/>
  <c r="J70" i="46476" s="1"/>
  <c r="I72" i="46476"/>
  <c r="J72" i="46476" s="1"/>
  <c r="R6" i="111"/>
  <c r="T20" i="46477"/>
  <c r="T27" i="46477"/>
  <c r="T18" i="46477"/>
  <c r="T14" i="46477"/>
  <c r="T21" i="46477"/>
  <c r="T19" i="46477"/>
  <c r="T26" i="46477"/>
  <c r="T17" i="46477"/>
  <c r="T24" i="46477"/>
  <c r="R10" i="46476"/>
  <c r="AE10" i="46476" s="1"/>
  <c r="T26" i="111"/>
  <c r="T24" i="111"/>
  <c r="T17" i="111"/>
  <c r="T23" i="111"/>
  <c r="T27" i="111"/>
  <c r="N10" i="46476"/>
  <c r="AA10" i="46476" s="1"/>
  <c r="R15" i="46476"/>
  <c r="AE15" i="46476" s="1"/>
  <c r="T19" i="111"/>
  <c r="T25" i="111"/>
  <c r="T13" i="111"/>
  <c r="T28" i="111"/>
  <c r="N15" i="46476"/>
  <c r="AA15" i="46476" s="1"/>
  <c r="T18" i="111"/>
  <c r="T15" i="111"/>
  <c r="U25" i="111" l="1"/>
  <c r="V25" i="111" s="1"/>
  <c r="U26" i="111"/>
  <c r="W26" i="111" s="1"/>
  <c r="U21" i="111"/>
  <c r="U15" i="111"/>
  <c r="W15" i="111" s="1"/>
  <c r="U19" i="111"/>
  <c r="W19" i="111" s="1"/>
  <c r="U23" i="111"/>
  <c r="V23" i="111" s="1"/>
  <c r="U28" i="111"/>
  <c r="W28" i="111" s="1"/>
  <c r="U18" i="111"/>
  <c r="V18" i="111" s="1"/>
  <c r="U13" i="111"/>
  <c r="V13" i="111" s="1"/>
  <c r="U24" i="111"/>
  <c r="W24" i="111" s="1"/>
  <c r="U17" i="111"/>
  <c r="V17" i="111" s="1"/>
  <c r="U14" i="111"/>
  <c r="U27" i="111"/>
  <c r="U16" i="111"/>
  <c r="U22" i="111"/>
  <c r="U20" i="111"/>
  <c r="L85" i="46476"/>
  <c r="W10" i="46476" s="1"/>
  <c r="AJ10" i="46476" s="1"/>
  <c r="K85" i="46476"/>
  <c r="V10" i="46476" s="1"/>
  <c r="AI10" i="46476" s="1"/>
  <c r="L72" i="46476"/>
  <c r="M20" i="46476" s="1"/>
  <c r="Z20" i="46476" s="1"/>
  <c r="K72" i="46476"/>
  <c r="L20" i="46476" s="1"/>
  <c r="Y20" i="46476" s="1"/>
  <c r="L78" i="46476"/>
  <c r="Q20" i="46476" s="1"/>
  <c r="AD20" i="46476" s="1"/>
  <c r="K78" i="46476"/>
  <c r="P20" i="46476" s="1"/>
  <c r="AC20" i="46476" s="1"/>
  <c r="W17" i="111"/>
  <c r="L70" i="46476"/>
  <c r="M10" i="46476" s="1"/>
  <c r="Z10" i="46476" s="1"/>
  <c r="K70" i="46476"/>
  <c r="L10" i="46476" s="1"/>
  <c r="Y10" i="46476" s="1"/>
  <c r="L71" i="46476"/>
  <c r="M15" i="46476" s="1"/>
  <c r="Z15" i="46476" s="1"/>
  <c r="K71" i="46476"/>
  <c r="L15" i="46476" s="1"/>
  <c r="Y15" i="46476" s="1"/>
  <c r="H23" i="46476"/>
  <c r="K83" i="46476"/>
  <c r="T15" i="46476" s="1"/>
  <c r="AG15" i="46476" s="1"/>
  <c r="L83" i="46476"/>
  <c r="U15" i="46476" s="1"/>
  <c r="AH15" i="46476" s="1"/>
  <c r="K75" i="46476"/>
  <c r="N20" i="46476" s="1"/>
  <c r="AA20" i="46476" s="1"/>
  <c r="L75" i="46476"/>
  <c r="O20" i="46476" s="1"/>
  <c r="AB20" i="46476" s="1"/>
  <c r="V28" i="111"/>
  <c r="L82" i="46476"/>
  <c r="K82" i="46476"/>
  <c r="T10" i="46476" s="1"/>
  <c r="AG10" i="46476" s="1"/>
  <c r="L76" i="46476"/>
  <c r="Q10" i="46476" s="1"/>
  <c r="AD10" i="46476" s="1"/>
  <c r="K76" i="46476"/>
  <c r="P10" i="46476" s="1"/>
  <c r="AC10" i="46476" s="1"/>
  <c r="U21" i="46477"/>
  <c r="V21" i="46477" s="1"/>
  <c r="U16" i="46477"/>
  <c r="U22" i="46477"/>
  <c r="U26" i="46477"/>
  <c r="W26" i="46477" s="1"/>
  <c r="U15" i="46477"/>
  <c r="U20" i="46477"/>
  <c r="W20" i="46477" s="1"/>
  <c r="U19" i="46477"/>
  <c r="V19" i="46477" s="1"/>
  <c r="U24" i="46477"/>
  <c r="U27" i="46477"/>
  <c r="V27" i="46477" s="1"/>
  <c r="U28" i="46477"/>
  <c r="U14" i="46477"/>
  <c r="W14" i="46477" s="1"/>
  <c r="U18" i="46477"/>
  <c r="W18" i="46477" s="1"/>
  <c r="U13" i="46477"/>
  <c r="U17" i="46477"/>
  <c r="V17" i="46477" s="1"/>
  <c r="U25" i="46477"/>
  <c r="U23" i="46477"/>
  <c r="W27" i="111"/>
  <c r="V27" i="111"/>
  <c r="W24" i="46477"/>
  <c r="V24" i="46477"/>
  <c r="F39" i="46476"/>
  <c r="F43" i="46476"/>
  <c r="F37" i="46476"/>
  <c r="F40" i="46476"/>
  <c r="F33" i="46476"/>
  <c r="F42" i="46476"/>
  <c r="F45" i="46476"/>
  <c r="F32" i="46476"/>
  <c r="F44" i="46476"/>
  <c r="F31" i="46476"/>
  <c r="F30" i="46476"/>
  <c r="F34" i="46476"/>
  <c r="F36" i="46476"/>
  <c r="F35" i="46476"/>
  <c r="F38" i="46476"/>
  <c r="F41" i="46476"/>
  <c r="W13" i="111" l="1"/>
  <c r="V20" i="46477"/>
  <c r="W19" i="46477"/>
  <c r="W21" i="46477"/>
  <c r="W17" i="46477"/>
  <c r="W23" i="111"/>
  <c r="F51" i="46476"/>
  <c r="H31" i="46476"/>
  <c r="L31" i="46476" s="1"/>
  <c r="P31" i="46476" s="1"/>
  <c r="M17" i="46476" s="1"/>
  <c r="Z17" i="46476" s="1"/>
  <c r="G31" i="46476"/>
  <c r="K31" i="46476" s="1"/>
  <c r="O31" i="46476" s="1"/>
  <c r="L17" i="46476" s="1"/>
  <c r="Y17" i="46476" s="1"/>
  <c r="W25" i="111"/>
  <c r="G41" i="46476"/>
  <c r="K41" i="46476" s="1"/>
  <c r="O41" i="46476" s="1"/>
  <c r="R22" i="46476" s="1"/>
  <c r="AE22" i="46476" s="1"/>
  <c r="F61" i="46476"/>
  <c r="H41" i="46476"/>
  <c r="L41" i="46476" s="1"/>
  <c r="P41" i="46476" s="1"/>
  <c r="S22" i="46476" s="1"/>
  <c r="AF22" i="46476" s="1"/>
  <c r="H32" i="46476"/>
  <c r="L32" i="46476" s="1"/>
  <c r="P32" i="46476" s="1"/>
  <c r="M22" i="46476" s="1"/>
  <c r="Z22" i="46476" s="1"/>
  <c r="F52" i="46476"/>
  <c r="G32" i="46476"/>
  <c r="K32" i="46476" s="1"/>
  <c r="O32" i="46476" s="1"/>
  <c r="L22" i="46476" s="1"/>
  <c r="Y22" i="46476" s="1"/>
  <c r="V23" i="46477"/>
  <c r="W23" i="46477"/>
  <c r="V18" i="46477"/>
  <c r="V14" i="46477"/>
  <c r="V26" i="46477"/>
  <c r="W16" i="111"/>
  <c r="V16" i="111"/>
  <c r="F54" i="46476"/>
  <c r="H34" i="46476"/>
  <c r="L34" i="46476" s="1"/>
  <c r="P34" i="46476" s="1"/>
  <c r="O17" i="46476" s="1"/>
  <c r="AB17" i="46476" s="1"/>
  <c r="G34" i="46476"/>
  <c r="K34" i="46476" s="1"/>
  <c r="O34" i="46476" s="1"/>
  <c r="N17" i="46476" s="1"/>
  <c r="AA17" i="46476" s="1"/>
  <c r="F50" i="46476"/>
  <c r="G30" i="46476"/>
  <c r="K30" i="46476" s="1"/>
  <c r="O30" i="46476" s="1"/>
  <c r="L12" i="46476" s="1"/>
  <c r="Y12" i="46476" s="1"/>
  <c r="H30" i="46476"/>
  <c r="L30" i="46476" s="1"/>
  <c r="P30" i="46476" s="1"/>
  <c r="M12" i="46476" s="1"/>
  <c r="Z12" i="46476" s="1"/>
  <c r="F59" i="46476"/>
  <c r="G39" i="46476"/>
  <c r="K39" i="46476" s="1"/>
  <c r="O39" i="46476" s="1"/>
  <c r="R12" i="46476" s="1"/>
  <c r="AE12" i="46476" s="1"/>
  <c r="H39" i="46476"/>
  <c r="L39" i="46476" s="1"/>
  <c r="P39" i="46476" s="1"/>
  <c r="S12" i="46476" s="1"/>
  <c r="AF12" i="46476" s="1"/>
  <c r="V24" i="111"/>
  <c r="H38" i="46476"/>
  <c r="L38" i="46476" s="1"/>
  <c r="P38" i="46476" s="1"/>
  <c r="Q22" i="46476" s="1"/>
  <c r="AD22" i="46476" s="1"/>
  <c r="F58" i="46476"/>
  <c r="G38" i="46476"/>
  <c r="K38" i="46476" s="1"/>
  <c r="O38" i="46476" s="1"/>
  <c r="P22" i="46476" s="1"/>
  <c r="AC22" i="46476" s="1"/>
  <c r="F65" i="46476"/>
  <c r="H45" i="46476"/>
  <c r="L45" i="46476" s="1"/>
  <c r="P45" i="46476" s="1"/>
  <c r="W12" i="46476" s="1"/>
  <c r="AJ12" i="46476" s="1"/>
  <c r="G45" i="46476"/>
  <c r="K45" i="46476" s="1"/>
  <c r="O45" i="46476" s="1"/>
  <c r="V12" i="46476" s="1"/>
  <c r="AI12" i="46476" s="1"/>
  <c r="V25" i="46477"/>
  <c r="W25" i="46477"/>
  <c r="F57" i="46476"/>
  <c r="G37" i="46476"/>
  <c r="K37" i="46476" s="1"/>
  <c r="O37" i="46476" s="1"/>
  <c r="P17" i="46476" s="1"/>
  <c r="AC17" i="46476" s="1"/>
  <c r="H37" i="46476"/>
  <c r="L37" i="46476" s="1"/>
  <c r="P37" i="46476" s="1"/>
  <c r="Q17" i="46476" s="1"/>
  <c r="AD17" i="46476" s="1"/>
  <c r="W22" i="46477"/>
  <c r="V22" i="46477"/>
  <c r="W20" i="111"/>
  <c r="V20" i="111"/>
  <c r="F64" i="46476"/>
  <c r="G44" i="46476"/>
  <c r="K44" i="46476" s="1"/>
  <c r="O44" i="46476" s="1"/>
  <c r="T22" i="46476" s="1"/>
  <c r="AG22" i="46476" s="1"/>
  <c r="H44" i="46476"/>
  <c r="L44" i="46476" s="1"/>
  <c r="P44" i="46476" s="1"/>
  <c r="U22" i="46476" s="1"/>
  <c r="AH22" i="46476" s="1"/>
  <c r="W22" i="111"/>
  <c r="V22" i="111"/>
  <c r="F55" i="46476"/>
  <c r="H35" i="46476"/>
  <c r="L35" i="46476" s="1"/>
  <c r="P35" i="46476" s="1"/>
  <c r="O22" i="46476" s="1"/>
  <c r="AB22" i="46476" s="1"/>
  <c r="G35" i="46476"/>
  <c r="K35" i="46476" s="1"/>
  <c r="O35" i="46476" s="1"/>
  <c r="N22" i="46476" s="1"/>
  <c r="AA22" i="46476" s="1"/>
  <c r="F62" i="46476"/>
  <c r="H42" i="46476"/>
  <c r="L42" i="46476" s="1"/>
  <c r="P42" i="46476" s="1"/>
  <c r="U12" i="46476" s="1"/>
  <c r="AH12" i="46476" s="1"/>
  <c r="G42" i="46476"/>
  <c r="K42" i="46476" s="1"/>
  <c r="O42" i="46476" s="1"/>
  <c r="T12" i="46476" s="1"/>
  <c r="AG12" i="46476" s="1"/>
  <c r="W27" i="46477"/>
  <c r="V26" i="111"/>
  <c r="V19" i="111"/>
  <c r="W18" i="111"/>
  <c r="W14" i="111"/>
  <c r="V14" i="111"/>
  <c r="V15" i="111"/>
  <c r="F60" i="46476"/>
  <c r="H40" i="46476"/>
  <c r="L40" i="46476" s="1"/>
  <c r="P40" i="46476" s="1"/>
  <c r="S17" i="46476" s="1"/>
  <c r="AF17" i="46476" s="1"/>
  <c r="G40" i="46476"/>
  <c r="K40" i="46476" s="1"/>
  <c r="O40" i="46476" s="1"/>
  <c r="R17" i="46476" s="1"/>
  <c r="AE17" i="46476" s="1"/>
  <c r="F63" i="46476"/>
  <c r="H63" i="46476" s="1"/>
  <c r="L63" i="46476" s="1"/>
  <c r="P63" i="46476" s="1"/>
  <c r="U16" i="46476" s="1"/>
  <c r="AH16" i="46476" s="1"/>
  <c r="G43" i="46476"/>
  <c r="K43" i="46476" s="1"/>
  <c r="O43" i="46476" s="1"/>
  <c r="T17" i="46476" s="1"/>
  <c r="AG17" i="46476" s="1"/>
  <c r="H43" i="46476"/>
  <c r="L43" i="46476" s="1"/>
  <c r="P43" i="46476" s="1"/>
  <c r="U17" i="46476" s="1"/>
  <c r="AH17" i="46476" s="1"/>
  <c r="W28" i="46477"/>
  <c r="V28" i="46477"/>
  <c r="W16" i="46477"/>
  <c r="V16" i="46477"/>
  <c r="H36" i="46476"/>
  <c r="L36" i="46476" s="1"/>
  <c r="P36" i="46476" s="1"/>
  <c r="Q12" i="46476" s="1"/>
  <c r="AD12" i="46476" s="1"/>
  <c r="F56" i="46476"/>
  <c r="G36" i="46476"/>
  <c r="K36" i="46476" s="1"/>
  <c r="O36" i="46476" s="1"/>
  <c r="P12" i="46476" s="1"/>
  <c r="AC12" i="46476" s="1"/>
  <c r="G33" i="46476"/>
  <c r="K33" i="46476" s="1"/>
  <c r="O33" i="46476" s="1"/>
  <c r="N12" i="46476" s="1"/>
  <c r="AA12" i="46476" s="1"/>
  <c r="F53" i="46476"/>
  <c r="H33" i="46476"/>
  <c r="L33" i="46476" s="1"/>
  <c r="P33" i="46476" s="1"/>
  <c r="O12" i="46476" s="1"/>
  <c r="AB12" i="46476" s="1"/>
  <c r="W13" i="46477"/>
  <c r="V13" i="46477"/>
  <c r="V15" i="46477"/>
  <c r="W15" i="46477"/>
  <c r="V21" i="111"/>
  <c r="W21" i="111"/>
  <c r="G59" i="46476" l="1"/>
  <c r="K59" i="46476" s="1"/>
  <c r="O59" i="46476" s="1"/>
  <c r="R11" i="46476" s="1"/>
  <c r="AE11" i="46476" s="1"/>
  <c r="H59" i="46476"/>
  <c r="L59" i="46476" s="1"/>
  <c r="P59" i="46476" s="1"/>
  <c r="S11" i="46476" s="1"/>
  <c r="AF11" i="46476" s="1"/>
  <c r="H60" i="46476"/>
  <c r="L60" i="46476" s="1"/>
  <c r="P60" i="46476" s="1"/>
  <c r="S16" i="46476" s="1"/>
  <c r="AF16" i="46476" s="1"/>
  <c r="G60" i="46476"/>
  <c r="K60" i="46476" s="1"/>
  <c r="O60" i="46476" s="1"/>
  <c r="R16" i="46476" s="1"/>
  <c r="AE16" i="46476" s="1"/>
  <c r="H65" i="46476"/>
  <c r="L65" i="46476" s="1"/>
  <c r="P65" i="46476" s="1"/>
  <c r="W11" i="46476" s="1"/>
  <c r="AJ11" i="46476" s="1"/>
  <c r="G65" i="46476"/>
  <c r="K65" i="46476" s="1"/>
  <c r="O65" i="46476" s="1"/>
  <c r="V11" i="46476" s="1"/>
  <c r="AI11" i="46476" s="1"/>
  <c r="H57" i="46476"/>
  <c r="L57" i="46476" s="1"/>
  <c r="P57" i="46476" s="1"/>
  <c r="Q16" i="46476" s="1"/>
  <c r="AD16" i="46476" s="1"/>
  <c r="G57" i="46476"/>
  <c r="K57" i="46476" s="1"/>
  <c r="O57" i="46476" s="1"/>
  <c r="P16" i="46476" s="1"/>
  <c r="AC16" i="46476" s="1"/>
  <c r="G61" i="46476"/>
  <c r="K61" i="46476" s="1"/>
  <c r="O61" i="46476" s="1"/>
  <c r="R21" i="46476" s="1"/>
  <c r="AE21" i="46476" s="1"/>
  <c r="H61" i="46476"/>
  <c r="L61" i="46476" s="1"/>
  <c r="P61" i="46476" s="1"/>
  <c r="S21" i="46476" s="1"/>
  <c r="AF21" i="46476" s="1"/>
  <c r="H53" i="46476"/>
  <c r="L53" i="46476" s="1"/>
  <c r="P53" i="46476" s="1"/>
  <c r="O11" i="46476" s="1"/>
  <c r="AB11" i="46476" s="1"/>
  <c r="G53" i="46476"/>
  <c r="K53" i="46476" s="1"/>
  <c r="O53" i="46476" s="1"/>
  <c r="N11" i="46476" s="1"/>
  <c r="AA11" i="46476" s="1"/>
  <c r="H62" i="46476"/>
  <c r="L62" i="46476" s="1"/>
  <c r="P62" i="46476" s="1"/>
  <c r="U11" i="46476" s="1"/>
  <c r="AH11" i="46476" s="1"/>
  <c r="G62" i="46476"/>
  <c r="K62" i="46476" s="1"/>
  <c r="O62" i="46476" s="1"/>
  <c r="T11" i="46476" s="1"/>
  <c r="AG11" i="46476" s="1"/>
  <c r="G64" i="46476"/>
  <c r="K64" i="46476" s="1"/>
  <c r="O64" i="46476" s="1"/>
  <c r="T21" i="46476" s="1"/>
  <c r="AG21" i="46476" s="1"/>
  <c r="H64" i="46476"/>
  <c r="L64" i="46476" s="1"/>
  <c r="P64" i="46476" s="1"/>
  <c r="U21" i="46476" s="1"/>
  <c r="AH21" i="46476" s="1"/>
  <c r="G63" i="46476"/>
  <c r="K63" i="46476" s="1"/>
  <c r="O63" i="46476" s="1"/>
  <c r="T16" i="46476" s="1"/>
  <c r="AG16" i="46476" s="1"/>
  <c r="G58" i="46476"/>
  <c r="K58" i="46476" s="1"/>
  <c r="O58" i="46476" s="1"/>
  <c r="P21" i="46476" s="1"/>
  <c r="AC21" i="46476" s="1"/>
  <c r="H58" i="46476"/>
  <c r="L58" i="46476" s="1"/>
  <c r="P58" i="46476" s="1"/>
  <c r="Q21" i="46476" s="1"/>
  <c r="AD21" i="46476" s="1"/>
  <c r="H50" i="46476"/>
  <c r="L50" i="46476" s="1"/>
  <c r="P50" i="46476" s="1"/>
  <c r="M11" i="46476" s="1"/>
  <c r="Z11" i="46476" s="1"/>
  <c r="G50" i="46476"/>
  <c r="K50" i="46476" s="1"/>
  <c r="O50" i="46476" s="1"/>
  <c r="L11" i="46476" s="1"/>
  <c r="Y11" i="46476" s="1"/>
  <c r="G56" i="46476"/>
  <c r="K56" i="46476" s="1"/>
  <c r="O56" i="46476" s="1"/>
  <c r="P11" i="46476" s="1"/>
  <c r="AC11" i="46476" s="1"/>
  <c r="H56" i="46476"/>
  <c r="L56" i="46476" s="1"/>
  <c r="P56" i="46476" s="1"/>
  <c r="Q11" i="46476" s="1"/>
  <c r="AD11" i="46476" s="1"/>
  <c r="G55" i="46476"/>
  <c r="K55" i="46476" s="1"/>
  <c r="O55" i="46476" s="1"/>
  <c r="N21" i="46476" s="1"/>
  <c r="AA21" i="46476" s="1"/>
  <c r="H55" i="46476"/>
  <c r="L55" i="46476" s="1"/>
  <c r="P55" i="46476" s="1"/>
  <c r="O21" i="46476" s="1"/>
  <c r="AB21" i="46476" s="1"/>
  <c r="G54" i="46476"/>
  <c r="K54" i="46476" s="1"/>
  <c r="O54" i="46476" s="1"/>
  <c r="N16" i="46476" s="1"/>
  <c r="AA16" i="46476" s="1"/>
  <c r="H54" i="46476"/>
  <c r="L54" i="46476" s="1"/>
  <c r="P54" i="46476" s="1"/>
  <c r="O16" i="46476" s="1"/>
  <c r="AB16" i="46476" s="1"/>
  <c r="G52" i="46476"/>
  <c r="K52" i="46476" s="1"/>
  <c r="O52" i="46476" s="1"/>
  <c r="L21" i="46476" s="1"/>
  <c r="Y21" i="46476" s="1"/>
  <c r="H52" i="46476"/>
  <c r="L52" i="46476" s="1"/>
  <c r="P52" i="46476" s="1"/>
  <c r="M21" i="46476" s="1"/>
  <c r="Z21" i="46476" s="1"/>
  <c r="H51" i="46476"/>
  <c r="L51" i="46476" s="1"/>
  <c r="P51" i="46476" s="1"/>
  <c r="M16" i="46476" s="1"/>
  <c r="Z16" i="46476" s="1"/>
  <c r="G51" i="46476"/>
  <c r="K51" i="46476" s="1"/>
  <c r="O51" i="46476" s="1"/>
  <c r="L16" i="46476" s="1"/>
  <c r="Y16" i="46476" s="1"/>
</calcChain>
</file>

<file path=xl/sharedStrings.xml><?xml version="1.0" encoding="utf-8"?>
<sst xmlns="http://schemas.openxmlformats.org/spreadsheetml/2006/main" count="519" uniqueCount="234">
  <si>
    <t>Scope</t>
  </si>
  <si>
    <t>Angle</t>
  </si>
  <si>
    <t>Line #</t>
  </si>
  <si>
    <t>x</t>
  </si>
  <si>
    <t>y</t>
  </si>
  <si>
    <t>Grounded Length</t>
  </si>
  <si>
    <t>Fairlead Location Inputs</t>
  </si>
  <si>
    <t>X values are positive toward bow,                  Y values are positive to port.</t>
  </si>
  <si>
    <t>Maximum Payout</t>
  </si>
  <si>
    <t>Catenary Data for Given Tension</t>
  </si>
  <si>
    <t>Main Input</t>
  </si>
  <si>
    <t>Heading Angle</t>
  </si>
  <si>
    <t>Field Name</t>
  </si>
  <si>
    <t xml:space="preserve">Vessel  </t>
  </si>
  <si>
    <t>Excel Heading Angle</t>
  </si>
  <si>
    <t>Line 1 - center to fairlead</t>
  </si>
  <si>
    <t>Line 2 - center to fairlead</t>
  </si>
  <si>
    <t>Line 3 - center to fairlead</t>
  </si>
  <si>
    <t>Line 4 - center to fairlead</t>
  </si>
  <si>
    <t>Line 5 - center to fairlead</t>
  </si>
  <si>
    <t>Line 6 - center to fairlead</t>
  </si>
  <si>
    <t>Line 7 - center to fairlead</t>
  </si>
  <si>
    <t>Line 8 - center to fairlead</t>
  </si>
  <si>
    <t>Line 9 - center to fairlead</t>
  </si>
  <si>
    <t>Line 10 - center to fairlead</t>
  </si>
  <si>
    <t>Line 11 - center to fairlead</t>
  </si>
  <si>
    <t>Line 12 - center to fairlead</t>
  </si>
  <si>
    <t>Line 13 - center to fairlead</t>
  </si>
  <si>
    <t>Line 14 - center to fairlead</t>
  </si>
  <si>
    <t>Line 15 - center to fairlead</t>
  </si>
  <si>
    <t>Line 16 - center to fairlead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</si>
  <si>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</si>
  <si>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</si>
  <si>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</si>
  <si>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</si>
  <si>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</si>
  <si>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</si>
  <si>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</si>
  <si>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</si>
  <si>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</si>
  <si>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</si>
  <si>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</si>
  <si>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</si>
  <si>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</si>
  <si>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</si>
  <si>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</si>
  <si>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</si>
  <si>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Excel Angle</t>
  </si>
  <si>
    <t>Distance X</t>
  </si>
  <si>
    <t>Distance Y</t>
  </si>
  <si>
    <t>Just Distance with no Reference</t>
  </si>
  <si>
    <t>Distance with Refernce to Fairlead</t>
  </si>
  <si>
    <t>Fairleads in Excel</t>
  </si>
  <si>
    <t>X</t>
  </si>
  <si>
    <t>Y</t>
  </si>
  <si>
    <t>Farileads Excel Rotated</t>
  </si>
  <si>
    <t>center to fairlead</t>
  </si>
  <si>
    <t>Change in</t>
  </si>
  <si>
    <t>New Center to</t>
  </si>
  <si>
    <t>Fair. Angle</t>
  </si>
  <si>
    <t>Heading Angle Change</t>
  </si>
  <si>
    <t>maximum payout</t>
  </si>
  <si>
    <t>Vessel Position</t>
  </si>
  <si>
    <t>Anchor to Fairlead &amp; input coord</t>
  </si>
  <si>
    <t>Touch down</t>
  </si>
  <si>
    <t>Anchor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</si>
  <si>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</si>
  <si>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</si>
  <si>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</si>
  <si>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</si>
  <si>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</si>
  <si>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</si>
  <si>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</si>
  <si>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</si>
  <si>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</si>
  <si>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</si>
  <si>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</si>
  <si>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</si>
  <si>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</si>
  <si>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</si>
  <si>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</si>
  <si>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</si>
  <si>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</t>
  </si>
  <si>
    <t>Spread</t>
  </si>
  <si>
    <t>Touchdown</t>
  </si>
  <si>
    <t>Point</t>
  </si>
  <si>
    <t>(feet)</t>
  </si>
  <si>
    <t>Mooring Line Tension =</t>
  </si>
  <si>
    <t>Tension</t>
  </si>
  <si>
    <t>X =</t>
  </si>
  <si>
    <t>Y =</t>
  </si>
  <si>
    <t>Mooring</t>
  </si>
  <si>
    <t>Catenary</t>
  </si>
  <si>
    <t>Geometry</t>
  </si>
  <si>
    <t>X(ft)</t>
  </si>
  <si>
    <t>Y(ft)</t>
  </si>
  <si>
    <t>Paste Profile Here</t>
  </si>
  <si>
    <t>Grounded Length (feet)</t>
  </si>
  <si>
    <t>Anchor Uplift Angle (degrees)</t>
  </si>
  <si>
    <t>Anchor Load (kips)</t>
  </si>
  <si>
    <t>illustrates suspended length</t>
  </si>
  <si>
    <t>illustrates grounded length</t>
  </si>
  <si>
    <t>n</t>
  </si>
  <si>
    <t>l</t>
  </si>
  <si>
    <t>illustrates mooring touch down point</t>
  </si>
  <si>
    <t>illustrates anchor point</t>
  </si>
  <si>
    <t>Wire Rope</t>
  </si>
  <si>
    <t>Chain</t>
  </si>
  <si>
    <t>_______________________________</t>
  </si>
  <si>
    <t>- - - - - - - - - - - - - - -</t>
  </si>
  <si>
    <r>
      <t>M</t>
    </r>
    <r>
      <rPr>
        <sz val="8"/>
        <rFont val="Arial"/>
        <family val="2"/>
      </rPr>
      <t xml:space="preserve">ooring </t>
    </r>
    <r>
      <rPr>
        <b/>
        <sz val="10"/>
        <rFont val="Arial"/>
        <family val="2"/>
      </rPr>
      <t>A</t>
    </r>
    <r>
      <rPr>
        <sz val="8"/>
        <rFont val="Arial"/>
        <family val="2"/>
      </rPr>
      <t xml:space="preserve">nd </t>
    </r>
    <r>
      <rPr>
        <b/>
        <sz val="10"/>
        <rFont val="Arial"/>
        <family val="2"/>
      </rPr>
      <t>R</t>
    </r>
    <r>
      <rPr>
        <sz val="8"/>
        <rFont val="Arial"/>
        <family val="2"/>
      </rPr>
      <t xml:space="preserve">iser </t>
    </r>
    <r>
      <rPr>
        <b/>
        <sz val="10"/>
        <rFont val="Arial"/>
        <family val="2"/>
      </rPr>
      <t>S</t>
    </r>
    <r>
      <rPr>
        <sz val="8"/>
        <rFont val="Arial"/>
        <family val="2"/>
      </rPr>
      <t>oftware</t>
    </r>
  </si>
  <si>
    <t>Scope - Fairlead to Anchor (feet)</t>
  </si>
  <si>
    <t>Vessel Name</t>
  </si>
  <si>
    <t>Location Name</t>
  </si>
  <si>
    <t>Mooring System</t>
  </si>
  <si>
    <t>Wire Payout</t>
  </si>
  <si>
    <t>Chain Payout</t>
  </si>
  <si>
    <t xml:space="preserve">   Maximum Payout Configuration</t>
  </si>
  <si>
    <t xml:space="preserve">   Minimum Payout Configuration</t>
  </si>
  <si>
    <t>X (East)</t>
  </si>
  <si>
    <t>Y (North)</t>
  </si>
  <si>
    <t>Mooring Line Tension</t>
  </si>
  <si>
    <t>Vessel Heading</t>
  </si>
  <si>
    <t>Client</t>
  </si>
  <si>
    <t>User Input</t>
  </si>
  <si>
    <t>Noble Drilling Services</t>
  </si>
  <si>
    <t>Number of Mooring legs</t>
  </si>
  <si>
    <t>Water Depth</t>
  </si>
  <si>
    <t>Noble Homer Ferrington</t>
  </si>
  <si>
    <t>East Breaks EB578</t>
  </si>
  <si>
    <t>Catenary Information (Controling Line)</t>
  </si>
  <si>
    <t>Varies</t>
  </si>
  <si>
    <t>1812-7164</t>
  </si>
  <si>
    <t>Spread Angle</t>
  </si>
  <si>
    <t>Payout Configuration</t>
  </si>
  <si>
    <t>Pretension (kips)</t>
  </si>
  <si>
    <t>Mooring Payout Configuration</t>
  </si>
  <si>
    <r>
      <t xml:space="preserve">Catenary Profile Information </t>
    </r>
    <r>
      <rPr>
        <i/>
        <sz val="14"/>
        <rFont val="Arial"/>
        <family val="2"/>
      </rPr>
      <t>(Controlling Line)</t>
    </r>
  </si>
  <si>
    <t>Graph Information for Payout Configuration</t>
  </si>
  <si>
    <t>Vessel Position (ft):</t>
  </si>
  <si>
    <t>Vessel Position (m):</t>
  </si>
  <si>
    <t>(m)</t>
  </si>
  <si>
    <t>(deg TN)</t>
  </si>
  <si>
    <t>min</t>
  </si>
  <si>
    <t>Graph Information for Payout Configuration (Metric)</t>
  </si>
  <si>
    <t>Scope - Fairlead to Anchor (m)</t>
  </si>
  <si>
    <t>Grounded Length (m)</t>
  </si>
  <si>
    <t>Anchor Uplift Angle (deg)</t>
  </si>
  <si>
    <t>Anchor Load (KN)</t>
  </si>
  <si>
    <t>X(m)</t>
  </si>
  <si>
    <t>Y(m)</t>
  </si>
  <si>
    <t>graph set up for up to 16 lines</t>
  </si>
  <si>
    <t>Mooring Layout Summary</t>
  </si>
  <si>
    <t>Payout</t>
  </si>
  <si>
    <t>(ft)</t>
  </si>
  <si>
    <t>Top</t>
  </si>
  <si>
    <t>(kips)</t>
  </si>
  <si>
    <t>FOS</t>
  </si>
  <si>
    <t>Grounded</t>
  </si>
  <si>
    <t>Length</t>
  </si>
  <si>
    <t xml:space="preserve">Local </t>
  </si>
  <si>
    <t>Angle (°)</t>
  </si>
  <si>
    <t>No.</t>
  </si>
  <si>
    <t xml:space="preserve">Anchor </t>
  </si>
  <si>
    <t>Max Uplift</t>
  </si>
  <si>
    <t>Well WD=</t>
  </si>
  <si>
    <t>WD</t>
  </si>
  <si>
    <t>Slope</t>
  </si>
  <si>
    <t>(°)</t>
  </si>
  <si>
    <t>Seabed</t>
  </si>
  <si>
    <t>ft</t>
  </si>
  <si>
    <t>m</t>
  </si>
  <si>
    <t>(KN)</t>
  </si>
  <si>
    <t>Type</t>
  </si>
  <si>
    <t xml:space="preserve">Total </t>
  </si>
  <si>
    <t>Diameter</t>
  </si>
  <si>
    <t>(in)</t>
  </si>
  <si>
    <t>Breaking</t>
  </si>
  <si>
    <t>Strength</t>
  </si>
  <si>
    <t>E1</t>
  </si>
  <si>
    <t>E2</t>
  </si>
  <si>
    <t xml:space="preserve"> </t>
  </si>
  <si>
    <t>Dry Unit</t>
  </si>
  <si>
    <t>Weight</t>
  </si>
  <si>
    <t>(lbs/ft)</t>
  </si>
  <si>
    <t>Wet Unit</t>
  </si>
  <si>
    <t>Buoy Net</t>
  </si>
  <si>
    <t>Buoyancy</t>
  </si>
  <si>
    <t xml:space="preserve">Buoy </t>
  </si>
  <si>
    <t>Vert Dist</t>
  </si>
  <si>
    <t>Friction</t>
  </si>
  <si>
    <t>Coeff</t>
  </si>
  <si>
    <t>(cm)</t>
  </si>
  <si>
    <t>(N/m)</t>
  </si>
  <si>
    <t>Mooring Line Configuration</t>
  </si>
  <si>
    <t>No</t>
  </si>
  <si>
    <t>Seg</t>
  </si>
  <si>
    <t>Uplift</t>
  </si>
  <si>
    <t>Anchor Max Uplift Angle is at top tension =(Breaking Strength)/1.43</t>
  </si>
  <si>
    <t>MPa</t>
  </si>
  <si>
    <t>(ksi)</t>
  </si>
  <si>
    <t xml:space="preserve">All Rights Reserved by JD Marine, LLC. </t>
  </si>
  <si>
    <t>Prepared by JD Marine, LLC
281-531-0888  FAX 281-531-5888</t>
  </si>
  <si>
    <t>kips</t>
  </si>
  <si>
    <t>kN</t>
  </si>
  <si>
    <t>x0</t>
  </si>
  <si>
    <t>y0</t>
  </si>
  <si>
    <t>x'</t>
  </si>
  <si>
    <t>y'</t>
  </si>
  <si>
    <t>Field Mooring Installation Support Document</t>
  </si>
  <si>
    <t>Rig Wire Length (ft)</t>
  </si>
  <si>
    <t>Rig Chain Length (ft)</t>
  </si>
  <si>
    <t>Rig Wire Length (m)</t>
  </si>
  <si>
    <t>Rig Chain Length (m)</t>
  </si>
  <si>
    <t>All Rights Reserved by Genesis Engineering LLC</t>
  </si>
  <si>
    <t>Phone: 832.384.1600</t>
  </si>
  <si>
    <t>Fax: 832.209.7266</t>
  </si>
  <si>
    <t>14COMP</t>
  </si>
  <si>
    <t>14ECAT</t>
  </si>
  <si>
    <t>14ECAH</t>
  </si>
  <si>
    <t>14NLID</t>
  </si>
  <si>
    <t>END14NLID</t>
  </si>
  <si>
    <t xml:space="preserve">015101 </t>
  </si>
  <si>
    <t xml:space="preserve">015121 </t>
  </si>
  <si>
    <t xml:space="preserve">015111 </t>
  </si>
  <si>
    <t xml:space="preserve">015114 </t>
  </si>
  <si>
    <t xml:space="preserve">015124 </t>
  </si>
  <si>
    <t xml:space="preserve">015104 </t>
  </si>
  <si>
    <t xml:space="preserve">015103 </t>
  </si>
  <si>
    <t xml:space="preserve">015123 </t>
  </si>
  <si>
    <t xml:space="preserve">015113 </t>
  </si>
  <si>
    <t xml:space="preserve">015112 </t>
  </si>
  <si>
    <t xml:space="preserve">015122 </t>
  </si>
  <si>
    <t xml:space="preserve">015102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</si>
</sst>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"/>
    <numFmt numFmtId="167" formatCode="0.000E+00"/>
  </numFmts>
  <fonts count="5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8"/>
      <color indexed="44"/>
      <name val="Arial"/>
      <family val="2"/>
    </font>
    <font>
      <b/>
      <i/>
      <sz val="12"/>
      <color indexed="42"/>
      <name val="Arial"/>
      <family val="2"/>
    </font>
    <font>
      <b/>
      <sz val="10"/>
      <color indexed="63"/>
      <name val="Arial"/>
      <family val="2"/>
    </font>
    <font>
      <b/>
      <sz val="10"/>
      <color indexed="12"/>
      <name val="Arial"/>
      <family val="2"/>
    </font>
    <font>
      <b/>
      <sz val="16"/>
      <color indexed="4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20"/>
      <color indexed="44"/>
      <name val="Arial"/>
      <family val="2"/>
    </font>
    <font>
      <b/>
      <i/>
      <sz val="16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45"/>
      <name val="Arial"/>
      <family val="2"/>
    </font>
    <font>
      <b/>
      <sz val="14"/>
      <color indexed="60"/>
      <name val="Arial"/>
      <family val="2"/>
    </font>
    <font>
      <b/>
      <sz val="14"/>
      <color indexed="45"/>
      <name val="Arial"/>
      <family val="2"/>
    </font>
    <font>
      <b/>
      <sz val="12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45"/>
      <name val="Arial"/>
      <family val="2"/>
    </font>
    <font>
      <b/>
      <sz val="11"/>
      <color indexed="60"/>
      <name val="Arial"/>
      <family val="2"/>
    </font>
    <font>
      <b/>
      <sz val="20"/>
      <color indexed="60"/>
      <name val="Arial"/>
      <family val="2"/>
    </font>
    <font>
      <sz val="18"/>
      <name val="Arial"/>
      <family val="2"/>
    </font>
    <font>
      <sz val="24"/>
      <name val="Arial"/>
      <family val="2"/>
    </font>
    <font>
      <b/>
      <sz val="24"/>
      <color indexed="53"/>
      <name val="Arial"/>
      <family val="2"/>
    </font>
    <font>
      <b/>
      <sz val="10"/>
      <color indexed="53"/>
      <name val="Arial"/>
      <family val="2"/>
    </font>
    <font>
      <sz val="10"/>
      <color indexed="53"/>
      <name val="Arial"/>
      <family val="2"/>
    </font>
    <font>
      <b/>
      <i/>
      <sz val="2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i/>
      <sz val="8"/>
      <name val="Arial"/>
      <family val="2"/>
    </font>
    <font>
      <sz val="10"/>
      <name val="Wingdings"/>
      <charset val="2"/>
    </font>
    <font>
      <sz val="8"/>
      <name val="Wingdings"/>
      <charset val="2"/>
    </font>
    <font>
      <b/>
      <i/>
      <sz val="14"/>
      <name val="Arial"/>
      <family val="2"/>
    </font>
    <font>
      <sz val="5"/>
      <name val="Arial"/>
      <family val="2"/>
    </font>
    <font>
      <b/>
      <i/>
      <sz val="2"/>
      <name val="Arial"/>
      <family val="2"/>
    </font>
    <font>
      <b/>
      <sz val="18"/>
      <name val="Arial"/>
      <family val="2"/>
    </font>
    <font>
      <b/>
      <sz val="16"/>
      <color indexed="10"/>
      <name val="Arial"/>
      <family val="2"/>
    </font>
    <font>
      <b/>
      <sz val="16"/>
      <color indexed="16"/>
      <name val="Arial"/>
      <family val="2"/>
    </font>
    <font>
      <b/>
      <sz val="14"/>
      <color indexed="16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24"/>
      <name val="Arial"/>
      <family val="2"/>
    </font>
    <font>
      <b/>
      <sz val="8"/>
      <name val="Arial"/>
      <family val="2"/>
    </font>
    <font>
      <sz val="9"/>
      <name val="Courier New"/>
      <family val="3"/>
    </font>
    <font>
      <sz val="10"/>
      <name val="Calibri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96">
    <xf numFmtId="0" fontId="0" fillId="0" borderId="0" xfId="0"/>
    <xf numFmtId="0" fontId="0" fillId="2" borderId="0" xfId="0" applyFill="1"/>
    <xf numFmtId="0" fontId="0" fillId="2" borderId="1" xfId="0" applyFill="1" applyBorder="1"/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0" fillId="4" borderId="8" xfId="0" applyFont="1" applyFill="1" applyBorder="1" applyAlignment="1">
      <alignment horizontal="center"/>
    </xf>
    <xf numFmtId="165" fontId="20" fillId="4" borderId="9" xfId="0" applyNumberFormat="1" applyFont="1" applyFill="1" applyBorder="1" applyAlignment="1">
      <alignment horizontal="center"/>
    </xf>
    <xf numFmtId="165" fontId="20" fillId="4" borderId="7" xfId="0" applyNumberFormat="1" applyFont="1" applyFill="1" applyBorder="1" applyAlignment="1">
      <alignment horizontal="center"/>
    </xf>
    <xf numFmtId="165" fontId="20" fillId="4" borderId="10" xfId="0" applyNumberFormat="1" applyFont="1" applyFill="1" applyBorder="1" applyAlignment="1">
      <alignment horizontal="center"/>
    </xf>
    <xf numFmtId="165" fontId="22" fillId="4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2" borderId="12" xfId="0" applyFill="1" applyBorder="1"/>
    <xf numFmtId="0" fontId="19" fillId="5" borderId="7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24" fillId="5" borderId="13" xfId="0" applyFont="1" applyFill="1" applyBorder="1"/>
    <xf numFmtId="0" fontId="19" fillId="5" borderId="4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1" fontId="22" fillId="4" borderId="0" xfId="0" applyNumberFormat="1" applyFont="1" applyFill="1" applyBorder="1" applyAlignment="1">
      <alignment horizontal="center"/>
    </xf>
    <xf numFmtId="1" fontId="22" fillId="4" borderId="1" xfId="0" applyNumberFormat="1" applyFont="1" applyFill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1" fontId="22" fillId="4" borderId="11" xfId="0" applyNumberFormat="1" applyFont="1" applyFill="1" applyBorder="1" applyAlignment="1">
      <alignment horizontal="center"/>
    </xf>
    <xf numFmtId="1" fontId="22" fillId="4" borderId="14" xfId="0" applyNumberFormat="1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11" xfId="0" applyFont="1" applyFill="1" applyBorder="1" applyAlignment="1">
      <alignment horizontal="center"/>
    </xf>
    <xf numFmtId="0" fontId="22" fillId="4" borderId="14" xfId="0" applyFont="1" applyFill="1" applyBorder="1" applyAlignment="1">
      <alignment horizontal="center"/>
    </xf>
    <xf numFmtId="1" fontId="22" fillId="4" borderId="4" xfId="0" applyNumberFormat="1" applyFont="1" applyFill="1" applyBorder="1" applyAlignment="1">
      <alignment horizontal="center"/>
    </xf>
    <xf numFmtId="1" fontId="22" fillId="4" borderId="5" xfId="0" applyNumberFormat="1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165" fontId="22" fillId="4" borderId="1" xfId="0" applyNumberFormat="1" applyFont="1" applyFill="1" applyBorder="1" applyAlignment="1">
      <alignment horizontal="center"/>
    </xf>
    <xf numFmtId="165" fontId="22" fillId="4" borderId="5" xfId="0" applyNumberFormat="1" applyFont="1" applyFill="1" applyBorder="1" applyAlignment="1">
      <alignment horizontal="center"/>
    </xf>
    <xf numFmtId="165" fontId="22" fillId="4" borderId="14" xfId="0" applyNumberFormat="1" applyFont="1" applyFill="1" applyBorder="1" applyAlignment="1">
      <alignment horizontal="center"/>
    </xf>
    <xf numFmtId="0" fontId="24" fillId="5" borderId="4" xfId="0" applyFont="1" applyFill="1" applyBorder="1"/>
    <xf numFmtId="1" fontId="22" fillId="4" borderId="13" xfId="0" applyNumberFormat="1" applyFont="1" applyFill="1" applyBorder="1" applyAlignment="1">
      <alignment horizontal="center"/>
    </xf>
    <xf numFmtId="1" fontId="22" fillId="4" borderId="12" xfId="0" applyNumberFormat="1" applyFont="1" applyFill="1" applyBorder="1" applyAlignment="1">
      <alignment horizontal="center"/>
    </xf>
    <xf numFmtId="1" fontId="22" fillId="4" borderId="15" xfId="0" applyNumberFormat="1" applyFont="1" applyFill="1" applyBorder="1" applyAlignment="1">
      <alignment horizontal="center"/>
    </xf>
    <xf numFmtId="0" fontId="31" fillId="6" borderId="0" xfId="0" applyFont="1" applyFill="1" applyBorder="1" applyAlignment="1">
      <alignment horizontal="center"/>
    </xf>
    <xf numFmtId="1" fontId="31" fillId="6" borderId="4" xfId="0" applyNumberFormat="1" applyFont="1" applyFill="1" applyBorder="1" applyAlignment="1">
      <alignment horizontal="center"/>
    </xf>
    <xf numFmtId="1" fontId="31" fillId="6" borderId="0" xfId="0" applyNumberFormat="1" applyFont="1" applyFill="1" applyBorder="1" applyAlignment="1">
      <alignment horizontal="center"/>
    </xf>
    <xf numFmtId="1" fontId="31" fillId="6" borderId="1" xfId="0" applyNumberFormat="1" applyFont="1" applyFill="1" applyBorder="1" applyAlignment="1">
      <alignment horizontal="center"/>
    </xf>
    <xf numFmtId="0" fontId="31" fillId="6" borderId="4" xfId="0" applyFont="1" applyFill="1" applyBorder="1"/>
    <xf numFmtId="0" fontId="31" fillId="6" borderId="0" xfId="0" applyFont="1" applyFill="1" applyBorder="1"/>
    <xf numFmtId="0" fontId="31" fillId="6" borderId="1" xfId="0" applyFont="1" applyFill="1" applyBorder="1"/>
    <xf numFmtId="1" fontId="31" fillId="6" borderId="5" xfId="0" applyNumberFormat="1" applyFont="1" applyFill="1" applyBorder="1" applyAlignment="1">
      <alignment horizontal="center"/>
    </xf>
    <xf numFmtId="1" fontId="31" fillId="6" borderId="11" xfId="0" applyNumberFormat="1" applyFont="1" applyFill="1" applyBorder="1" applyAlignment="1">
      <alignment horizontal="center"/>
    </xf>
    <xf numFmtId="0" fontId="31" fillId="6" borderId="11" xfId="0" applyFont="1" applyFill="1" applyBorder="1"/>
    <xf numFmtId="0" fontId="31" fillId="6" borderId="14" xfId="0" applyFont="1" applyFill="1" applyBorder="1"/>
    <xf numFmtId="0" fontId="18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1" fontId="0" fillId="2" borderId="18" xfId="0" applyNumberFormat="1" applyFill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/>
    </xf>
    <xf numFmtId="0" fontId="0" fillId="2" borderId="13" xfId="0" applyFill="1" applyBorder="1"/>
    <xf numFmtId="0" fontId="0" fillId="2" borderId="15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center"/>
    </xf>
    <xf numFmtId="0" fontId="0" fillId="2" borderId="20" xfId="0" applyFill="1" applyBorder="1"/>
    <xf numFmtId="0" fontId="2" fillId="2" borderId="21" xfId="0" applyFont="1" applyFill="1" applyBorder="1" applyAlignment="1">
      <alignment horizontal="center"/>
    </xf>
    <xf numFmtId="1" fontId="0" fillId="2" borderId="22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165" fontId="31" fillId="6" borderId="4" xfId="0" applyNumberFormat="1" applyFont="1" applyFill="1" applyBorder="1" applyAlignment="1">
      <alignment horizontal="center"/>
    </xf>
    <xf numFmtId="165" fontId="31" fillId="6" borderId="0" xfId="0" applyNumberFormat="1" applyFont="1" applyFill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0" fillId="0" borderId="5" xfId="0" applyBorder="1"/>
    <xf numFmtId="0" fontId="18" fillId="2" borderId="24" xfId="0" applyFont="1" applyFill="1" applyBorder="1" applyAlignment="1">
      <alignment horizontal="center"/>
    </xf>
    <xf numFmtId="0" fontId="18" fillId="2" borderId="23" xfId="0" applyFont="1" applyFill="1" applyBorder="1" applyAlignment="1">
      <alignment horizontal="center"/>
    </xf>
    <xf numFmtId="0" fontId="0" fillId="2" borderId="25" xfId="0" applyFill="1" applyBorder="1"/>
    <xf numFmtId="0" fontId="0" fillId="0" borderId="0" xfId="0" applyBorder="1"/>
    <xf numFmtId="0" fontId="36" fillId="0" borderId="0" xfId="0" applyFont="1" applyBorder="1" applyAlignment="1">
      <alignment horizontal="right"/>
    </xf>
    <xf numFmtId="0" fontId="17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27" fillId="0" borderId="0" xfId="0" applyFont="1"/>
    <xf numFmtId="0" fontId="40" fillId="2" borderId="4" xfId="0" quotePrefix="1" applyFont="1" applyFill="1" applyBorder="1" applyAlignment="1">
      <alignment horizontal="right" vertical="center"/>
    </xf>
    <xf numFmtId="0" fontId="41" fillId="2" borderId="5" xfId="0" quotePrefix="1" applyFont="1" applyFill="1" applyBorder="1" applyAlignment="1">
      <alignment horizontal="right" vertical="center"/>
    </xf>
    <xf numFmtId="0" fontId="38" fillId="2" borderId="5" xfId="0" applyFont="1" applyFill="1" applyBorder="1" applyAlignment="1">
      <alignment horizontal="right" vertical="center"/>
    </xf>
    <xf numFmtId="0" fontId="38" fillId="2" borderId="11" xfId="0" applyFont="1" applyFill="1" applyBorder="1" applyAlignment="1">
      <alignment horizontal="right" vertical="center"/>
    </xf>
    <xf numFmtId="0" fontId="0" fillId="2" borderId="26" xfId="0" applyFill="1" applyBorder="1"/>
    <xf numFmtId="0" fontId="37" fillId="2" borderId="1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2" borderId="27" xfId="0" applyFill="1" applyBorder="1"/>
    <xf numFmtId="0" fontId="0" fillId="2" borderId="29" xfId="0" applyFill="1" applyBorder="1"/>
    <xf numFmtId="0" fontId="1" fillId="2" borderId="6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45" fillId="2" borderId="7" xfId="0" applyFont="1" applyFill="1" applyBorder="1" applyAlignment="1">
      <alignment horizontal="center"/>
    </xf>
    <xf numFmtId="0" fontId="45" fillId="2" borderId="10" xfId="0" applyFont="1" applyFill="1" applyBorder="1" applyAlignment="1">
      <alignment horizontal="center"/>
    </xf>
    <xf numFmtId="2" fontId="10" fillId="2" borderId="0" xfId="0" applyNumberFormat="1" applyFont="1" applyFill="1" applyBorder="1" applyAlignment="1">
      <alignment horizontal="center"/>
    </xf>
    <xf numFmtId="2" fontId="10" fillId="2" borderId="7" xfId="0" applyNumberFormat="1" applyFont="1" applyFill="1" applyBorder="1" applyAlignment="1">
      <alignment horizontal="center"/>
    </xf>
    <xf numFmtId="2" fontId="10" fillId="2" borderId="1" xfId="0" applyNumberFormat="1" applyFont="1" applyFill="1" applyBorder="1" applyAlignment="1">
      <alignment horizontal="center"/>
    </xf>
    <xf numFmtId="2" fontId="45" fillId="2" borderId="7" xfId="0" applyNumberFormat="1" applyFont="1" applyFill="1" applyBorder="1" applyAlignment="1">
      <alignment horizont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center" vertical="center"/>
    </xf>
    <xf numFmtId="165" fontId="0" fillId="2" borderId="24" xfId="0" applyNumberForma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/>
    </xf>
    <xf numFmtId="2" fontId="10" fillId="0" borderId="7" xfId="0" applyNumberFormat="1" applyFont="1" applyFill="1" applyBorder="1" applyAlignment="1">
      <alignment horizontal="center"/>
    </xf>
    <xf numFmtId="2" fontId="45" fillId="0" borderId="7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 vertical="center"/>
    </xf>
    <xf numFmtId="1" fontId="0" fillId="2" borderId="34" xfId="0" applyNumberFormat="1" applyFill="1" applyBorder="1" applyAlignment="1">
      <alignment horizontal="center" vertical="center"/>
    </xf>
    <xf numFmtId="1" fontId="0" fillId="2" borderId="24" xfId="0" applyNumberFormat="1" applyFill="1" applyBorder="1" applyAlignment="1">
      <alignment horizontal="center" vertical="center"/>
    </xf>
    <xf numFmtId="1" fontId="0" fillId="0" borderId="0" xfId="0" applyNumberFormat="1"/>
    <xf numFmtId="0" fontId="18" fillId="2" borderId="25" xfId="0" applyFont="1" applyFill="1" applyBorder="1" applyAlignment="1">
      <alignment horizontal="center"/>
    </xf>
    <xf numFmtId="1" fontId="3" fillId="2" borderId="35" xfId="0" applyNumberFormat="1" applyFont="1" applyFill="1" applyBorder="1" applyAlignment="1">
      <alignment horizontal="center" vertical="center"/>
    </xf>
    <xf numFmtId="2" fontId="3" fillId="2" borderId="36" xfId="0" applyNumberFormat="1" applyFont="1" applyFill="1" applyBorder="1" applyAlignment="1">
      <alignment horizontal="center" vertical="center"/>
    </xf>
    <xf numFmtId="1" fontId="3" fillId="2" borderId="36" xfId="0" applyNumberFormat="1" applyFont="1" applyFill="1" applyBorder="1" applyAlignment="1">
      <alignment horizontal="center" vertical="center"/>
    </xf>
    <xf numFmtId="1" fontId="3" fillId="2" borderId="37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23" xfId="0" applyNumberFormat="1" applyFont="1" applyFill="1" applyBorder="1" applyAlignment="1">
      <alignment horizontal="center" vertical="center"/>
    </xf>
    <xf numFmtId="1" fontId="18" fillId="2" borderId="23" xfId="0" applyNumberFormat="1" applyFont="1" applyFill="1" applyBorder="1" applyAlignment="1">
      <alignment horizontal="center" vertical="center"/>
    </xf>
    <xf numFmtId="1" fontId="18" fillId="2" borderId="16" xfId="0" applyNumberFormat="1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left" vertical="center"/>
    </xf>
    <xf numFmtId="0" fontId="28" fillId="2" borderId="30" xfId="0" applyFont="1" applyFill="1" applyBorder="1" applyAlignment="1">
      <alignment horizontal="left" vertical="center"/>
    </xf>
    <xf numFmtId="1" fontId="0" fillId="2" borderId="31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right" vertical="center"/>
    </xf>
    <xf numFmtId="165" fontId="0" fillId="2" borderId="24" xfId="0" applyNumberFormat="1" applyFill="1" applyBorder="1" applyAlignment="1">
      <alignment horizontal="right" vertical="center"/>
    </xf>
    <xf numFmtId="165" fontId="0" fillId="2" borderId="18" xfId="0" applyNumberFormat="1" applyFill="1" applyBorder="1" applyAlignment="1">
      <alignment horizontal="right" vertical="center"/>
    </xf>
    <xf numFmtId="165" fontId="0" fillId="2" borderId="16" xfId="0" applyNumberFormat="1" applyFill="1" applyBorder="1" applyAlignment="1">
      <alignment horizontal="right" vertical="center"/>
    </xf>
    <xf numFmtId="165" fontId="0" fillId="2" borderId="22" xfId="0" applyNumberFormat="1" applyFill="1" applyBorder="1" applyAlignment="1">
      <alignment horizontal="right" vertical="center"/>
    </xf>
    <xf numFmtId="165" fontId="0" fillId="2" borderId="23" xfId="0" applyNumberFormat="1" applyFill="1" applyBorder="1" applyAlignment="1">
      <alignment horizontal="right" vertical="center"/>
    </xf>
    <xf numFmtId="165" fontId="3" fillId="2" borderId="36" xfId="0" applyNumberFormat="1" applyFont="1" applyFill="1" applyBorder="1" applyAlignment="1">
      <alignment horizontal="right" vertical="center"/>
    </xf>
    <xf numFmtId="165" fontId="3" fillId="2" borderId="37" xfId="0" applyNumberFormat="1" applyFont="1" applyFill="1" applyBorder="1" applyAlignment="1">
      <alignment horizontal="right" vertical="center"/>
    </xf>
    <xf numFmtId="2" fontId="0" fillId="2" borderId="3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165" fontId="3" fillId="2" borderId="3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28" fillId="2" borderId="30" xfId="0" applyNumberFormat="1" applyFont="1" applyFill="1" applyBorder="1" applyAlignment="1">
      <alignment horizontal="center" vertical="center"/>
    </xf>
    <xf numFmtId="2" fontId="18" fillId="2" borderId="16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" fontId="0" fillId="2" borderId="38" xfId="0" applyNumberFormat="1" applyFill="1" applyBorder="1" applyAlignment="1">
      <alignment horizontal="center" vertical="center"/>
    </xf>
    <xf numFmtId="1" fontId="0" fillId="2" borderId="39" xfId="0" applyNumberFormat="1" applyFill="1" applyBorder="1" applyAlignment="1">
      <alignment horizontal="center" vertical="center"/>
    </xf>
    <xf numFmtId="1" fontId="0" fillId="2" borderId="40" xfId="0" applyNumberFormat="1" applyFill="1" applyBorder="1" applyAlignment="1">
      <alignment horizontal="center" vertical="center"/>
    </xf>
    <xf numFmtId="0" fontId="18" fillId="0" borderId="26" xfId="0" applyFont="1" applyBorder="1"/>
    <xf numFmtId="2" fontId="0" fillId="2" borderId="34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2" fontId="0" fillId="2" borderId="22" xfId="0" applyNumberFormat="1" applyFill="1" applyBorder="1" applyAlignment="1">
      <alignment horizontal="right" vertical="center"/>
    </xf>
    <xf numFmtId="2" fontId="0" fillId="2" borderId="24" xfId="0" applyNumberFormat="1" applyFill="1" applyBorder="1" applyAlignment="1">
      <alignment horizontal="right" vertical="center"/>
    </xf>
    <xf numFmtId="2" fontId="0" fillId="2" borderId="16" xfId="0" applyNumberFormat="1" applyFill="1" applyBorder="1" applyAlignment="1">
      <alignment horizontal="right" vertical="center"/>
    </xf>
    <xf numFmtId="2" fontId="0" fillId="2" borderId="23" xfId="0" applyNumberFormat="1" applyFill="1" applyBorder="1" applyAlignment="1">
      <alignment horizontal="right" vertical="center"/>
    </xf>
    <xf numFmtId="2" fontId="3" fillId="2" borderId="36" xfId="0" applyNumberFormat="1" applyFont="1" applyFill="1" applyBorder="1" applyAlignment="1">
      <alignment horizontal="right" vertical="center"/>
    </xf>
    <xf numFmtId="2" fontId="3" fillId="2" borderId="37" xfId="0" applyNumberFormat="1" applyFont="1" applyFill="1" applyBorder="1" applyAlignment="1">
      <alignment horizontal="right" vertical="center"/>
    </xf>
    <xf numFmtId="0" fontId="0" fillId="2" borderId="34" xfId="0" applyNumberFormat="1" applyFill="1" applyBorder="1" applyAlignment="1">
      <alignment horizontal="center" vertical="center"/>
    </xf>
    <xf numFmtId="0" fontId="0" fillId="2" borderId="24" xfId="0" applyNumberFormat="1" applyFill="1" applyBorder="1" applyAlignment="1">
      <alignment horizontal="center" vertical="center"/>
    </xf>
    <xf numFmtId="0" fontId="3" fillId="2" borderId="35" xfId="0" applyNumberFormat="1" applyFont="1" applyFill="1" applyBorder="1" applyAlignment="1">
      <alignment horizontal="center" vertical="center"/>
    </xf>
    <xf numFmtId="1" fontId="3" fillId="2" borderId="24" xfId="0" applyNumberFormat="1" applyFont="1" applyFill="1" applyBorder="1" applyAlignment="1">
      <alignment horizontal="center" vertical="center"/>
    </xf>
    <xf numFmtId="1" fontId="0" fillId="2" borderId="34" xfId="0" applyNumberFormat="1" applyFill="1" applyBorder="1" applyAlignment="1">
      <alignment horizontal="right" vertical="center"/>
    </xf>
    <xf numFmtId="1" fontId="0" fillId="2" borderId="24" xfId="0" applyNumberFormat="1" applyFill="1" applyBorder="1" applyAlignment="1">
      <alignment horizontal="right" vertical="center"/>
    </xf>
    <xf numFmtId="1" fontId="0" fillId="2" borderId="18" xfId="0" applyNumberFormat="1" applyFill="1" applyBorder="1" applyAlignment="1">
      <alignment horizontal="right" vertical="center"/>
    </xf>
    <xf numFmtId="1" fontId="0" fillId="2" borderId="22" xfId="0" applyNumberFormat="1" applyFill="1" applyBorder="1" applyAlignment="1">
      <alignment horizontal="right" vertical="center"/>
    </xf>
    <xf numFmtId="1" fontId="0" fillId="2" borderId="16" xfId="0" applyNumberFormat="1" applyFill="1" applyBorder="1" applyAlignment="1">
      <alignment horizontal="right" vertical="center"/>
    </xf>
    <xf numFmtId="1" fontId="0" fillId="2" borderId="23" xfId="0" applyNumberFormat="1" applyFill="1" applyBorder="1" applyAlignment="1">
      <alignment horizontal="right" vertical="center"/>
    </xf>
    <xf numFmtId="1" fontId="6" fillId="0" borderId="0" xfId="0" applyNumberFormat="1" applyFont="1"/>
    <xf numFmtId="1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28" fillId="2" borderId="30" xfId="0" applyNumberFormat="1" applyFont="1" applyFill="1" applyBorder="1" applyAlignment="1">
      <alignment horizontal="left" vertical="center"/>
    </xf>
    <xf numFmtId="1" fontId="28" fillId="2" borderId="30" xfId="0" applyNumberFormat="1" applyFont="1" applyFill="1" applyBorder="1" applyAlignment="1">
      <alignment horizontal="center" vertical="center"/>
    </xf>
    <xf numFmtId="1" fontId="18" fillId="2" borderId="24" xfId="0" applyNumberFormat="1" applyFont="1" applyFill="1" applyBorder="1" applyAlignment="1">
      <alignment horizontal="center"/>
    </xf>
    <xf numFmtId="1" fontId="18" fillId="2" borderId="16" xfId="0" applyNumberFormat="1" applyFont="1" applyFill="1" applyBorder="1" applyAlignment="1">
      <alignment horizontal="center"/>
    </xf>
    <xf numFmtId="1" fontId="3" fillId="2" borderId="36" xfId="0" applyNumberFormat="1" applyFont="1" applyFill="1" applyBorder="1" applyAlignment="1">
      <alignment horizontal="right" vertical="center"/>
    </xf>
    <xf numFmtId="1" fontId="28" fillId="2" borderId="3" xfId="0" applyNumberFormat="1" applyFont="1" applyFill="1" applyBorder="1" applyAlignment="1">
      <alignment horizontal="center" vertical="center"/>
    </xf>
    <xf numFmtId="1" fontId="18" fillId="2" borderId="25" xfId="0" applyNumberFormat="1" applyFont="1" applyFill="1" applyBorder="1" applyAlignment="1">
      <alignment horizontal="center"/>
    </xf>
    <xf numFmtId="1" fontId="3" fillId="2" borderId="37" xfId="0" applyNumberFormat="1" applyFont="1" applyFill="1" applyBorder="1" applyAlignment="1">
      <alignment horizontal="right" vertical="center"/>
    </xf>
    <xf numFmtId="165" fontId="31" fillId="6" borderId="1" xfId="0" applyNumberFormat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2" fontId="0" fillId="0" borderId="0" xfId="0" applyNumberFormat="1"/>
    <xf numFmtId="165" fontId="0" fillId="0" borderId="24" xfId="0" applyNumberFormat="1" applyFill="1" applyBorder="1" applyAlignment="1">
      <alignment horizontal="center" vertical="center"/>
    </xf>
    <xf numFmtId="165" fontId="3" fillId="2" borderId="16" xfId="0" applyNumberFormat="1" applyFont="1" applyFill="1" applyBorder="1" applyAlignment="1">
      <alignment horizontal="center" vertical="center"/>
    </xf>
    <xf numFmtId="0" fontId="49" fillId="0" borderId="0" xfId="0" applyNumberFormat="1" applyFont="1" applyFill="1" applyAlignment="1">
      <alignment horizontal="right"/>
    </xf>
    <xf numFmtId="0" fontId="49" fillId="0" borderId="0" xfId="0" applyFont="1" applyFill="1"/>
    <xf numFmtId="2" fontId="49" fillId="0" borderId="0" xfId="0" applyNumberFormat="1" applyFont="1" applyFill="1"/>
    <xf numFmtId="167" fontId="49" fillId="0" borderId="0" xfId="0" applyNumberFormat="1" applyFont="1" applyFill="1"/>
    <xf numFmtId="49" fontId="49" fillId="0" borderId="0" xfId="0" applyNumberFormat="1" applyFont="1" applyFill="1" applyAlignment="1">
      <alignment horizontal="right"/>
    </xf>
    <xf numFmtId="1" fontId="49" fillId="0" borderId="0" xfId="0" applyNumberFormat="1" applyFont="1" applyFill="1"/>
    <xf numFmtId="166" fontId="49" fillId="0" borderId="0" xfId="0" applyNumberFormat="1" applyFont="1" applyFill="1"/>
    <xf numFmtId="165" fontId="49" fillId="0" borderId="0" xfId="0" applyNumberFormat="1" applyFont="1" applyFill="1"/>
    <xf numFmtId="164" fontId="49" fillId="0" borderId="0" xfId="0" applyNumberFormat="1" applyFont="1" applyFill="1"/>
    <xf numFmtId="2" fontId="49" fillId="0" borderId="0" xfId="0" applyNumberFormat="1" applyFont="1" applyFill="1" applyAlignment="1"/>
    <xf numFmtId="0" fontId="0" fillId="0" borderId="0" xfId="0"/>
    <xf numFmtId="0" fontId="51" fillId="0" borderId="0" xfId="0" applyFont="1"/>
    <xf numFmtId="0" fontId="52" fillId="0" borderId="0" xfId="0" applyFont="1" applyFill="1" applyBorder="1" applyAlignment="1">
      <alignment horizontal="right" vertical="center"/>
    </xf>
    <xf numFmtId="0" fontId="51" fillId="0" borderId="0" xfId="0" applyFont="1" applyAlignment="1">
      <alignment horizontal="left"/>
    </xf>
    <xf numFmtId="0" fontId="50" fillId="10" borderId="55" xfId="0" applyFont="1" applyFill="1" applyBorder="1" applyAlignment="1">
      <alignment horizontal="left" vertical="center"/>
    </xf>
    <xf numFmtId="0" fontId="51" fillId="10" borderId="56" xfId="0" applyFont="1" applyFill="1" applyBorder="1" applyAlignment="1">
      <alignment horizontal="left" vertical="center"/>
    </xf>
    <xf numFmtId="2" fontId="51" fillId="11" borderId="56" xfId="0" applyNumberFormat="1" applyFont="1" applyFill="1" applyBorder="1" applyAlignment="1">
      <alignment horizontal="center" vertical="center"/>
    </xf>
    <xf numFmtId="0" fontId="4" fillId="0" borderId="27" xfId="0" applyFont="1" applyBorder="1"/>
    <xf numFmtId="0" fontId="4" fillId="0" borderId="29" xfId="0" applyFont="1" applyBorder="1"/>
    <xf numFmtId="0" fontId="4" fillId="0" borderId="28" xfId="0" applyFont="1" applyBorder="1"/>
    <xf numFmtId="0" fontId="5" fillId="0" borderId="11" xfId="0" applyFont="1" applyBorder="1" applyAlignment="1">
      <alignment horizontal="center"/>
    </xf>
    <xf numFmtId="0" fontId="30" fillId="6" borderId="0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3" fillId="3" borderId="9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3" fillId="3" borderId="4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3" fillId="3" borderId="5" xfId="0" applyFont="1" applyFill="1" applyBorder="1" applyAlignment="1">
      <alignment horizontal="center" vertical="center"/>
    </xf>
    <xf numFmtId="0" fontId="43" fillId="3" borderId="14" xfId="0" applyFont="1" applyFill="1" applyBorder="1" applyAlignment="1">
      <alignment horizontal="center" vertical="center"/>
    </xf>
    <xf numFmtId="0" fontId="0" fillId="0" borderId="0" xfId="0"/>
    <xf numFmtId="0" fontId="19" fillId="5" borderId="4" xfId="0" applyFont="1" applyFill="1" applyBorder="1"/>
    <xf numFmtId="0" fontId="19" fillId="5" borderId="0" xfId="0" applyFont="1" applyFill="1" applyBorder="1"/>
    <xf numFmtId="0" fontId="22" fillId="4" borderId="13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5" fillId="4" borderId="13" xfId="0" applyFont="1" applyFill="1" applyBorder="1" applyAlignment="1">
      <alignment horizontal="center"/>
    </xf>
    <xf numFmtId="0" fontId="25" fillId="4" borderId="15" xfId="0" applyFont="1" applyFill="1" applyBorder="1" applyAlignment="1">
      <alignment horizontal="center"/>
    </xf>
    <xf numFmtId="0" fontId="19" fillId="5" borderId="5" xfId="0" applyFont="1" applyFill="1" applyBorder="1"/>
    <xf numFmtId="0" fontId="19" fillId="5" borderId="11" xfId="0" applyFont="1" applyFill="1" applyBorder="1"/>
    <xf numFmtId="0" fontId="20" fillId="4" borderId="13" xfId="0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/>
    </xf>
    <xf numFmtId="0" fontId="20" fillId="4" borderId="15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4" fillId="3" borderId="11" xfId="0" applyFont="1" applyFill="1" applyBorder="1" applyAlignment="1">
      <alignment horizontal="center"/>
    </xf>
    <xf numFmtId="0" fontId="44" fillId="3" borderId="14" xfId="0" applyFont="1" applyFill="1" applyBorder="1" applyAlignment="1">
      <alignment horizontal="center"/>
    </xf>
    <xf numFmtId="0" fontId="30" fillId="6" borderId="4" xfId="0" applyFont="1" applyFill="1" applyBorder="1" applyAlignment="1">
      <alignment horizontal="center"/>
    </xf>
    <xf numFmtId="0" fontId="29" fillId="6" borderId="13" xfId="0" applyFont="1" applyFill="1" applyBorder="1" applyAlignment="1">
      <alignment horizontal="center"/>
    </xf>
    <xf numFmtId="0" fontId="29" fillId="6" borderId="12" xfId="0" applyFont="1" applyFill="1" applyBorder="1" applyAlignment="1">
      <alignment horizontal="center"/>
    </xf>
    <xf numFmtId="0" fontId="29" fillId="6" borderId="15" xfId="0" applyFont="1" applyFill="1" applyBorder="1" applyAlignment="1">
      <alignment horizontal="center"/>
    </xf>
    <xf numFmtId="0" fontId="21" fillId="5" borderId="27" xfId="0" applyFont="1" applyFill="1" applyBorder="1"/>
    <xf numFmtId="0" fontId="21" fillId="5" borderId="29" xfId="0" applyFont="1" applyFill="1" applyBorder="1"/>
    <xf numFmtId="0" fontId="20" fillId="4" borderId="4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0" fontId="19" fillId="5" borderId="13" xfId="0" applyFont="1" applyFill="1" applyBorder="1"/>
    <xf numFmtId="0" fontId="19" fillId="5" borderId="12" xfId="0" applyFont="1" applyFill="1" applyBorder="1"/>
    <xf numFmtId="0" fontId="26" fillId="4" borderId="13" xfId="0" applyFont="1" applyFill="1" applyBorder="1" applyAlignment="1">
      <alignment vertical="center"/>
    </xf>
    <xf numFmtId="0" fontId="26" fillId="4" borderId="15" xfId="0" applyFont="1" applyFill="1" applyBorder="1" applyAlignment="1">
      <alignment vertical="center"/>
    </xf>
    <xf numFmtId="0" fontId="26" fillId="4" borderId="5" xfId="0" applyFont="1" applyFill="1" applyBorder="1" applyAlignment="1">
      <alignment vertical="center"/>
    </xf>
    <xf numFmtId="0" fontId="26" fillId="4" borderId="14" xfId="0" applyFont="1" applyFill="1" applyBorder="1" applyAlignment="1">
      <alignment vertical="center"/>
    </xf>
    <xf numFmtId="0" fontId="7" fillId="7" borderId="27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28" xfId="0" applyFont="1" applyFill="1" applyBorder="1" applyAlignment="1">
      <alignment horizontal="center"/>
    </xf>
    <xf numFmtId="0" fontId="14" fillId="7" borderId="13" xfId="0" applyFont="1" applyFill="1" applyBorder="1"/>
    <xf numFmtId="0" fontId="14" fillId="7" borderId="12" xfId="0" applyFont="1" applyFill="1" applyBorder="1"/>
    <xf numFmtId="0" fontId="14" fillId="7" borderId="15" xfId="0" applyFont="1" applyFill="1" applyBorder="1"/>
    <xf numFmtId="0" fontId="14" fillId="7" borderId="5" xfId="0" applyFont="1" applyFill="1" applyBorder="1"/>
    <xf numFmtId="0" fontId="14" fillId="7" borderId="11" xfId="0" applyFont="1" applyFill="1" applyBorder="1"/>
    <xf numFmtId="0" fontId="14" fillId="7" borderId="14" xfId="0" applyFont="1" applyFill="1" applyBorder="1"/>
    <xf numFmtId="0" fontId="11" fillId="8" borderId="13" xfId="0" applyFont="1" applyFill="1" applyBorder="1" applyAlignment="1">
      <alignment horizontal="right" vertical="center"/>
    </xf>
    <xf numFmtId="0" fontId="11" fillId="8" borderId="15" xfId="0" applyFont="1" applyFill="1" applyBorder="1" applyAlignment="1">
      <alignment horizontal="right" vertical="center"/>
    </xf>
    <xf numFmtId="0" fontId="11" fillId="8" borderId="5" xfId="0" applyFont="1" applyFill="1" applyBorder="1" applyAlignment="1">
      <alignment horizontal="right" vertical="center"/>
    </xf>
    <xf numFmtId="0" fontId="11" fillId="8" borderId="14" xfId="0" applyFont="1" applyFill="1" applyBorder="1" applyAlignment="1">
      <alignment horizontal="right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43" fillId="3" borderId="11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top" wrapText="1"/>
    </xf>
    <xf numFmtId="0" fontId="8" fillId="8" borderId="29" xfId="0" applyFont="1" applyFill="1" applyBorder="1" applyAlignment="1">
      <alignment horizontal="center" vertical="top" wrapText="1"/>
    </xf>
    <xf numFmtId="0" fontId="8" fillId="8" borderId="28" xfId="0" applyFont="1" applyFill="1" applyBorder="1" applyAlignment="1">
      <alignment horizontal="center" vertical="top" wrapText="1"/>
    </xf>
    <xf numFmtId="0" fontId="42" fillId="2" borderId="27" xfId="0" applyFont="1" applyFill="1" applyBorder="1" applyAlignment="1">
      <alignment horizontal="center" vertical="center"/>
    </xf>
    <xf numFmtId="0" fontId="42" fillId="2" borderId="28" xfId="0" applyFont="1" applyFill="1" applyBorder="1" applyAlignment="1">
      <alignment horizontal="center" vertical="center"/>
    </xf>
    <xf numFmtId="0" fontId="42" fillId="2" borderId="29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29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0" fontId="0" fillId="2" borderId="12" xfId="0" applyFill="1" applyBorder="1"/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7" fillId="2" borderId="53" xfId="0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47" fillId="2" borderId="1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/>
    </xf>
    <xf numFmtId="0" fontId="18" fillId="2" borderId="54" xfId="0" applyFont="1" applyFill="1" applyBorder="1" applyAlignment="1">
      <alignment horizontal="center"/>
    </xf>
    <xf numFmtId="0" fontId="48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32" fillId="0" borderId="44" xfId="0" applyFont="1" applyBorder="1" applyAlignment="1">
      <alignment horizontal="left"/>
    </xf>
    <xf numFmtId="0" fontId="32" fillId="0" borderId="45" xfId="0" applyFont="1" applyBorder="1" applyAlignment="1">
      <alignment horizontal="left"/>
    </xf>
    <xf numFmtId="0" fontId="13" fillId="0" borderId="44" xfId="0" applyFont="1" applyBorder="1" applyAlignment="1">
      <alignment horizontal="right"/>
    </xf>
    <xf numFmtId="0" fontId="13" fillId="0" borderId="45" xfId="0" applyFont="1" applyBorder="1" applyAlignment="1">
      <alignment horizontal="right"/>
    </xf>
    <xf numFmtId="0" fontId="13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2" fillId="0" borderId="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39" fillId="0" borderId="4" xfId="0" applyFont="1" applyBorder="1" applyAlignment="1">
      <alignment horizontal="center" vertical="top"/>
    </xf>
    <xf numFmtId="0" fontId="39" fillId="0" borderId="0" xfId="0" applyFont="1" applyBorder="1" applyAlignment="1">
      <alignment horizontal="center" vertical="top"/>
    </xf>
    <xf numFmtId="1" fontId="17" fillId="2" borderId="49" xfId="0" applyNumberFormat="1" applyFont="1" applyFill="1" applyBorder="1" applyAlignment="1">
      <alignment horizontal="left" vertical="center"/>
    </xf>
    <xf numFmtId="1" fontId="17" fillId="2" borderId="14" xfId="0" applyNumberFormat="1" applyFont="1" applyFill="1" applyBorder="1" applyAlignment="1">
      <alignment horizontal="left" vertical="center"/>
    </xf>
    <xf numFmtId="0" fontId="33" fillId="2" borderId="47" xfId="0" applyFont="1" applyFill="1" applyBorder="1" applyAlignment="1">
      <alignment horizontal="right" vertical="center"/>
    </xf>
    <xf numFmtId="0" fontId="33" fillId="2" borderId="48" xfId="0" applyFont="1" applyFill="1" applyBorder="1" applyAlignment="1">
      <alignment horizontal="right" vertical="center"/>
    </xf>
    <xf numFmtId="0" fontId="33" fillId="2" borderId="5" xfId="0" applyFont="1" applyFill="1" applyBorder="1" applyAlignment="1">
      <alignment horizontal="right" vertical="center"/>
    </xf>
    <xf numFmtId="0" fontId="33" fillId="2" borderId="11" xfId="0" applyFont="1" applyFill="1" applyBorder="1" applyAlignment="1">
      <alignment horizontal="right" vertical="center"/>
    </xf>
    <xf numFmtId="0" fontId="17" fillId="2" borderId="48" xfId="0" applyFont="1" applyFill="1" applyBorder="1" applyAlignment="1">
      <alignment horizontal="right" vertical="center"/>
    </xf>
    <xf numFmtId="0" fontId="17" fillId="2" borderId="11" xfId="0" applyFont="1" applyFill="1" applyBorder="1" applyAlignment="1">
      <alignment horizontal="right" vertical="center"/>
    </xf>
    <xf numFmtId="1" fontId="17" fillId="2" borderId="48" xfId="0" applyNumberFormat="1" applyFont="1" applyFill="1" applyBorder="1" applyAlignment="1">
      <alignment horizontal="left" vertical="center"/>
    </xf>
    <xf numFmtId="1" fontId="17" fillId="2" borderId="11" xfId="0" applyNumberFormat="1" applyFont="1" applyFill="1" applyBorder="1" applyAlignment="1">
      <alignment horizontal="left" vertical="center"/>
    </xf>
    <xf numFmtId="0" fontId="2" fillId="0" borderId="50" xfId="0" applyFont="1" applyBorder="1" applyAlignment="1">
      <alignment horizontal="left"/>
    </xf>
    <xf numFmtId="0" fontId="5" fillId="0" borderId="51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4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20" xfId="0" applyFont="1" applyFill="1" applyBorder="1" applyAlignment="1">
      <alignment horizontal="right" vertical="center"/>
    </xf>
    <xf numFmtId="0" fontId="4" fillId="2" borderId="4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vertical="center"/>
    </xf>
    <xf numFmtId="0" fontId="4" fillId="2" borderId="42" xfId="0" applyFont="1" applyFill="1" applyBorder="1" applyAlignment="1">
      <alignment vertical="center"/>
    </xf>
    <xf numFmtId="0" fontId="35" fillId="0" borderId="0" xfId="0" applyFont="1" applyBorder="1" applyAlignment="1">
      <alignment vertical="center"/>
    </xf>
    <xf numFmtId="0" fontId="13" fillId="0" borderId="13" xfId="0" applyFont="1" applyBorder="1"/>
    <xf numFmtId="0" fontId="13" fillId="0" borderId="12" xfId="0" applyFont="1" applyBorder="1"/>
    <xf numFmtId="0" fontId="13" fillId="0" borderId="15" xfId="0" applyFont="1" applyBorder="1"/>
    <xf numFmtId="0" fontId="13" fillId="0" borderId="4" xfId="0" applyFont="1" applyBorder="1"/>
    <xf numFmtId="0" fontId="13" fillId="0" borderId="0" xfId="0" applyFont="1" applyBorder="1"/>
    <xf numFmtId="0" fontId="13" fillId="0" borderId="1" xfId="0" applyFont="1" applyBorder="1"/>
    <xf numFmtId="0" fontId="18" fillId="2" borderId="43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42" xfId="0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2" borderId="41" xfId="0" applyNumberFormat="1" applyFont="1" applyFill="1" applyBorder="1" applyAlignment="1">
      <alignment horizontal="center" vertical="center"/>
    </xf>
    <xf numFmtId="2" fontId="17" fillId="2" borderId="49" xfId="0" applyNumberFormat="1" applyFont="1" applyFill="1" applyBorder="1" applyAlignment="1">
      <alignment horizontal="left" vertical="center"/>
    </xf>
    <xf numFmtId="2" fontId="17" fillId="2" borderId="14" xfId="0" applyNumberFormat="1" applyFont="1" applyFill="1" applyBorder="1" applyAlignment="1">
      <alignment horizontal="left" vertical="center"/>
    </xf>
    <xf numFmtId="2" fontId="17" fillId="2" borderId="48" xfId="0" applyNumberFormat="1" applyFont="1" applyFill="1" applyBorder="1" applyAlignment="1">
      <alignment horizontal="right" vertical="center"/>
    </xf>
    <xf numFmtId="2" fontId="17" fillId="2" borderId="11" xfId="0" applyNumberFormat="1" applyFont="1" applyFill="1" applyBorder="1" applyAlignment="1">
      <alignment horizontal="right" vertical="center"/>
    </xf>
    <xf numFmtId="2" fontId="17" fillId="2" borderId="48" xfId="0" applyNumberFormat="1" applyFont="1" applyFill="1" applyBorder="1" applyAlignment="1">
      <alignment horizontal="left" vertical="center"/>
    </xf>
    <xf numFmtId="2" fontId="17" fillId="2" borderId="1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775086505190306E-2"/>
          <c:y val="0.10062954887448945"/>
          <c:w val="0.88062283737024216"/>
          <c:h val="0.67924945490280375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57472"/>
        <c:axId val="190079744"/>
      </c:scatterChart>
      <c:valAx>
        <c:axId val="1900574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079744"/>
        <c:crosses val="autoZero"/>
        <c:crossBetween val="midCat"/>
      </c:valAx>
      <c:valAx>
        <c:axId val="190079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0574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967525461309"/>
          <c:y val="6.1788716000882878E-2"/>
          <c:w val="0.8284235779960141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calculations!$L$10:$L$11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777847.93303173198</c:v>
                </c:pt>
              </c:numCache>
            </c:numRef>
          </c:xVal>
          <c:yVal>
            <c:numRef>
              <c:f>calculations!$M$10:$M$11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9931643.4395528361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calculations!$L$15:$L$16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778078.15305284911</c:v>
                </c:pt>
              </c:numCache>
            </c:numRef>
          </c:xVal>
          <c:yVal>
            <c:numRef>
              <c:f>calculations!$M$15:$M$16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9934100.6456228588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calculations!$L$20:$L$21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779396.3623603998</c:v>
                </c:pt>
              </c:numCache>
            </c:numRef>
          </c:xVal>
          <c:yVal>
            <c:numRef>
              <c:f>calculations!$M$20:$M$21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9936363.4529653769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calculations!$N$10:$N$11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781298.30205607391</c:v>
                </c:pt>
              </c:numCache>
            </c:numRef>
          </c:xVal>
          <c:yVal>
            <c:numRef>
              <c:f>calculations!$O$10:$O$11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9937922.5427232161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calculations!$N$15:$N$16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783759.40512472286</c:v>
                </c:pt>
              </c:numCache>
            </c:numRef>
          </c:xVal>
          <c:yVal>
            <c:numRef>
              <c:f>calculations!$O$15:$O$16</c:f>
              <c:numCache>
                <c:formatCode>0</c:formatCode>
                <c:ptCount val="2"/>
                <c:pt idx="0" formatCode="0.0">
                  <c:v>9932182.2851067316</c:v>
                </c:pt>
                <c:pt idx="1">
                  <c:v>9938419.9264344797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calculations!$N$20:$N$21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786200.83054006682</c:v>
                </c:pt>
              </c:numCache>
            </c:numRef>
          </c:xVal>
          <c:yVal>
            <c:numRef>
              <c:f>calculations!$O$20:$O$21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9938176.0176976472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calculations!$P$10:$P$11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788170.95910146984</c:v>
                </c:pt>
              </c:numCache>
            </c:numRef>
          </c:xVal>
          <c:yVal>
            <c:numRef>
              <c:f>calculations!$Q$10:$Q$11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9936930.3442507777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calculations!$P$15:$P$16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789721.48113601306</c:v>
                </c:pt>
              </c:numCache>
            </c:numRef>
          </c:xVal>
          <c:yVal>
            <c:numRef>
              <c:f>calculations!$Q$15:$Q$16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9935063.4651329294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calculations!$P$20:$P$21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790323.21568723163</c:v>
                </c:pt>
              </c:numCache>
            </c:numRef>
          </c:xVal>
          <c:yVal>
            <c:numRef>
              <c:f>calculations!$Q$20:$Q$21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9932954.6445960663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calculations!$R$10:$R$11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790105.58780703577</c:v>
                </c:pt>
              </c:numCache>
            </c:numRef>
          </c:xVal>
          <c:yVal>
            <c:numRef>
              <c:f>calculations!$S$10:$S$11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9930537.9571388923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calculations!$R$15:$R$16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789144.88130091596</c:v>
                </c:pt>
              </c:numCache>
            </c:numRef>
          </c:xVal>
          <c:yVal>
            <c:numRef>
              <c:f>calculations!$S$15:$S$16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9928469.2579800468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calculations!$R$20:$R$21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787283.78154477046</c:v>
                </c:pt>
              </c:numCache>
            </c:numRef>
          </c:xVal>
          <c:yVal>
            <c:numRef>
              <c:f>calculations!$S$20:$S$21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9926898.6608619839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dPt>
            <c:idx val="1"/>
            <c:marker>
              <c:symbol val="squar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 w="12700">
                <a:solidFill>
                  <a:srgbClr val="000000"/>
                </a:solidFill>
                <a:prstDash val="sysDash"/>
              </a:ln>
            </c:spPr>
          </c:dPt>
          <c:xVal>
            <c:numRef>
              <c:f>calculations!$T$10:$T$11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785070.61016795237</c:v>
                </c:pt>
              </c:numCache>
            </c:numRef>
          </c:xVal>
          <c:yVal>
            <c:numRef>
              <c:f>calculations!$U$10:$U$11</c:f>
              <c:numCache>
                <c:formatCode>0</c:formatCode>
                <c:ptCount val="2"/>
                <c:pt idx="0" formatCode="0.0">
                  <c:v>9932232.9299999997</c:v>
                </c:pt>
                <c:pt idx="1">
                  <c:v>9925944.6437789816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calculations!$T$15:$T$16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782638.14205610077</c:v>
                </c:pt>
              </c:numCache>
            </c:numRef>
          </c:xVal>
          <c:yVal>
            <c:numRef>
              <c:f>calculations!$U$15:$U$16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9926148.58294346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calculations!$T$20:$T$21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780276.76411614066</c:v>
                </c:pt>
              </c:numCache>
            </c:numRef>
          </c:xVal>
          <c:yVal>
            <c:numRef>
              <c:f>calculations!$U$20:$U$21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9927181.8253102619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calculations!$V$10:$V$11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778697.59927478142</c:v>
                </c:pt>
              </c:numCache>
            </c:numRef>
          </c:xVal>
          <c:yVal>
            <c:numRef>
              <c:f>calculations!$W$10:$W$11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9929077.9856442343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calculations!$L$11:$L$12</c:f>
              <c:numCache>
                <c:formatCode>0</c:formatCode>
                <c:ptCount val="2"/>
                <c:pt idx="0">
                  <c:v>777847.93303173198</c:v>
                </c:pt>
                <c:pt idx="1">
                  <c:v>774140.35540579911</c:v>
                </c:pt>
              </c:numCache>
            </c:numRef>
          </c:xVal>
          <c:yVal>
            <c:numRef>
              <c:f>calculations!$M$11:$M$12</c:f>
              <c:numCache>
                <c:formatCode>0</c:formatCode>
                <c:ptCount val="2"/>
                <c:pt idx="0">
                  <c:v>9931643.4395528361</c:v>
                </c:pt>
                <c:pt idx="1">
                  <c:v>9931253.7574417759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calculations!$L$16:$L$17</c:f>
              <c:numCache>
                <c:formatCode>0</c:formatCode>
                <c:ptCount val="2"/>
                <c:pt idx="0">
                  <c:v>778078.15305284911</c:v>
                </c:pt>
                <c:pt idx="1">
                  <c:v>774503.67308126052</c:v>
                </c:pt>
              </c:numCache>
            </c:numRef>
          </c:xVal>
          <c:yVal>
            <c:numRef>
              <c:f>calculations!$M$16:$M$17</c:f>
              <c:numCache>
                <c:formatCode>0</c:formatCode>
                <c:ptCount val="2"/>
                <c:pt idx="0">
                  <c:v>9934100.6456228588</c:v>
                </c:pt>
                <c:pt idx="1">
                  <c:v>9935159.454827914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calculations!$L$21:$L$22</c:f>
              <c:numCache>
                <c:formatCode>0</c:formatCode>
                <c:ptCount val="2"/>
                <c:pt idx="0">
                  <c:v>779396.3623603998</c:v>
                </c:pt>
                <c:pt idx="1">
                  <c:v>776499.16221608815</c:v>
                </c:pt>
              </c:numCache>
            </c:numRef>
          </c:xVal>
          <c:yVal>
            <c:numRef>
              <c:f>calculations!$M$21:$M$22</c:f>
              <c:numCache>
                <c:formatCode>0</c:formatCode>
                <c:ptCount val="2"/>
                <c:pt idx="0">
                  <c:v>9936363.4529653769</c:v>
                </c:pt>
                <c:pt idx="1">
                  <c:v>9938709.5593832098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calculations!$N$11:$N$12</c:f>
              <c:numCache>
                <c:formatCode>0</c:formatCode>
                <c:ptCount val="2"/>
                <c:pt idx="0">
                  <c:v>781298.30205607391</c:v>
                </c:pt>
                <c:pt idx="1">
                  <c:v>779519.4541978261</c:v>
                </c:pt>
              </c:numCache>
            </c:numRef>
          </c:xVal>
          <c:yVal>
            <c:numRef>
              <c:f>calculations!$O$11:$O$12</c:f>
              <c:numCache>
                <c:formatCode>0</c:formatCode>
                <c:ptCount val="2"/>
                <c:pt idx="0">
                  <c:v>9937922.5427232161</c:v>
                </c:pt>
                <c:pt idx="1">
                  <c:v>9941198.772919219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calculations!$N$16:$N$17</c:f>
              <c:numCache>
                <c:formatCode>0</c:formatCode>
                <c:ptCount val="2"/>
                <c:pt idx="0">
                  <c:v>783759.40512472286</c:v>
                </c:pt>
                <c:pt idx="1">
                  <c:v>783369.7230136611</c:v>
                </c:pt>
              </c:numCache>
            </c:numRef>
          </c:xVal>
          <c:yVal>
            <c:numRef>
              <c:f>calculations!$O$16:$O$17</c:f>
              <c:numCache>
                <c:formatCode>0</c:formatCode>
                <c:ptCount val="2"/>
                <c:pt idx="0">
                  <c:v>9938419.9264344797</c:v>
                </c:pt>
                <c:pt idx="1">
                  <c:v>9942127.5040604137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calculations!$N$21:$N$22</c:f>
              <c:numCache>
                <c:formatCode>0</c:formatCode>
                <c:ptCount val="2"/>
                <c:pt idx="0">
                  <c:v>786200.83054006682</c:v>
                </c:pt>
                <c:pt idx="1">
                  <c:v>787259.63974512299</c:v>
                </c:pt>
              </c:numCache>
            </c:numRef>
          </c:xVal>
          <c:yVal>
            <c:numRef>
              <c:f>calculations!$O$21:$O$22</c:f>
              <c:numCache>
                <c:formatCode>0</c:formatCode>
                <c:ptCount val="2"/>
                <c:pt idx="0">
                  <c:v>9938176.0176976472</c:v>
                </c:pt>
                <c:pt idx="1">
                  <c:v>9941750.4976692349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calculations!$P$11:$P$12</c:f>
              <c:numCache>
                <c:formatCode>0</c:formatCode>
                <c:ptCount val="2"/>
                <c:pt idx="0">
                  <c:v>788170.95910146984</c:v>
                </c:pt>
                <c:pt idx="1">
                  <c:v>790517.06551930367</c:v>
                </c:pt>
              </c:numCache>
            </c:numRef>
          </c:xVal>
          <c:yVal>
            <c:numRef>
              <c:f>calculations!$Q$11:$Q$12</c:f>
              <c:numCache>
                <c:formatCode>0</c:formatCode>
                <c:ptCount val="2"/>
                <c:pt idx="0">
                  <c:v>9936930.3442507777</c:v>
                </c:pt>
                <c:pt idx="1">
                  <c:v>9939827.5443950891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calculations!$P$16:$P$17</c:f>
              <c:numCache>
                <c:formatCode>0</c:formatCode>
                <c:ptCount val="2"/>
                <c:pt idx="0">
                  <c:v>789721.48113601306</c:v>
                </c:pt>
                <c:pt idx="1">
                  <c:v>792997.71133201686</c:v>
                </c:pt>
              </c:numCache>
            </c:numRef>
          </c:xVal>
          <c:yVal>
            <c:numRef>
              <c:f>calculations!$Q$16:$Q$17</c:f>
              <c:numCache>
                <c:formatCode>0</c:formatCode>
                <c:ptCount val="2"/>
                <c:pt idx="0">
                  <c:v>9935063.4651329294</c:v>
                </c:pt>
                <c:pt idx="1">
                  <c:v>9936842.3129911777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calculations!$P$21:$P$22</c:f>
              <c:numCache>
                <c:formatCode>0</c:formatCode>
                <c:ptCount val="2"/>
                <c:pt idx="0">
                  <c:v>790323.21568723163</c:v>
                </c:pt>
                <c:pt idx="1">
                  <c:v>794030.7933131645</c:v>
                </c:pt>
              </c:numCache>
            </c:numRef>
          </c:xVal>
          <c:yVal>
            <c:numRef>
              <c:f>calculations!$Q$21:$Q$22</c:f>
              <c:numCache>
                <c:formatCode>0</c:formatCode>
                <c:ptCount val="2"/>
                <c:pt idx="0">
                  <c:v>9932954.6445960663</c:v>
                </c:pt>
                <c:pt idx="1">
                  <c:v>9933344.3267071284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calculations!$R$11:$R$12</c:f>
              <c:numCache>
                <c:formatCode>0</c:formatCode>
                <c:ptCount val="2"/>
                <c:pt idx="0">
                  <c:v>790105.58780703577</c:v>
                </c:pt>
                <c:pt idx="1">
                  <c:v>793680.06777862436</c:v>
                </c:pt>
              </c:numCache>
            </c:numRef>
          </c:xVal>
          <c:yVal>
            <c:numRef>
              <c:f>calculations!$S$11:$S$12</c:f>
              <c:numCache>
                <c:formatCode>0</c:formatCode>
                <c:ptCount val="2"/>
                <c:pt idx="0">
                  <c:v>9930537.9571388923</c:v>
                </c:pt>
                <c:pt idx="1">
                  <c:v>9929479.1479338352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calculations!$R$16:$R$17</c:f>
              <c:numCache>
                <c:formatCode>0</c:formatCode>
                <c:ptCount val="2"/>
                <c:pt idx="0">
                  <c:v>789144.88130091596</c:v>
                </c:pt>
                <c:pt idx="1">
                  <c:v>792042.08144522761</c:v>
                </c:pt>
              </c:numCache>
            </c:numRef>
          </c:xVal>
          <c:yVal>
            <c:numRef>
              <c:f>calculations!$S$16:$S$17</c:f>
              <c:numCache>
                <c:formatCode>0</c:formatCode>
                <c:ptCount val="2"/>
                <c:pt idx="0">
                  <c:v>9928469.2579800468</c:v>
                </c:pt>
                <c:pt idx="1">
                  <c:v>9926123.1515622139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calculations!$R$21:$R$22</c:f>
              <c:numCache>
                <c:formatCode>0</c:formatCode>
                <c:ptCount val="2"/>
                <c:pt idx="0">
                  <c:v>787283.78154477046</c:v>
                </c:pt>
                <c:pt idx="1">
                  <c:v>789062.62940301828</c:v>
                </c:pt>
              </c:numCache>
            </c:numRef>
          </c:xVal>
          <c:yVal>
            <c:numRef>
              <c:f>calculations!$S$21:$S$22</c:f>
              <c:numCache>
                <c:formatCode>0</c:formatCode>
                <c:ptCount val="2"/>
                <c:pt idx="0">
                  <c:v>9926898.6608619839</c:v>
                </c:pt>
                <c:pt idx="1">
                  <c:v>9923622.430665981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calculations!$T$11:$T$12</c:f>
              <c:numCache>
                <c:formatCode>0</c:formatCode>
                <c:ptCount val="2"/>
                <c:pt idx="0">
                  <c:v>785070.61016795237</c:v>
                </c:pt>
                <c:pt idx="1">
                  <c:v>785460.29227901413</c:v>
                </c:pt>
              </c:numCache>
            </c:numRef>
          </c:xVal>
          <c:yVal>
            <c:numRef>
              <c:f>calculations!$U$11:$U$12</c:f>
              <c:numCache>
                <c:formatCode>0</c:formatCode>
                <c:ptCount val="2"/>
                <c:pt idx="0">
                  <c:v>9925944.6437789816</c:v>
                </c:pt>
                <c:pt idx="1">
                  <c:v>9922237.0661530476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calculations!$T$16:$T$17</c:f>
              <c:numCache>
                <c:formatCode>0</c:formatCode>
                <c:ptCount val="2"/>
                <c:pt idx="0">
                  <c:v>782638.14205610077</c:v>
                </c:pt>
                <c:pt idx="1">
                  <c:v>781579.3328510446</c:v>
                </c:pt>
              </c:numCache>
            </c:numRef>
          </c:xVal>
          <c:yVal>
            <c:numRef>
              <c:f>calculations!$U$16:$U$17</c:f>
              <c:numCache>
                <c:formatCode>0</c:formatCode>
                <c:ptCount val="2"/>
                <c:pt idx="0">
                  <c:v>9926148.58294346</c:v>
                </c:pt>
                <c:pt idx="1">
                  <c:v>9922574.1029718723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calculations!$T$21:$T$22</c:f>
              <c:numCache>
                <c:formatCode>0</c:formatCode>
                <c:ptCount val="2"/>
                <c:pt idx="0">
                  <c:v>780276.76411614066</c:v>
                </c:pt>
                <c:pt idx="1">
                  <c:v>777930.65769830684</c:v>
                </c:pt>
              </c:numCache>
            </c:numRef>
          </c:xVal>
          <c:yVal>
            <c:numRef>
              <c:f>calculations!$U$21:$U$22</c:f>
              <c:numCache>
                <c:formatCode>0</c:formatCode>
                <c:ptCount val="2"/>
                <c:pt idx="0">
                  <c:v>9927181.8253102619</c:v>
                </c:pt>
                <c:pt idx="1">
                  <c:v>9924284.6251659505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1.2172959465685887E-3"/>
                  <c:y val="2.030886565985224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calculations!$V$11:$V$12</c:f>
              <c:numCache>
                <c:formatCode>0</c:formatCode>
                <c:ptCount val="2"/>
                <c:pt idx="0">
                  <c:v>778697.59927478142</c:v>
                </c:pt>
                <c:pt idx="1">
                  <c:v>775421.36907877761</c:v>
                </c:pt>
              </c:numCache>
            </c:numRef>
          </c:xVal>
          <c:yVal>
            <c:numRef>
              <c:f>calculations!$W$11:$W$12</c:f>
              <c:numCache>
                <c:formatCode>0</c:formatCode>
                <c:ptCount val="2"/>
                <c:pt idx="0">
                  <c:v>9929077.9856442343</c:v>
                </c:pt>
                <c:pt idx="1">
                  <c:v>9927299.1377859861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96288"/>
        <c:axId val="190599168"/>
      </c:scatterChart>
      <c:valAx>
        <c:axId val="190396288"/>
        <c:scaling>
          <c:orientation val="minMax"/>
          <c:max val="798000"/>
          <c:min val="77000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(ft)   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49740071052643547"/>
              <c:y val="0.944716983547788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599168"/>
        <c:crosses val="autoZero"/>
        <c:crossBetween val="midCat"/>
      </c:valAx>
      <c:valAx>
        <c:axId val="19059916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(ft)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 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8.6655112651646445E-3"/>
              <c:y val="0.437399056825213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96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173010380622836E-2"/>
          <c:y val="7.5472161655867093E-2"/>
          <c:w val="0.9290657439446367"/>
          <c:h val="0.7735896569726377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22720"/>
        <c:axId val="190714624"/>
      </c:scatterChart>
      <c:valAx>
        <c:axId val="1906227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14624"/>
        <c:crosses val="autoZero"/>
        <c:crossBetween val="midCat"/>
      </c:valAx>
      <c:valAx>
        <c:axId val="1907146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622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5807124511824"/>
          <c:y val="5.6910659474497388E-2"/>
          <c:w val="0.8128256445191017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calculations!$Y$10:$Y$11</c:f>
              <c:numCache>
                <c:formatCode>0.0</c:formatCode>
                <c:ptCount val="2"/>
                <c:pt idx="0">
                  <c:v>238989.28306477008</c:v>
                </c:pt>
                <c:pt idx="1">
                  <c:v>237088.04998807193</c:v>
                </c:pt>
              </c:numCache>
            </c:numRef>
          </c:xVal>
          <c:yVal>
            <c:numRef>
              <c:f>calculations!$Z$10:$Z$11</c:f>
              <c:numCache>
                <c:formatCode>0.0</c:formatCode>
                <c:ptCount val="2"/>
                <c:pt idx="0">
                  <c:v>3027364.7480242928</c:v>
                </c:pt>
                <c:pt idx="1">
                  <c:v>3027164.9203757048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calculations!$Y$15:$Y$16</c:f>
              <c:numCache>
                <c:formatCode>0</c:formatCode>
                <c:ptCount val="2"/>
                <c:pt idx="0" formatCode="0.0">
                  <c:v>238991.20210704644</c:v>
                </c:pt>
                <c:pt idx="1">
                  <c:v>237158.22105050841</c:v>
                </c:pt>
              </c:numCache>
            </c:numRef>
          </c:xVal>
          <c:yVal>
            <c:numRef>
              <c:f>calculations!$Z$15:$Z$16</c:f>
              <c:numCache>
                <c:formatCode>0</c:formatCode>
                <c:ptCount val="2"/>
                <c:pt idx="0" formatCode="0.0">
                  <c:v>3027370.9230608908</c:v>
                </c:pt>
                <c:pt idx="1">
                  <c:v>3027913.8767858474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calculations!$Y$20:$Y$21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237560.01124744987</c:v>
                </c:pt>
              </c:numCache>
            </c:numRef>
          </c:xVal>
          <c:yVal>
            <c:numRef>
              <c:f>calculations!$Z$20:$Z$21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3028603.5804638471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calculations!$AA$10:$AA$11</c:f>
              <c:numCache>
                <c:formatCode>0.0</c:formatCode>
                <c:ptCount val="2"/>
                <c:pt idx="0">
                  <c:v>239051.90954076868</c:v>
                </c:pt>
                <c:pt idx="1">
                  <c:v>238139.72246669134</c:v>
                </c:pt>
              </c:numCache>
            </c:numRef>
          </c:xVal>
          <c:yVal>
            <c:numRef>
              <c:f>calculations!$AB$10:$AB$11</c:f>
              <c:numCache>
                <c:formatCode>0.0</c:formatCode>
                <c:ptCount val="2"/>
                <c:pt idx="0">
                  <c:v>3027398.7514263848</c:v>
                </c:pt>
                <c:pt idx="1">
                  <c:v>3029078.7910220362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calculations!$AA$15:$AA$16</c:f>
              <c:numCache>
                <c:formatCode>0</c:formatCode>
                <c:ptCount val="2"/>
                <c:pt idx="0" formatCode="0.0">
                  <c:v>239089.69433060373</c:v>
                </c:pt>
                <c:pt idx="1">
                  <c:v>238889.86668201553</c:v>
                </c:pt>
              </c:numCache>
            </c:numRef>
          </c:xVal>
          <c:yVal>
            <c:numRef>
              <c:f>calculations!$AB$15:$AB$16</c:f>
              <c:numCache>
                <c:formatCode>0</c:formatCode>
                <c:ptCount val="2"/>
                <c:pt idx="0" formatCode="0.0">
                  <c:v>3027329.160500532</c:v>
                </c:pt>
                <c:pt idx="1">
                  <c:v>3029230.3935772297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calculations!$AA$20:$AA$21</c:f>
              <c:numCache>
                <c:formatCode>0</c:formatCode>
                <c:ptCount val="2"/>
                <c:pt idx="0" formatCode="0.0">
                  <c:v>239091.05942365594</c:v>
                </c:pt>
                <c:pt idx="1">
                  <c:v>239634.01314861237</c:v>
                </c:pt>
              </c:numCache>
            </c:numRef>
          </c:xVal>
          <c:yVal>
            <c:numRef>
              <c:f>calculations!$AB$20:$AB$21</c:f>
              <c:numCache>
                <c:formatCode>0</c:formatCode>
                <c:ptCount val="2"/>
                <c:pt idx="0" formatCode="0.0">
                  <c:v>3027323.069137705</c:v>
                </c:pt>
                <c:pt idx="1">
                  <c:v>3029156.050194243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calculations!$AC$10:$AC$11</c:f>
              <c:numCache>
                <c:formatCode>0.0</c:formatCode>
                <c:ptCount val="2"/>
                <c:pt idx="0">
                  <c:v>239031.43301836387</c:v>
                </c:pt>
                <c:pt idx="1">
                  <c:v>240234.50833412801</c:v>
                </c:pt>
              </c:numCache>
            </c:numRef>
          </c:xVal>
          <c:yVal>
            <c:numRef>
              <c:f>calculations!$AD$10:$AD$11</c:f>
              <c:numCache>
                <c:formatCode>0.0</c:formatCode>
                <c:ptCount val="2"/>
                <c:pt idx="0">
                  <c:v>3027290.6946411026</c:v>
                </c:pt>
                <c:pt idx="1">
                  <c:v>3028776.3689276371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calculations!$AC$15:$AC$16</c:f>
              <c:numCache>
                <c:formatCode>0</c:formatCode>
                <c:ptCount val="2"/>
                <c:pt idx="0" formatCode="0.0">
                  <c:v>239027.06785460512</c:v>
                </c:pt>
                <c:pt idx="1">
                  <c:v>240707.10745025679</c:v>
                </c:pt>
              </c:numCache>
            </c:numRef>
          </c:xVal>
          <c:yVal>
            <c:numRef>
              <c:f>calculations!$AD$15:$AD$16</c:f>
              <c:numCache>
                <c:formatCode>0</c:formatCode>
                <c:ptCount val="2"/>
                <c:pt idx="0" formatCode="0.0">
                  <c:v>3027295.15709844</c:v>
                </c:pt>
                <c:pt idx="1">
                  <c:v>3028207.3441725168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calculations!$AC$20:$AC$21</c:f>
              <c:numCache>
                <c:formatCode>0</c:formatCode>
                <c:ptCount val="2"/>
                <c:pt idx="0" formatCode="0.0">
                  <c:v>238989.28306477008</c:v>
                </c:pt>
                <c:pt idx="1">
                  <c:v>240890.51614146822</c:v>
                </c:pt>
              </c:numCache>
            </c:numRef>
          </c:xVal>
          <c:yVal>
            <c:numRef>
              <c:f>calculations!$AD$20:$AD$21</c:f>
              <c:numCache>
                <c:formatCode>0</c:formatCode>
                <c:ptCount val="2"/>
                <c:pt idx="0" formatCode="0.0">
                  <c:v>3027364.7480242928</c:v>
                </c:pt>
                <c:pt idx="1">
                  <c:v>3027564.5756728812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calculations!$AE$10:$AE$11</c:f>
              <c:numCache>
                <c:formatCode>0.0</c:formatCode>
                <c:ptCount val="2"/>
                <c:pt idx="0">
                  <c:v>238991.20210704644</c:v>
                </c:pt>
                <c:pt idx="1">
                  <c:v>240824.1831635845</c:v>
                </c:pt>
              </c:numCache>
            </c:numRef>
          </c:xVal>
          <c:yVal>
            <c:numRef>
              <c:f>calculations!$AF$10:$AF$11</c:f>
              <c:numCache>
                <c:formatCode>0.0</c:formatCode>
                <c:ptCount val="2"/>
                <c:pt idx="0">
                  <c:v>3027370.9230608908</c:v>
                </c:pt>
                <c:pt idx="1">
                  <c:v>3026827.9693359346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calculations!$AE$15:$AE$16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240531.3598205192</c:v>
                </c:pt>
              </c:numCache>
            </c:numRef>
          </c:xVal>
          <c:yVal>
            <c:numRef>
              <c:f>calculations!$AF$15:$AF$16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3026197.4298323183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calculations!$AE$20:$AE$21</c:f>
              <c:numCache>
                <c:formatCode>0</c:formatCode>
                <c:ptCount val="2"/>
                <c:pt idx="0" formatCode="0.0">
                  <c:v>239051.90954076868</c:v>
                </c:pt>
                <c:pt idx="1">
                  <c:v>239964.09661484606</c:v>
                </c:pt>
              </c:numCache>
            </c:numRef>
          </c:xVal>
          <c:yVal>
            <c:numRef>
              <c:f>calculations!$AF$20:$AF$21</c:f>
              <c:numCache>
                <c:formatCode>0</c:formatCode>
                <c:ptCount val="2"/>
                <c:pt idx="0" formatCode="0.0">
                  <c:v>3027398.7514263848</c:v>
                </c:pt>
                <c:pt idx="1">
                  <c:v>3025718.7118307329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calculations!$AG$10:$AG$11</c:f>
              <c:numCache>
                <c:formatCode>0.0</c:formatCode>
                <c:ptCount val="2"/>
                <c:pt idx="0">
                  <c:v>239089.69433060373</c:v>
                </c:pt>
                <c:pt idx="1">
                  <c:v>239289.52197919189</c:v>
                </c:pt>
              </c:numCache>
            </c:numRef>
          </c:xVal>
          <c:yVal>
            <c:numRef>
              <c:f>calculations!$AH$10:$AH$11</c:f>
              <c:numCache>
                <c:formatCode>0.0</c:formatCode>
                <c:ptCount val="2"/>
                <c:pt idx="0">
                  <c:v>3027344.5970640001</c:v>
                </c:pt>
                <c:pt idx="1">
                  <c:v>3025427.9274238339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calculations!$AG$15:$AG$16</c:f>
              <c:numCache>
                <c:formatCode>0</c:formatCode>
                <c:ptCount val="2"/>
                <c:pt idx="0" formatCode="General">
                  <c:v>239091.05942365594</c:v>
                </c:pt>
                <c:pt idx="1">
                  <c:v>238548.10569869954</c:v>
                </c:pt>
              </c:numCache>
            </c:numRef>
          </c:xVal>
          <c:yVal>
            <c:numRef>
              <c:f>calculations!$AH$15:$AH$16</c:f>
              <c:numCache>
                <c:formatCode>0</c:formatCode>
                <c:ptCount val="2"/>
                <c:pt idx="0" formatCode="General">
                  <c:v>3027323.069137705</c:v>
                </c:pt>
                <c:pt idx="1">
                  <c:v>3025490.0880811666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calculations!$AG$20:$AG$21</c:f>
              <c:numCache>
                <c:formatCode>0</c:formatCode>
                <c:ptCount val="2"/>
                <c:pt idx="0" formatCode="General">
                  <c:v>239031.43301836387</c:v>
                </c:pt>
                <c:pt idx="1">
                  <c:v>237828.35770259969</c:v>
                </c:pt>
              </c:numCache>
            </c:numRef>
          </c:xVal>
          <c:yVal>
            <c:numRef>
              <c:f>calculations!$AH$20:$AH$21</c:f>
              <c:numCache>
                <c:formatCode>0</c:formatCode>
                <c:ptCount val="2"/>
                <c:pt idx="0" formatCode="General">
                  <c:v>3027290.6946411026</c:v>
                </c:pt>
                <c:pt idx="1">
                  <c:v>3025805.020354568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calculations!$AI$10:$AI$11</c:f>
              <c:numCache>
                <c:formatCode>0.0</c:formatCode>
                <c:ptCount val="2"/>
                <c:pt idx="0">
                  <c:v>239027.06785460512</c:v>
                </c:pt>
                <c:pt idx="1">
                  <c:v>237347.02825895339</c:v>
                </c:pt>
              </c:numCache>
            </c:numRef>
          </c:xVal>
          <c:yVal>
            <c:numRef>
              <c:f>calculations!$AJ$10:$AJ$11</c:f>
              <c:numCache>
                <c:formatCode>0.0</c:formatCode>
                <c:ptCount val="2"/>
                <c:pt idx="0">
                  <c:v>3027295.15709844</c:v>
                </c:pt>
                <c:pt idx="1">
                  <c:v>3026382.9700243627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calculations!$Y$11:$Y$12</c:f>
              <c:numCache>
                <c:formatCode>0.0</c:formatCode>
                <c:ptCount val="2"/>
                <c:pt idx="0">
                  <c:v>237088.04998807193</c:v>
                </c:pt>
                <c:pt idx="1">
                  <c:v>235957.98032768758</c:v>
                </c:pt>
              </c:numCache>
            </c:numRef>
          </c:xVal>
          <c:yVal>
            <c:numRef>
              <c:f>calculations!$Z$11:$Z$12</c:f>
              <c:numCache>
                <c:formatCode>0.0</c:formatCode>
                <c:ptCount val="2"/>
                <c:pt idx="0">
                  <c:v>3027164.9203757048</c:v>
                </c:pt>
                <c:pt idx="1">
                  <c:v>3027046.1452682535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calculations!$Y$16:$Y$17</c:f>
              <c:numCache>
                <c:formatCode>0</c:formatCode>
                <c:ptCount val="2"/>
                <c:pt idx="0">
                  <c:v>237158.22105050841</c:v>
                </c:pt>
                <c:pt idx="1">
                  <c:v>236068.71955516821</c:v>
                </c:pt>
              </c:numCache>
            </c:numRef>
          </c:xVal>
          <c:yVal>
            <c:numRef>
              <c:f>calculations!$Z$16:$Z$17</c:f>
              <c:numCache>
                <c:formatCode>0</c:formatCode>
                <c:ptCount val="2"/>
                <c:pt idx="0">
                  <c:v>3027913.8767858474</c:v>
                </c:pt>
                <c:pt idx="1">
                  <c:v>3028236.6018315484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calculations!$Y$21:$Y$22</c:f>
              <c:numCache>
                <c:formatCode>0</c:formatCode>
                <c:ptCount val="2"/>
                <c:pt idx="0">
                  <c:v>237560.01124744987</c:v>
                </c:pt>
                <c:pt idx="1">
                  <c:v>236676.94464346368</c:v>
                </c:pt>
              </c:numCache>
            </c:numRef>
          </c:xVal>
          <c:yVal>
            <c:numRef>
              <c:f>calculations!$Z$21:$Z$22</c:f>
              <c:numCache>
                <c:formatCode>0</c:formatCode>
                <c:ptCount val="2"/>
                <c:pt idx="0">
                  <c:v>3028603.5804638471</c:v>
                </c:pt>
                <c:pt idx="1">
                  <c:v>3029318.6737000025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calculations!$AA$11:$AA$12</c:f>
              <c:numCache>
                <c:formatCode>0.0</c:formatCode>
                <c:ptCount val="2"/>
                <c:pt idx="0">
                  <c:v>238139.72246669134</c:v>
                </c:pt>
                <c:pt idx="1">
                  <c:v>237597.5296394974</c:v>
                </c:pt>
              </c:numCache>
            </c:numRef>
          </c:xVal>
          <c:yVal>
            <c:numRef>
              <c:f>calculations!$AB$11:$AB$12</c:f>
              <c:numCache>
                <c:formatCode>0.0</c:formatCode>
                <c:ptCount val="2"/>
                <c:pt idx="0">
                  <c:v>3029078.7910220362</c:v>
                </c:pt>
                <c:pt idx="1">
                  <c:v>3030077.3859857782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calculations!$AA$16:$AA$17</c:f>
              <c:numCache>
                <c:formatCode>0</c:formatCode>
                <c:ptCount val="2"/>
                <c:pt idx="0">
                  <c:v>238889.86668201553</c:v>
                </c:pt>
                <c:pt idx="1">
                  <c:v>238771.09157456391</c:v>
                </c:pt>
              </c:numCache>
            </c:numRef>
          </c:xVal>
          <c:yVal>
            <c:numRef>
              <c:f>calculations!$AB$16:$AB$17</c:f>
              <c:numCache>
                <c:formatCode>0</c:formatCode>
                <c:ptCount val="2"/>
                <c:pt idx="0">
                  <c:v>3029230.3935772297</c:v>
                </c:pt>
                <c:pt idx="1">
                  <c:v>3030360.4632376144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calculations!$AA$21:$AA$22</c:f>
              <c:numCache>
                <c:formatCode>0</c:formatCode>
                <c:ptCount val="2"/>
                <c:pt idx="0">
                  <c:v>239634.01314861237</c:v>
                </c:pt>
                <c:pt idx="1">
                  <c:v>239956.73819431351</c:v>
                </c:pt>
              </c:numCache>
            </c:numRef>
          </c:xVal>
          <c:yVal>
            <c:numRef>
              <c:f>calculations!$AB$21:$AB$22</c:f>
              <c:numCache>
                <c:formatCode>0</c:formatCode>
                <c:ptCount val="2"/>
                <c:pt idx="0">
                  <c:v>3029156.050194243</c:v>
                </c:pt>
                <c:pt idx="1">
                  <c:v>3030245.5516895829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calculations!$AC$11:$AC$12</c:f>
              <c:numCache>
                <c:formatCode>0.0</c:formatCode>
                <c:ptCount val="2"/>
                <c:pt idx="0">
                  <c:v>240234.50833412801</c:v>
                </c:pt>
                <c:pt idx="1">
                  <c:v>240949.60157028376</c:v>
                </c:pt>
              </c:numCache>
            </c:numRef>
          </c:xVal>
          <c:yVal>
            <c:numRef>
              <c:f>calculations!$AD$11:$AD$12</c:f>
              <c:numCache>
                <c:formatCode>0.0</c:formatCode>
                <c:ptCount val="2"/>
                <c:pt idx="0">
                  <c:v>3028776.3689276371</c:v>
                </c:pt>
                <c:pt idx="1">
                  <c:v>3029659.4355316232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calculations!$AC$16:$AC$17</c:f>
              <c:numCache>
                <c:formatCode>0</c:formatCode>
                <c:ptCount val="2"/>
                <c:pt idx="0">
                  <c:v>240707.10745025679</c:v>
                </c:pt>
                <c:pt idx="1">
                  <c:v>241705.70241399875</c:v>
                </c:pt>
              </c:numCache>
            </c:numRef>
          </c:xVal>
          <c:yVal>
            <c:numRef>
              <c:f>calculations!$AD$16:$AD$17</c:f>
              <c:numCache>
                <c:formatCode>0</c:formatCode>
                <c:ptCount val="2"/>
                <c:pt idx="0">
                  <c:v>3028207.3441725168</c:v>
                </c:pt>
                <c:pt idx="1">
                  <c:v>3028749.5369997113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calculations!$AC$21:$AC$22</c:f>
              <c:numCache>
                <c:formatCode>0</c:formatCode>
                <c:ptCount val="2"/>
                <c:pt idx="0">
                  <c:v>240890.51614146822</c:v>
                </c:pt>
                <c:pt idx="1">
                  <c:v>242020.58580185255</c:v>
                </c:pt>
              </c:numCache>
            </c:numRef>
          </c:xVal>
          <c:yVal>
            <c:numRef>
              <c:f>calculations!$AD$21:$AD$22</c:f>
              <c:numCache>
                <c:formatCode>0</c:formatCode>
                <c:ptCount val="2"/>
                <c:pt idx="0">
                  <c:v>3027564.5756728812</c:v>
                </c:pt>
                <c:pt idx="1">
                  <c:v>3027683.3507803329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calculations!$AE$11:$AE$12</c:f>
              <c:numCache>
                <c:formatCode>0.0</c:formatCode>
                <c:ptCount val="2"/>
                <c:pt idx="0">
                  <c:v>240824.1831635845</c:v>
                </c:pt>
                <c:pt idx="1">
                  <c:v>241913.68465892473</c:v>
                </c:pt>
              </c:numCache>
            </c:numRef>
          </c:xVal>
          <c:yVal>
            <c:numRef>
              <c:f>calculations!$AF$11:$AF$12</c:f>
              <c:numCache>
                <c:formatCode>0.0</c:formatCode>
                <c:ptCount val="2"/>
                <c:pt idx="0">
                  <c:v>3026827.9693359346</c:v>
                </c:pt>
                <c:pt idx="1">
                  <c:v>3026505.2442902331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calculations!$AE$16:$AE$17</c:f>
              <c:numCache>
                <c:formatCode>0</c:formatCode>
                <c:ptCount val="2"/>
                <c:pt idx="0">
                  <c:v>240531.3598205192</c:v>
                </c:pt>
                <c:pt idx="1">
                  <c:v>241414.42642450539</c:v>
                </c:pt>
              </c:numCache>
            </c:numRef>
          </c:xVal>
          <c:yVal>
            <c:numRef>
              <c:f>calculations!$AF$16:$AF$17</c:f>
              <c:numCache>
                <c:formatCode>0</c:formatCode>
                <c:ptCount val="2"/>
                <c:pt idx="0">
                  <c:v>3026197.4298323183</c:v>
                </c:pt>
                <c:pt idx="1">
                  <c:v>3025482.336596163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calculations!$AE$21:$AE$22</c:f>
              <c:numCache>
                <c:formatCode>0</c:formatCode>
                <c:ptCount val="2"/>
                <c:pt idx="0">
                  <c:v>239964.09661484606</c:v>
                </c:pt>
                <c:pt idx="1">
                  <c:v>240506.28944204</c:v>
                </c:pt>
              </c:numCache>
            </c:numRef>
          </c:xVal>
          <c:yVal>
            <c:numRef>
              <c:f>calculations!$AF$21:$AF$22</c:f>
              <c:numCache>
                <c:formatCode>0</c:formatCode>
                <c:ptCount val="2"/>
                <c:pt idx="0">
                  <c:v>3025718.7118307329</c:v>
                </c:pt>
                <c:pt idx="1">
                  <c:v>3024720.1168669914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calculations!$AG$11:$AG$12</c:f>
              <c:numCache>
                <c:formatCode>0.0</c:formatCode>
                <c:ptCount val="2"/>
                <c:pt idx="0">
                  <c:v>239289.52197919189</c:v>
                </c:pt>
                <c:pt idx="1">
                  <c:v>239408.29708664352</c:v>
                </c:pt>
              </c:numCache>
            </c:numRef>
          </c:xVal>
          <c:yVal>
            <c:numRef>
              <c:f>calculations!$AH$11:$AH$12</c:f>
              <c:numCache>
                <c:formatCode>0.0</c:formatCode>
                <c:ptCount val="2"/>
                <c:pt idx="0">
                  <c:v>3025427.9274238339</c:v>
                </c:pt>
                <c:pt idx="1">
                  <c:v>3024297.8577634492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calculations!$AG$16:$AG$17</c:f>
              <c:numCache>
                <c:formatCode>0</c:formatCode>
                <c:ptCount val="2"/>
                <c:pt idx="0">
                  <c:v>238548.10569869954</c:v>
                </c:pt>
                <c:pt idx="1">
                  <c:v>238225.3806529984</c:v>
                </c:pt>
              </c:numCache>
            </c:numRef>
          </c:xVal>
          <c:yVal>
            <c:numRef>
              <c:f>calculations!$AH$16:$AH$17</c:f>
              <c:numCache>
                <c:formatCode>0</c:formatCode>
                <c:ptCount val="2"/>
                <c:pt idx="0">
                  <c:v>3025490.0880811666</c:v>
                </c:pt>
                <c:pt idx="1">
                  <c:v>3024400.5865858267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calculations!$AG$21:$AG$22</c:f>
              <c:numCache>
                <c:formatCode>0</c:formatCode>
                <c:ptCount val="2"/>
                <c:pt idx="0">
                  <c:v>237828.35770259969</c:v>
                </c:pt>
                <c:pt idx="1">
                  <c:v>237113.26446644394</c:v>
                </c:pt>
              </c:numCache>
            </c:numRef>
          </c:xVal>
          <c:yVal>
            <c:numRef>
              <c:f>calculations!$AH$21:$AH$22</c:f>
              <c:numCache>
                <c:formatCode>0</c:formatCode>
                <c:ptCount val="2"/>
                <c:pt idx="0">
                  <c:v>3025805.020354568</c:v>
                </c:pt>
                <c:pt idx="1">
                  <c:v>3024921.9537505819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calculations!$AI$11:$AI$12</c:f>
              <c:numCache>
                <c:formatCode>0.0</c:formatCode>
                <c:ptCount val="2"/>
                <c:pt idx="0">
                  <c:v>237347.02825895339</c:v>
                </c:pt>
                <c:pt idx="1">
                  <c:v>236348.43329521143</c:v>
                </c:pt>
              </c:numCache>
            </c:numRef>
          </c:xVal>
          <c:yVal>
            <c:numRef>
              <c:f>calculations!$AJ$11:$AJ$12</c:f>
              <c:numCache>
                <c:formatCode>0.0</c:formatCode>
                <c:ptCount val="2"/>
                <c:pt idx="0">
                  <c:v>3026382.9700243627</c:v>
                </c:pt>
                <c:pt idx="1">
                  <c:v>3025840.7771971687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9584"/>
        <c:axId val="191238144"/>
      </c:scatterChart>
      <c:valAx>
        <c:axId val="1912195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51126552855069896"/>
              <c:y val="0.93983893476730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238144"/>
        <c:crosses val="autoZero"/>
        <c:crossBetween val="midCat"/>
      </c:valAx>
      <c:valAx>
        <c:axId val="191238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1.9064124783362217E-2"/>
              <c:y val="0.439025073085376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219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82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581025</xdr:colOff>
      <xdr:row>37</xdr:row>
      <xdr:rowOff>161925</xdr:rowOff>
    </xdr:to>
    <xdr:sp macro="" textlink="">
      <xdr:nvSpPr>
        <xdr:cNvPr id="8231" name="Line 7"/>
        <xdr:cNvSpPr>
          <a:spLocks noChangeShapeType="1"/>
        </xdr:cNvSpPr>
      </xdr:nvSpPr>
      <xdr:spPr bwMode="auto">
        <a:xfrm>
          <a:off x="5724525" y="8839200"/>
          <a:ext cx="381000" cy="0"/>
        </a:xfrm>
        <a:prstGeom prst="line">
          <a:avLst/>
        </a:prstGeom>
        <a:noFill/>
        <a:ln w="317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581025</xdr:colOff>
      <xdr:row>36</xdr:row>
      <xdr:rowOff>142875</xdr:rowOff>
    </xdr:to>
    <xdr:sp macro="" textlink="">
      <xdr:nvSpPr>
        <xdr:cNvPr id="8232" name="Line 8"/>
        <xdr:cNvSpPr>
          <a:spLocks noChangeShapeType="1"/>
        </xdr:cNvSpPr>
      </xdr:nvSpPr>
      <xdr:spPr bwMode="auto">
        <a:xfrm>
          <a:off x="5724525" y="8534400"/>
          <a:ext cx="381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8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8234" name="Text Box 18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85725</xdr:colOff>
      <xdr:row>30</xdr:row>
      <xdr:rowOff>76200</xdr:rowOff>
    </xdr:from>
    <xdr:to>
      <xdr:col>17</xdr:col>
      <xdr:colOff>838200</xdr:colOff>
      <xdr:row>34</xdr:row>
      <xdr:rowOff>0</xdr:rowOff>
    </xdr:to>
    <xdr:pic>
      <xdr:nvPicPr>
        <xdr:cNvPr id="8235" name="Picture 7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0" y="7496175"/>
          <a:ext cx="16859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66675</xdr:colOff>
      <xdr:row>30</xdr:row>
      <xdr:rowOff>66675</xdr:rowOff>
    </xdr:from>
    <xdr:to>
      <xdr:col>17</xdr:col>
      <xdr:colOff>666750</xdr:colOff>
      <xdr:row>33</xdr:row>
      <xdr:rowOff>133350</xdr:rowOff>
    </xdr:to>
    <xdr:pic>
      <xdr:nvPicPr>
        <xdr:cNvPr id="225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7486650"/>
          <a:ext cx="15335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495300</xdr:colOff>
      <xdr:row>37</xdr:row>
      <xdr:rowOff>161925</xdr:rowOff>
    </xdr:to>
    <xdr:sp macro="" textlink="">
      <xdr:nvSpPr>
        <xdr:cNvPr id="22557" name="Line 4"/>
        <xdr:cNvSpPr>
          <a:spLocks noChangeShapeType="1"/>
        </xdr:cNvSpPr>
      </xdr:nvSpPr>
      <xdr:spPr bwMode="auto">
        <a:xfrm>
          <a:off x="5724525" y="88392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495300</xdr:colOff>
      <xdr:row>36</xdr:row>
      <xdr:rowOff>142875</xdr:rowOff>
    </xdr:to>
    <xdr:sp macro="" textlink="">
      <xdr:nvSpPr>
        <xdr:cNvPr id="22558" name="Line 5"/>
        <xdr:cNvSpPr>
          <a:spLocks noChangeShapeType="1"/>
        </xdr:cNvSpPr>
      </xdr:nvSpPr>
      <xdr:spPr bwMode="auto">
        <a:xfrm>
          <a:off x="5724525" y="8534400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2255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22560" name="Text Box 7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26"/>
  <sheetViews>
    <sheetView zoomScale="75" workbookViewId="0">
      <selection activeCell="E20" sqref="E20"/>
    </sheetView>
  </sheetViews>
  <sheetFormatPr defaultRowHeight="12.75" x14ac:dyDescent="0.2"/>
  <cols>
    <col min="1" max="1" width="38.28515625" style="204" customWidth="1"/>
    <col min="2" max="2" width="22.28515625" style="206" bestFit="1" customWidth="1"/>
    <col min="3" max="16384" width="9.140625" style="204"/>
  </cols>
  <sheetData>
    <row r="1" spans="1:2" ht="15" customHeight="1" x14ac:dyDescent="0.2">
      <c r="A1" s="207" t="s">
        <v>124</v>
      </c>
      <c r="B1" s="209"/>
    </row>
    <row r="2" spans="1:2" ht="15" customHeight="1" x14ac:dyDescent="0.2">
      <c r="A2" s="207" t="s">
        <v>123</v>
      </c>
      <c r="B2" s="209" t="s">
        <v>125</v>
      </c>
    </row>
    <row r="3" spans="1:2" ht="15" customHeight="1" x14ac:dyDescent="0.2">
      <c r="A3" s="208" t="s">
        <v>112</v>
      </c>
      <c r="B3" s="209" t="s">
        <v>128</v>
      </c>
    </row>
    <row r="4" spans="1:2" ht="15" customHeight="1" x14ac:dyDescent="0.2">
      <c r="A4" s="208" t="s">
        <v>113</v>
      </c>
      <c r="B4" s="209" t="s">
        <v>129</v>
      </c>
    </row>
    <row r="5" spans="1:2" ht="15" customHeight="1" x14ac:dyDescent="0.2">
      <c r="A5" s="208" t="s">
        <v>114</v>
      </c>
      <c r="B5" s="209"/>
    </row>
    <row r="6" spans="1:2" ht="15" customHeight="1" x14ac:dyDescent="0.2">
      <c r="A6" s="208" t="s">
        <v>126</v>
      </c>
      <c r="B6" s="209">
        <v>16</v>
      </c>
    </row>
    <row r="7" spans="1:2" ht="15" customHeight="1" x14ac:dyDescent="0.2">
      <c r="A7" s="208" t="s">
        <v>127</v>
      </c>
      <c r="B7" s="209">
        <v>3285</v>
      </c>
    </row>
    <row r="8" spans="1:2" ht="15" customHeight="1" x14ac:dyDescent="0.2">
      <c r="A8" s="208"/>
      <c r="B8" s="209"/>
    </row>
    <row r="9" spans="1:2" ht="15" customHeight="1" x14ac:dyDescent="0.2">
      <c r="A9" s="208" t="s">
        <v>117</v>
      </c>
      <c r="B9" s="209"/>
    </row>
    <row r="10" spans="1:2" ht="15" customHeight="1" x14ac:dyDescent="0.2">
      <c r="A10" s="208" t="s">
        <v>115</v>
      </c>
      <c r="B10" s="209" t="s">
        <v>132</v>
      </c>
    </row>
    <row r="11" spans="1:2" ht="15" customHeight="1" x14ac:dyDescent="0.2">
      <c r="A11" s="208" t="s">
        <v>116</v>
      </c>
      <c r="B11" s="209" t="s">
        <v>131</v>
      </c>
    </row>
    <row r="12" spans="1:2" ht="15" customHeight="1" x14ac:dyDescent="0.2">
      <c r="A12" s="208" t="s">
        <v>118</v>
      </c>
      <c r="B12" s="209" t="s">
        <v>143</v>
      </c>
    </row>
    <row r="13" spans="1:2" ht="15" customHeight="1" x14ac:dyDescent="0.2">
      <c r="A13" s="208" t="s">
        <v>115</v>
      </c>
      <c r="B13" s="209">
        <v>1671</v>
      </c>
    </row>
    <row r="14" spans="1:2" ht="15" customHeight="1" x14ac:dyDescent="0.2">
      <c r="A14" s="208" t="s">
        <v>116</v>
      </c>
      <c r="B14" s="209">
        <v>4000</v>
      </c>
    </row>
    <row r="15" spans="1:2" ht="15" customHeight="1" x14ac:dyDescent="0.2">
      <c r="A15" s="208" t="s">
        <v>122</v>
      </c>
      <c r="B15" s="209">
        <v>331.5</v>
      </c>
    </row>
    <row r="16" spans="1:2" ht="15" customHeight="1" x14ac:dyDescent="0.2">
      <c r="A16" s="208" t="s">
        <v>62</v>
      </c>
      <c r="B16" s="209"/>
    </row>
    <row r="17" spans="1:3" ht="15" customHeight="1" x14ac:dyDescent="0.2">
      <c r="A17" s="208" t="s">
        <v>119</v>
      </c>
      <c r="B17" s="209">
        <v>784254.49</v>
      </c>
    </row>
    <row r="18" spans="1:3" ht="15" customHeight="1" x14ac:dyDescent="0.2">
      <c r="A18" s="208" t="s">
        <v>120</v>
      </c>
      <c r="B18" s="209">
        <v>9932232.9299999997</v>
      </c>
    </row>
    <row r="19" spans="1:3" ht="15" customHeight="1" x14ac:dyDescent="0.2">
      <c r="A19" s="208" t="s">
        <v>121</v>
      </c>
      <c r="B19" s="209" t="s">
        <v>143</v>
      </c>
    </row>
    <row r="20" spans="1:3" ht="15" customHeight="1" x14ac:dyDescent="0.2">
      <c r="A20" s="208" t="s">
        <v>135</v>
      </c>
      <c r="B20" s="209">
        <v>200</v>
      </c>
    </row>
    <row r="21" spans="1:3" ht="15" customHeight="1" x14ac:dyDescent="0.2">
      <c r="A21" s="208" t="s">
        <v>130</v>
      </c>
      <c r="B21" s="209"/>
    </row>
    <row r="22" spans="1:3" ht="15" customHeight="1" x14ac:dyDescent="0.2">
      <c r="A22" s="208" t="s">
        <v>134</v>
      </c>
      <c r="B22" s="209"/>
    </row>
    <row r="23" spans="1:3" ht="15" customHeight="1" x14ac:dyDescent="0.2">
      <c r="A23" s="208" t="s">
        <v>111</v>
      </c>
      <c r="B23" s="209">
        <v>10000</v>
      </c>
      <c r="C23" s="205"/>
    </row>
    <row r="24" spans="1:3" ht="15" customHeight="1" x14ac:dyDescent="0.2">
      <c r="A24" s="208" t="s">
        <v>97</v>
      </c>
      <c r="B24" s="209">
        <v>3728</v>
      </c>
      <c r="C24" s="205"/>
    </row>
    <row r="25" spans="1:3" ht="15" customHeight="1" x14ac:dyDescent="0.2">
      <c r="A25" s="208" t="s">
        <v>98</v>
      </c>
      <c r="B25" s="209">
        <v>0</v>
      </c>
      <c r="C25" s="205"/>
    </row>
    <row r="26" spans="1:3" ht="15" customHeight="1" x14ac:dyDescent="0.2">
      <c r="A26" s="208" t="s">
        <v>99</v>
      </c>
      <c r="B26" s="209">
        <v>0</v>
      </c>
      <c r="C26" s="205"/>
    </row>
  </sheetData>
  <phoneticPr fontId="0" type="noConversion"/>
  <pageMargins left="0.75" right="0.75" top="1" bottom="1" header="0.5" footer="0.5"/>
  <pageSetup scale="7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16"/>
  <sheetViews>
    <sheetView topLeftCell="A259" zoomScale="75" workbookViewId="0">
      <selection activeCell="H1110" sqref="H1109:H1110"/>
    </sheetView>
  </sheetViews>
  <sheetFormatPr defaultRowHeight="12.75" x14ac:dyDescent="0.2"/>
  <sheetData>
    <row r="1" spans="1:6" ht="15.75" thickBot="1" x14ac:dyDescent="0.25">
      <c r="A1" s="213" t="s">
        <v>8</v>
      </c>
      <c r="B1" s="213"/>
      <c r="C1" s="213"/>
    </row>
    <row r="2" spans="1:6" ht="21" thickBot="1" x14ac:dyDescent="0.35">
      <c r="A2" s="210" t="s">
        <v>96</v>
      </c>
      <c r="B2" s="211"/>
      <c r="C2" s="212"/>
    </row>
    <row r="3" spans="1:6" x14ac:dyDescent="0.2">
      <c r="A3" t="s">
        <v>91</v>
      </c>
      <c r="B3" t="s">
        <v>92</v>
      </c>
      <c r="C3" t="s">
        <v>93</v>
      </c>
      <c r="D3" t="s">
        <v>91</v>
      </c>
      <c r="E3" t="s">
        <v>92</v>
      </c>
      <c r="F3" t="s">
        <v>93</v>
      </c>
    </row>
    <row r="4" spans="1:6" x14ac:dyDescent="0.2">
      <c r="A4" t="s">
        <v>94</v>
      </c>
      <c r="B4" t="s">
        <v>95</v>
      </c>
      <c r="D4" t="s">
        <v>149</v>
      </c>
      <c r="E4" t="s">
        <v>150</v>
      </c>
    </row>
    <row r="5" spans="1:6" x14ac:dyDescent="0.2">
      <c r="A5">
        <v>0</v>
      </c>
      <c r="B5">
        <v>0</v>
      </c>
      <c r="D5">
        <f>A5*0.3048</f>
        <v>0</v>
      </c>
      <c r="E5">
        <f>B5*0.3048</f>
        <v>0</v>
      </c>
    </row>
    <row r="6" spans="1:6" x14ac:dyDescent="0.2">
      <c r="A6">
        <v>55.73</v>
      </c>
      <c r="B6">
        <v>-68.08</v>
      </c>
      <c r="D6">
        <f t="shared" ref="D6:E29" si="0">A6*0.3048</f>
        <v>16.986504</v>
      </c>
      <c r="E6">
        <f t="shared" si="0"/>
        <v>-20.750783999999999</v>
      </c>
    </row>
    <row r="7" spans="1:6" x14ac:dyDescent="0.2">
      <c r="A7">
        <v>111.16</v>
      </c>
      <c r="B7">
        <v>-135.19999999999999</v>
      </c>
      <c r="D7">
        <f t="shared" si="0"/>
        <v>33.881568000000001</v>
      </c>
      <c r="E7">
        <f t="shared" si="0"/>
        <v>-41.208959999999998</v>
      </c>
    </row>
    <row r="8" spans="1:6" x14ac:dyDescent="0.2">
      <c r="A8">
        <v>166.29</v>
      </c>
      <c r="B8">
        <v>-201.38</v>
      </c>
      <c r="D8">
        <f t="shared" si="0"/>
        <v>50.685192000000001</v>
      </c>
      <c r="E8">
        <f t="shared" si="0"/>
        <v>-61.380624000000005</v>
      </c>
    </row>
    <row r="9" spans="1:6" x14ac:dyDescent="0.2">
      <c r="A9">
        <v>221.14</v>
      </c>
      <c r="B9">
        <v>-266.62</v>
      </c>
      <c r="D9">
        <f t="shared" si="0"/>
        <v>67.403471999999994</v>
      </c>
      <c r="E9">
        <f t="shared" si="0"/>
        <v>-81.265776000000002</v>
      </c>
    </row>
    <row r="10" spans="1:6" x14ac:dyDescent="0.2">
      <c r="A10">
        <v>275.70999999999998</v>
      </c>
      <c r="B10">
        <v>-330.95</v>
      </c>
      <c r="D10">
        <f t="shared" si="0"/>
        <v>84.036407999999994</v>
      </c>
      <c r="E10">
        <f t="shared" si="0"/>
        <v>-100.87356</v>
      </c>
    </row>
    <row r="11" spans="1:6" x14ac:dyDescent="0.2">
      <c r="A11">
        <v>329.99</v>
      </c>
      <c r="B11">
        <v>-394.38</v>
      </c>
      <c r="D11">
        <f t="shared" si="0"/>
        <v>100.58095200000001</v>
      </c>
      <c r="E11">
        <f t="shared" si="0"/>
        <v>-120.207024</v>
      </c>
    </row>
    <row r="12" spans="1:6" x14ac:dyDescent="0.2">
      <c r="A12">
        <v>384</v>
      </c>
      <c r="B12">
        <v>-456.94</v>
      </c>
      <c r="D12">
        <f t="shared" si="0"/>
        <v>117.04320000000001</v>
      </c>
      <c r="E12">
        <f t="shared" si="0"/>
        <v>-139.27531200000001</v>
      </c>
    </row>
    <row r="13" spans="1:6" x14ac:dyDescent="0.2">
      <c r="A13">
        <v>437.74</v>
      </c>
      <c r="B13">
        <v>-518.63</v>
      </c>
      <c r="D13">
        <f t="shared" si="0"/>
        <v>133.42315200000002</v>
      </c>
      <c r="E13">
        <f t="shared" si="0"/>
        <v>-158.07842400000001</v>
      </c>
    </row>
    <row r="14" spans="1:6" x14ac:dyDescent="0.2">
      <c r="A14">
        <v>491.21</v>
      </c>
      <c r="B14">
        <v>-579.47</v>
      </c>
      <c r="D14">
        <f t="shared" si="0"/>
        <v>149.72080800000001</v>
      </c>
      <c r="E14">
        <f t="shared" si="0"/>
        <v>-176.62245600000003</v>
      </c>
    </row>
    <row r="15" spans="1:6" x14ac:dyDescent="0.2">
      <c r="A15">
        <v>544.41</v>
      </c>
      <c r="B15">
        <v>-639.48</v>
      </c>
      <c r="D15">
        <f t="shared" si="0"/>
        <v>165.93616800000001</v>
      </c>
      <c r="E15">
        <f t="shared" si="0"/>
        <v>-194.91350400000002</v>
      </c>
    </row>
    <row r="16" spans="1:6" x14ac:dyDescent="0.2">
      <c r="A16">
        <v>597.35</v>
      </c>
      <c r="B16">
        <v>-698.67</v>
      </c>
      <c r="D16">
        <f t="shared" si="0"/>
        <v>182.07228000000001</v>
      </c>
      <c r="E16">
        <f t="shared" si="0"/>
        <v>-212.95461599999999</v>
      </c>
    </row>
    <row r="17" spans="1:5" x14ac:dyDescent="0.2">
      <c r="A17">
        <v>650.03</v>
      </c>
      <c r="B17">
        <v>-757.05</v>
      </c>
      <c r="D17">
        <f t="shared" si="0"/>
        <v>198.129144</v>
      </c>
      <c r="E17">
        <f t="shared" si="0"/>
        <v>-230.74884</v>
      </c>
    </row>
    <row r="18" spans="1:5" x14ac:dyDescent="0.2">
      <c r="A18">
        <v>702.46</v>
      </c>
      <c r="B18">
        <v>-814.64</v>
      </c>
      <c r="D18">
        <f t="shared" si="0"/>
        <v>214.10980800000002</v>
      </c>
      <c r="E18">
        <f t="shared" si="0"/>
        <v>-248.30227200000002</v>
      </c>
    </row>
    <row r="19" spans="1:5" x14ac:dyDescent="0.2">
      <c r="A19">
        <v>754.64</v>
      </c>
      <c r="B19">
        <v>-871.46</v>
      </c>
      <c r="D19">
        <f t="shared" si="0"/>
        <v>230.01427200000001</v>
      </c>
      <c r="E19">
        <f t="shared" si="0"/>
        <v>-265.62100800000002</v>
      </c>
    </row>
    <row r="20" spans="1:5" x14ac:dyDescent="0.2">
      <c r="A20">
        <v>806.58</v>
      </c>
      <c r="B20">
        <v>-927.51</v>
      </c>
      <c r="D20">
        <f t="shared" si="0"/>
        <v>245.84558400000003</v>
      </c>
      <c r="E20">
        <f t="shared" si="0"/>
        <v>-282.70504800000003</v>
      </c>
    </row>
    <row r="21" spans="1:5" x14ac:dyDescent="0.2">
      <c r="A21">
        <v>858.26</v>
      </c>
      <c r="B21">
        <v>-982.81</v>
      </c>
      <c r="D21">
        <f t="shared" si="0"/>
        <v>261.59764799999999</v>
      </c>
      <c r="E21">
        <f t="shared" si="0"/>
        <v>-299.56048800000002</v>
      </c>
    </row>
    <row r="22" spans="1:5" x14ac:dyDescent="0.2">
      <c r="A22">
        <v>909.71</v>
      </c>
      <c r="B22">
        <v>-1037.3699999999999</v>
      </c>
      <c r="D22">
        <f t="shared" si="0"/>
        <v>277.27960800000005</v>
      </c>
      <c r="E22">
        <f t="shared" si="0"/>
        <v>-316.19037599999996</v>
      </c>
    </row>
    <row r="23" spans="1:5" x14ac:dyDescent="0.2">
      <c r="A23">
        <v>960.92</v>
      </c>
      <c r="B23">
        <v>-1091.2</v>
      </c>
      <c r="D23">
        <f t="shared" si="0"/>
        <v>292.88841600000001</v>
      </c>
      <c r="E23">
        <f t="shared" si="0"/>
        <v>-332.59776000000005</v>
      </c>
    </row>
    <row r="24" spans="1:5" x14ac:dyDescent="0.2">
      <c r="A24">
        <v>1011.9</v>
      </c>
      <c r="B24">
        <v>-1144.32</v>
      </c>
      <c r="D24">
        <f t="shared" si="0"/>
        <v>308.42712</v>
      </c>
      <c r="E24">
        <f t="shared" si="0"/>
        <v>-348.78873599999997</v>
      </c>
    </row>
    <row r="25" spans="1:5" x14ac:dyDescent="0.2">
      <c r="A25">
        <v>1062.6400000000001</v>
      </c>
      <c r="B25">
        <v>-1196.73</v>
      </c>
      <c r="D25">
        <f t="shared" si="0"/>
        <v>323.89267200000006</v>
      </c>
      <c r="E25">
        <f t="shared" si="0"/>
        <v>-364.76330400000001</v>
      </c>
    </row>
    <row r="26" spans="1:5" x14ac:dyDescent="0.2">
      <c r="A26">
        <v>1113.1600000000001</v>
      </c>
      <c r="B26">
        <v>-1248.46</v>
      </c>
      <c r="D26">
        <f t="shared" si="0"/>
        <v>339.29116800000003</v>
      </c>
      <c r="E26">
        <f t="shared" si="0"/>
        <v>-380.53060800000003</v>
      </c>
    </row>
    <row r="27" spans="1:5" x14ac:dyDescent="0.2">
      <c r="A27">
        <v>1163.45</v>
      </c>
      <c r="B27">
        <v>-1299.5</v>
      </c>
      <c r="D27">
        <f t="shared" si="0"/>
        <v>354.61956000000004</v>
      </c>
      <c r="E27">
        <f t="shared" si="0"/>
        <v>-396.08760000000001</v>
      </c>
    </row>
    <row r="28" spans="1:5" x14ac:dyDescent="0.2">
      <c r="A28">
        <v>1213.51</v>
      </c>
      <c r="B28">
        <v>-1349.87</v>
      </c>
      <c r="D28">
        <f t="shared" si="0"/>
        <v>369.87784800000003</v>
      </c>
      <c r="E28">
        <f t="shared" si="0"/>
        <v>-411.44037600000001</v>
      </c>
    </row>
    <row r="29" spans="1:5" x14ac:dyDescent="0.2">
      <c r="A29">
        <v>1263.3599999999999</v>
      </c>
      <c r="B29">
        <v>-1399.59</v>
      </c>
      <c r="D29">
        <f t="shared" si="0"/>
        <v>385.07212799999996</v>
      </c>
      <c r="E29">
        <f t="shared" si="0"/>
        <v>-426.595032</v>
      </c>
    </row>
    <row r="30" spans="1:5" x14ac:dyDescent="0.2">
      <c r="D30">
        <f t="shared" ref="D30:D93" si="1">A30*0.3048</f>
        <v>0</v>
      </c>
      <c r="E30">
        <f t="shared" ref="E30:E93" si="2">B30*0.3048</f>
        <v>0</v>
      </c>
    </row>
    <row r="31" spans="1:5" x14ac:dyDescent="0.2">
      <c r="D31">
        <f t="shared" si="1"/>
        <v>0</v>
      </c>
      <c r="E31">
        <f t="shared" si="2"/>
        <v>0</v>
      </c>
    </row>
    <row r="32" spans="1:5" x14ac:dyDescent="0.2">
      <c r="D32">
        <f t="shared" si="1"/>
        <v>0</v>
      </c>
      <c r="E32">
        <f t="shared" si="2"/>
        <v>0</v>
      </c>
    </row>
    <row r="33" spans="4:5" x14ac:dyDescent="0.2">
      <c r="D33">
        <f t="shared" si="1"/>
        <v>0</v>
      </c>
      <c r="E33">
        <f t="shared" si="2"/>
        <v>0</v>
      </c>
    </row>
    <row r="34" spans="4:5" x14ac:dyDescent="0.2">
      <c r="D34">
        <f t="shared" si="1"/>
        <v>0</v>
      </c>
      <c r="E34">
        <f t="shared" si="2"/>
        <v>0</v>
      </c>
    </row>
    <row r="35" spans="4:5" x14ac:dyDescent="0.2">
      <c r="D35">
        <f t="shared" si="1"/>
        <v>0</v>
      </c>
      <c r="E35">
        <f t="shared" si="2"/>
        <v>0</v>
      </c>
    </row>
    <row r="36" spans="4:5" x14ac:dyDescent="0.2">
      <c r="D36">
        <f t="shared" si="1"/>
        <v>0</v>
      </c>
      <c r="E36">
        <f t="shared" si="2"/>
        <v>0</v>
      </c>
    </row>
    <row r="37" spans="4:5" x14ac:dyDescent="0.2">
      <c r="D37">
        <f t="shared" si="1"/>
        <v>0</v>
      </c>
      <c r="E37">
        <f t="shared" si="2"/>
        <v>0</v>
      </c>
    </row>
    <row r="38" spans="4:5" x14ac:dyDescent="0.2">
      <c r="D38">
        <f t="shared" si="1"/>
        <v>0</v>
      </c>
      <c r="E38">
        <f t="shared" si="2"/>
        <v>0</v>
      </c>
    </row>
    <row r="39" spans="4:5" x14ac:dyDescent="0.2">
      <c r="D39">
        <f t="shared" si="1"/>
        <v>0</v>
      </c>
      <c r="E39">
        <f t="shared" si="2"/>
        <v>0</v>
      </c>
    </row>
    <row r="40" spans="4:5" x14ac:dyDescent="0.2">
      <c r="D40">
        <f t="shared" si="1"/>
        <v>0</v>
      </c>
      <c r="E40">
        <f t="shared" si="2"/>
        <v>0</v>
      </c>
    </row>
    <row r="41" spans="4:5" x14ac:dyDescent="0.2">
      <c r="D41">
        <f t="shared" si="1"/>
        <v>0</v>
      </c>
      <c r="E41">
        <f t="shared" si="2"/>
        <v>0</v>
      </c>
    </row>
    <row r="42" spans="4:5" x14ac:dyDescent="0.2">
      <c r="D42">
        <f t="shared" si="1"/>
        <v>0</v>
      </c>
      <c r="E42">
        <f t="shared" si="2"/>
        <v>0</v>
      </c>
    </row>
    <row r="43" spans="4:5" x14ac:dyDescent="0.2">
      <c r="D43">
        <f t="shared" si="1"/>
        <v>0</v>
      </c>
      <c r="E43">
        <f t="shared" si="2"/>
        <v>0</v>
      </c>
    </row>
    <row r="44" spans="4:5" x14ac:dyDescent="0.2">
      <c r="D44">
        <f t="shared" si="1"/>
        <v>0</v>
      </c>
      <c r="E44">
        <f t="shared" si="2"/>
        <v>0</v>
      </c>
    </row>
    <row r="45" spans="4:5" x14ac:dyDescent="0.2">
      <c r="D45">
        <f t="shared" si="1"/>
        <v>0</v>
      </c>
      <c r="E45">
        <f t="shared" si="2"/>
        <v>0</v>
      </c>
    </row>
    <row r="46" spans="4:5" x14ac:dyDescent="0.2">
      <c r="D46">
        <f t="shared" si="1"/>
        <v>0</v>
      </c>
      <c r="E46">
        <f t="shared" si="2"/>
        <v>0</v>
      </c>
    </row>
    <row r="47" spans="4:5" x14ac:dyDescent="0.2">
      <c r="D47">
        <f t="shared" si="1"/>
        <v>0</v>
      </c>
      <c r="E47">
        <f t="shared" si="2"/>
        <v>0</v>
      </c>
    </row>
    <row r="48" spans="4:5" x14ac:dyDescent="0.2">
      <c r="D48">
        <f t="shared" si="1"/>
        <v>0</v>
      </c>
      <c r="E48">
        <f t="shared" si="2"/>
        <v>0</v>
      </c>
    </row>
    <row r="49" spans="4:5" x14ac:dyDescent="0.2">
      <c r="D49">
        <f t="shared" si="1"/>
        <v>0</v>
      </c>
      <c r="E49">
        <f t="shared" si="2"/>
        <v>0</v>
      </c>
    </row>
    <row r="50" spans="4:5" x14ac:dyDescent="0.2">
      <c r="D50">
        <f t="shared" si="1"/>
        <v>0</v>
      </c>
      <c r="E50">
        <f t="shared" si="2"/>
        <v>0</v>
      </c>
    </row>
    <row r="51" spans="4:5" x14ac:dyDescent="0.2">
      <c r="D51">
        <f t="shared" si="1"/>
        <v>0</v>
      </c>
      <c r="E51">
        <f t="shared" si="2"/>
        <v>0</v>
      </c>
    </row>
    <row r="52" spans="4:5" x14ac:dyDescent="0.2">
      <c r="D52">
        <f t="shared" si="1"/>
        <v>0</v>
      </c>
      <c r="E52">
        <f t="shared" si="2"/>
        <v>0</v>
      </c>
    </row>
    <row r="53" spans="4:5" x14ac:dyDescent="0.2">
      <c r="D53">
        <f t="shared" si="1"/>
        <v>0</v>
      </c>
      <c r="E53">
        <f t="shared" si="2"/>
        <v>0</v>
      </c>
    </row>
    <row r="54" spans="4:5" x14ac:dyDescent="0.2">
      <c r="D54">
        <f t="shared" si="1"/>
        <v>0</v>
      </c>
      <c r="E54">
        <f t="shared" si="2"/>
        <v>0</v>
      </c>
    </row>
    <row r="55" spans="4:5" x14ac:dyDescent="0.2">
      <c r="D55">
        <f t="shared" si="1"/>
        <v>0</v>
      </c>
      <c r="E55">
        <f t="shared" si="2"/>
        <v>0</v>
      </c>
    </row>
    <row r="56" spans="4:5" x14ac:dyDescent="0.2">
      <c r="D56">
        <f t="shared" si="1"/>
        <v>0</v>
      </c>
      <c r="E56">
        <f t="shared" si="2"/>
        <v>0</v>
      </c>
    </row>
    <row r="57" spans="4:5" x14ac:dyDescent="0.2">
      <c r="D57">
        <f t="shared" si="1"/>
        <v>0</v>
      </c>
      <c r="E57">
        <f t="shared" si="2"/>
        <v>0</v>
      </c>
    </row>
    <row r="58" spans="4:5" x14ac:dyDescent="0.2">
      <c r="D58">
        <f t="shared" si="1"/>
        <v>0</v>
      </c>
      <c r="E58">
        <f t="shared" si="2"/>
        <v>0</v>
      </c>
    </row>
    <row r="59" spans="4:5" x14ac:dyDescent="0.2">
      <c r="D59">
        <f t="shared" si="1"/>
        <v>0</v>
      </c>
      <c r="E59">
        <f t="shared" si="2"/>
        <v>0</v>
      </c>
    </row>
    <row r="60" spans="4:5" x14ac:dyDescent="0.2">
      <c r="D60">
        <f t="shared" si="1"/>
        <v>0</v>
      </c>
      <c r="E60">
        <f t="shared" si="2"/>
        <v>0</v>
      </c>
    </row>
    <row r="61" spans="4:5" x14ac:dyDescent="0.2">
      <c r="D61">
        <f t="shared" si="1"/>
        <v>0</v>
      </c>
      <c r="E61">
        <f t="shared" si="2"/>
        <v>0</v>
      </c>
    </row>
    <row r="62" spans="4:5" x14ac:dyDescent="0.2">
      <c r="D62">
        <f t="shared" si="1"/>
        <v>0</v>
      </c>
      <c r="E62">
        <f t="shared" si="2"/>
        <v>0</v>
      </c>
    </row>
    <row r="63" spans="4:5" x14ac:dyDescent="0.2">
      <c r="D63">
        <f t="shared" si="1"/>
        <v>0</v>
      </c>
      <c r="E63">
        <f t="shared" si="2"/>
        <v>0</v>
      </c>
    </row>
    <row r="64" spans="4:5" x14ac:dyDescent="0.2">
      <c r="D64">
        <f t="shared" si="1"/>
        <v>0</v>
      </c>
      <c r="E64">
        <f t="shared" si="2"/>
        <v>0</v>
      </c>
    </row>
    <row r="65" spans="4:5" x14ac:dyDescent="0.2">
      <c r="D65">
        <f t="shared" si="1"/>
        <v>0</v>
      </c>
      <c r="E65">
        <f t="shared" si="2"/>
        <v>0</v>
      </c>
    </row>
    <row r="66" spans="4:5" x14ac:dyDescent="0.2">
      <c r="D66">
        <f t="shared" si="1"/>
        <v>0</v>
      </c>
      <c r="E66">
        <f t="shared" si="2"/>
        <v>0</v>
      </c>
    </row>
    <row r="67" spans="4:5" x14ac:dyDescent="0.2">
      <c r="D67">
        <f t="shared" si="1"/>
        <v>0</v>
      </c>
      <c r="E67">
        <f t="shared" si="2"/>
        <v>0</v>
      </c>
    </row>
    <row r="68" spans="4:5" x14ac:dyDescent="0.2">
      <c r="D68">
        <f t="shared" si="1"/>
        <v>0</v>
      </c>
      <c r="E68">
        <f t="shared" si="2"/>
        <v>0</v>
      </c>
    </row>
    <row r="69" spans="4:5" x14ac:dyDescent="0.2">
      <c r="D69">
        <f t="shared" si="1"/>
        <v>0</v>
      </c>
      <c r="E69">
        <f t="shared" si="2"/>
        <v>0</v>
      </c>
    </row>
    <row r="70" spans="4:5" x14ac:dyDescent="0.2">
      <c r="D70">
        <f t="shared" si="1"/>
        <v>0</v>
      </c>
      <c r="E70">
        <f t="shared" si="2"/>
        <v>0</v>
      </c>
    </row>
    <row r="71" spans="4:5" x14ac:dyDescent="0.2">
      <c r="D71">
        <f t="shared" si="1"/>
        <v>0</v>
      </c>
      <c r="E71">
        <f t="shared" si="2"/>
        <v>0</v>
      </c>
    </row>
    <row r="72" spans="4:5" x14ac:dyDescent="0.2">
      <c r="D72">
        <f t="shared" si="1"/>
        <v>0</v>
      </c>
      <c r="E72">
        <f t="shared" si="2"/>
        <v>0</v>
      </c>
    </row>
    <row r="73" spans="4:5" x14ac:dyDescent="0.2">
      <c r="D73">
        <f t="shared" si="1"/>
        <v>0</v>
      </c>
      <c r="E73">
        <f t="shared" si="2"/>
        <v>0</v>
      </c>
    </row>
    <row r="74" spans="4:5" x14ac:dyDescent="0.2">
      <c r="D74">
        <f t="shared" si="1"/>
        <v>0</v>
      </c>
      <c r="E74">
        <f t="shared" si="2"/>
        <v>0</v>
      </c>
    </row>
    <row r="75" spans="4:5" x14ac:dyDescent="0.2">
      <c r="D75">
        <f t="shared" si="1"/>
        <v>0</v>
      </c>
      <c r="E75">
        <f t="shared" si="2"/>
        <v>0</v>
      </c>
    </row>
    <row r="76" spans="4:5" x14ac:dyDescent="0.2">
      <c r="D76">
        <f t="shared" si="1"/>
        <v>0</v>
      </c>
      <c r="E76">
        <f t="shared" si="2"/>
        <v>0</v>
      </c>
    </row>
    <row r="77" spans="4:5" x14ac:dyDescent="0.2">
      <c r="D77">
        <f t="shared" si="1"/>
        <v>0</v>
      </c>
      <c r="E77">
        <f t="shared" si="2"/>
        <v>0</v>
      </c>
    </row>
    <row r="78" spans="4:5" x14ac:dyDescent="0.2">
      <c r="D78">
        <f t="shared" si="1"/>
        <v>0</v>
      </c>
      <c r="E78">
        <f t="shared" si="2"/>
        <v>0</v>
      </c>
    </row>
    <row r="79" spans="4:5" x14ac:dyDescent="0.2">
      <c r="D79">
        <f t="shared" si="1"/>
        <v>0</v>
      </c>
      <c r="E79">
        <f t="shared" si="2"/>
        <v>0</v>
      </c>
    </row>
    <row r="80" spans="4:5" x14ac:dyDescent="0.2">
      <c r="D80">
        <f t="shared" si="1"/>
        <v>0</v>
      </c>
      <c r="E80">
        <f t="shared" si="2"/>
        <v>0</v>
      </c>
    </row>
    <row r="81" spans="4:5" x14ac:dyDescent="0.2">
      <c r="D81">
        <f t="shared" si="1"/>
        <v>0</v>
      </c>
      <c r="E81">
        <f t="shared" si="2"/>
        <v>0</v>
      </c>
    </row>
    <row r="82" spans="4:5" x14ac:dyDescent="0.2">
      <c r="D82">
        <f t="shared" si="1"/>
        <v>0</v>
      </c>
      <c r="E82">
        <f t="shared" si="2"/>
        <v>0</v>
      </c>
    </row>
    <row r="83" spans="4:5" x14ac:dyDescent="0.2">
      <c r="D83">
        <f t="shared" si="1"/>
        <v>0</v>
      </c>
      <c r="E83">
        <f t="shared" si="2"/>
        <v>0</v>
      </c>
    </row>
    <row r="84" spans="4:5" x14ac:dyDescent="0.2">
      <c r="D84">
        <f t="shared" si="1"/>
        <v>0</v>
      </c>
      <c r="E84">
        <f t="shared" si="2"/>
        <v>0</v>
      </c>
    </row>
    <row r="85" spans="4:5" x14ac:dyDescent="0.2">
      <c r="D85">
        <f t="shared" si="1"/>
        <v>0</v>
      </c>
      <c r="E85">
        <f t="shared" si="2"/>
        <v>0</v>
      </c>
    </row>
    <row r="86" spans="4:5" x14ac:dyDescent="0.2">
      <c r="D86">
        <f t="shared" si="1"/>
        <v>0</v>
      </c>
      <c r="E86">
        <f t="shared" si="2"/>
        <v>0</v>
      </c>
    </row>
    <row r="87" spans="4:5" x14ac:dyDescent="0.2">
      <c r="D87">
        <f t="shared" si="1"/>
        <v>0</v>
      </c>
      <c r="E87">
        <f t="shared" si="2"/>
        <v>0</v>
      </c>
    </row>
    <row r="88" spans="4:5" x14ac:dyDescent="0.2">
      <c r="D88">
        <f t="shared" si="1"/>
        <v>0</v>
      </c>
      <c r="E88">
        <f t="shared" si="2"/>
        <v>0</v>
      </c>
    </row>
    <row r="89" spans="4:5" x14ac:dyDescent="0.2">
      <c r="D89">
        <f t="shared" si="1"/>
        <v>0</v>
      </c>
      <c r="E89">
        <f t="shared" si="2"/>
        <v>0</v>
      </c>
    </row>
    <row r="90" spans="4:5" x14ac:dyDescent="0.2">
      <c r="D90">
        <f t="shared" si="1"/>
        <v>0</v>
      </c>
      <c r="E90">
        <f t="shared" si="2"/>
        <v>0</v>
      </c>
    </row>
    <row r="91" spans="4:5" x14ac:dyDescent="0.2">
      <c r="D91">
        <f t="shared" si="1"/>
        <v>0</v>
      </c>
      <c r="E91">
        <f t="shared" si="2"/>
        <v>0</v>
      </c>
    </row>
    <row r="92" spans="4:5" x14ac:dyDescent="0.2">
      <c r="D92">
        <f t="shared" si="1"/>
        <v>0</v>
      </c>
      <c r="E92">
        <f t="shared" si="2"/>
        <v>0</v>
      </c>
    </row>
    <row r="93" spans="4:5" x14ac:dyDescent="0.2">
      <c r="D93">
        <f t="shared" si="1"/>
        <v>0</v>
      </c>
      <c r="E93">
        <f t="shared" si="2"/>
        <v>0</v>
      </c>
    </row>
    <row r="94" spans="4:5" x14ac:dyDescent="0.2">
      <c r="D94">
        <f t="shared" ref="D94:D157" si="3">A94*0.3048</f>
        <v>0</v>
      </c>
      <c r="E94">
        <f t="shared" ref="E94:E157" si="4">B94*0.3048</f>
        <v>0</v>
      </c>
    </row>
    <row r="95" spans="4:5" x14ac:dyDescent="0.2">
      <c r="D95">
        <f t="shared" si="3"/>
        <v>0</v>
      </c>
      <c r="E95">
        <f t="shared" si="4"/>
        <v>0</v>
      </c>
    </row>
    <row r="96" spans="4:5" x14ac:dyDescent="0.2">
      <c r="D96">
        <f t="shared" si="3"/>
        <v>0</v>
      </c>
      <c r="E96">
        <f t="shared" si="4"/>
        <v>0</v>
      </c>
    </row>
    <row r="97" spans="4:5" x14ac:dyDescent="0.2">
      <c r="D97">
        <f t="shared" si="3"/>
        <v>0</v>
      </c>
      <c r="E97">
        <f t="shared" si="4"/>
        <v>0</v>
      </c>
    </row>
    <row r="98" spans="4:5" x14ac:dyDescent="0.2">
      <c r="D98">
        <f t="shared" si="3"/>
        <v>0</v>
      </c>
      <c r="E98">
        <f t="shared" si="4"/>
        <v>0</v>
      </c>
    </row>
    <row r="99" spans="4:5" x14ac:dyDescent="0.2">
      <c r="D99">
        <f t="shared" si="3"/>
        <v>0</v>
      </c>
      <c r="E99">
        <f t="shared" si="4"/>
        <v>0</v>
      </c>
    </row>
    <row r="100" spans="4:5" x14ac:dyDescent="0.2">
      <c r="D100">
        <f t="shared" si="3"/>
        <v>0</v>
      </c>
      <c r="E100">
        <f t="shared" si="4"/>
        <v>0</v>
      </c>
    </row>
    <row r="101" spans="4:5" x14ac:dyDescent="0.2">
      <c r="D101">
        <f t="shared" si="3"/>
        <v>0</v>
      </c>
      <c r="E101">
        <f t="shared" si="4"/>
        <v>0</v>
      </c>
    </row>
    <row r="102" spans="4:5" x14ac:dyDescent="0.2">
      <c r="D102">
        <f t="shared" si="3"/>
        <v>0</v>
      </c>
      <c r="E102">
        <f t="shared" si="4"/>
        <v>0</v>
      </c>
    </row>
    <row r="103" spans="4:5" x14ac:dyDescent="0.2">
      <c r="D103">
        <f t="shared" si="3"/>
        <v>0</v>
      </c>
      <c r="E103">
        <f t="shared" si="4"/>
        <v>0</v>
      </c>
    </row>
    <row r="104" spans="4:5" x14ac:dyDescent="0.2">
      <c r="D104">
        <f t="shared" si="3"/>
        <v>0</v>
      </c>
      <c r="E104">
        <f t="shared" si="4"/>
        <v>0</v>
      </c>
    </row>
    <row r="105" spans="4:5" x14ac:dyDescent="0.2">
      <c r="D105">
        <f t="shared" si="3"/>
        <v>0</v>
      </c>
      <c r="E105">
        <f t="shared" si="4"/>
        <v>0</v>
      </c>
    </row>
    <row r="106" spans="4:5" x14ac:dyDescent="0.2">
      <c r="D106">
        <f t="shared" si="3"/>
        <v>0</v>
      </c>
      <c r="E106">
        <f t="shared" si="4"/>
        <v>0</v>
      </c>
    </row>
    <row r="107" spans="4:5" x14ac:dyDescent="0.2">
      <c r="D107">
        <f t="shared" si="3"/>
        <v>0</v>
      </c>
      <c r="E107">
        <f t="shared" si="4"/>
        <v>0</v>
      </c>
    </row>
    <row r="108" spans="4:5" x14ac:dyDescent="0.2">
      <c r="D108">
        <f t="shared" si="3"/>
        <v>0</v>
      </c>
      <c r="E108">
        <f t="shared" si="4"/>
        <v>0</v>
      </c>
    </row>
    <row r="109" spans="4:5" x14ac:dyDescent="0.2">
      <c r="D109">
        <f t="shared" si="3"/>
        <v>0</v>
      </c>
      <c r="E109">
        <f t="shared" si="4"/>
        <v>0</v>
      </c>
    </row>
    <row r="110" spans="4:5" x14ac:dyDescent="0.2">
      <c r="D110">
        <f t="shared" si="3"/>
        <v>0</v>
      </c>
      <c r="E110">
        <f t="shared" si="4"/>
        <v>0</v>
      </c>
    </row>
    <row r="111" spans="4:5" x14ac:dyDescent="0.2">
      <c r="D111">
        <f t="shared" si="3"/>
        <v>0</v>
      </c>
      <c r="E111">
        <f t="shared" si="4"/>
        <v>0</v>
      </c>
    </row>
    <row r="112" spans="4:5" x14ac:dyDescent="0.2">
      <c r="D112">
        <f t="shared" si="3"/>
        <v>0</v>
      </c>
      <c r="E112">
        <f t="shared" si="4"/>
        <v>0</v>
      </c>
    </row>
    <row r="113" spans="4:5" x14ac:dyDescent="0.2">
      <c r="D113">
        <f t="shared" si="3"/>
        <v>0</v>
      </c>
      <c r="E113">
        <f t="shared" si="4"/>
        <v>0</v>
      </c>
    </row>
    <row r="114" spans="4:5" x14ac:dyDescent="0.2">
      <c r="D114">
        <f t="shared" si="3"/>
        <v>0</v>
      </c>
      <c r="E114">
        <f t="shared" si="4"/>
        <v>0</v>
      </c>
    </row>
    <row r="115" spans="4:5" x14ac:dyDescent="0.2">
      <c r="D115">
        <f t="shared" si="3"/>
        <v>0</v>
      </c>
      <c r="E115">
        <f t="shared" si="4"/>
        <v>0</v>
      </c>
    </row>
    <row r="116" spans="4:5" x14ac:dyDescent="0.2">
      <c r="D116">
        <f t="shared" si="3"/>
        <v>0</v>
      </c>
      <c r="E116">
        <f t="shared" si="4"/>
        <v>0</v>
      </c>
    </row>
    <row r="117" spans="4:5" x14ac:dyDescent="0.2">
      <c r="D117">
        <f t="shared" si="3"/>
        <v>0</v>
      </c>
      <c r="E117">
        <f t="shared" si="4"/>
        <v>0</v>
      </c>
    </row>
    <row r="118" spans="4:5" x14ac:dyDescent="0.2">
      <c r="D118">
        <f t="shared" si="3"/>
        <v>0</v>
      </c>
      <c r="E118">
        <f t="shared" si="4"/>
        <v>0</v>
      </c>
    </row>
    <row r="119" spans="4:5" x14ac:dyDescent="0.2">
      <c r="D119">
        <f t="shared" si="3"/>
        <v>0</v>
      </c>
      <c r="E119">
        <f t="shared" si="4"/>
        <v>0</v>
      </c>
    </row>
    <row r="120" spans="4:5" x14ac:dyDescent="0.2">
      <c r="D120">
        <f t="shared" si="3"/>
        <v>0</v>
      </c>
      <c r="E120">
        <f t="shared" si="4"/>
        <v>0</v>
      </c>
    </row>
    <row r="121" spans="4:5" x14ac:dyDescent="0.2">
      <c r="D121">
        <f t="shared" si="3"/>
        <v>0</v>
      </c>
      <c r="E121">
        <f t="shared" si="4"/>
        <v>0</v>
      </c>
    </row>
    <row r="122" spans="4:5" x14ac:dyDescent="0.2">
      <c r="D122">
        <f t="shared" si="3"/>
        <v>0</v>
      </c>
      <c r="E122">
        <f t="shared" si="4"/>
        <v>0</v>
      </c>
    </row>
    <row r="123" spans="4:5" x14ac:dyDescent="0.2">
      <c r="D123">
        <f t="shared" si="3"/>
        <v>0</v>
      </c>
      <c r="E123">
        <f t="shared" si="4"/>
        <v>0</v>
      </c>
    </row>
    <row r="124" spans="4:5" x14ac:dyDescent="0.2">
      <c r="D124">
        <f t="shared" si="3"/>
        <v>0</v>
      </c>
      <c r="E124">
        <f t="shared" si="4"/>
        <v>0</v>
      </c>
    </row>
    <row r="125" spans="4:5" x14ac:dyDescent="0.2">
      <c r="D125">
        <f t="shared" si="3"/>
        <v>0</v>
      </c>
      <c r="E125">
        <f t="shared" si="4"/>
        <v>0</v>
      </c>
    </row>
    <row r="126" spans="4:5" x14ac:dyDescent="0.2">
      <c r="D126">
        <f t="shared" si="3"/>
        <v>0</v>
      </c>
      <c r="E126">
        <f t="shared" si="4"/>
        <v>0</v>
      </c>
    </row>
    <row r="127" spans="4:5" x14ac:dyDescent="0.2">
      <c r="D127">
        <f t="shared" si="3"/>
        <v>0</v>
      </c>
      <c r="E127">
        <f t="shared" si="4"/>
        <v>0</v>
      </c>
    </row>
    <row r="128" spans="4:5" x14ac:dyDescent="0.2">
      <c r="D128">
        <f t="shared" si="3"/>
        <v>0</v>
      </c>
      <c r="E128">
        <f t="shared" si="4"/>
        <v>0</v>
      </c>
    </row>
    <row r="129" spans="4:5" x14ac:dyDescent="0.2">
      <c r="D129">
        <f t="shared" si="3"/>
        <v>0</v>
      </c>
      <c r="E129">
        <f t="shared" si="4"/>
        <v>0</v>
      </c>
    </row>
    <row r="130" spans="4:5" x14ac:dyDescent="0.2">
      <c r="D130">
        <f t="shared" si="3"/>
        <v>0</v>
      </c>
      <c r="E130">
        <f t="shared" si="4"/>
        <v>0</v>
      </c>
    </row>
    <row r="131" spans="4:5" x14ac:dyDescent="0.2">
      <c r="D131">
        <f t="shared" si="3"/>
        <v>0</v>
      </c>
      <c r="E131">
        <f t="shared" si="4"/>
        <v>0</v>
      </c>
    </row>
    <row r="132" spans="4:5" x14ac:dyDescent="0.2">
      <c r="D132">
        <f t="shared" si="3"/>
        <v>0</v>
      </c>
      <c r="E132">
        <f t="shared" si="4"/>
        <v>0</v>
      </c>
    </row>
    <row r="133" spans="4:5" x14ac:dyDescent="0.2">
      <c r="D133">
        <f t="shared" si="3"/>
        <v>0</v>
      </c>
      <c r="E133">
        <f t="shared" si="4"/>
        <v>0</v>
      </c>
    </row>
    <row r="134" spans="4:5" x14ac:dyDescent="0.2">
      <c r="D134">
        <f t="shared" si="3"/>
        <v>0</v>
      </c>
      <c r="E134">
        <f t="shared" si="4"/>
        <v>0</v>
      </c>
    </row>
    <row r="135" spans="4:5" x14ac:dyDescent="0.2">
      <c r="D135">
        <f t="shared" si="3"/>
        <v>0</v>
      </c>
      <c r="E135">
        <f t="shared" si="4"/>
        <v>0</v>
      </c>
    </row>
    <row r="136" spans="4:5" x14ac:dyDescent="0.2">
      <c r="D136">
        <f t="shared" si="3"/>
        <v>0</v>
      </c>
      <c r="E136">
        <f t="shared" si="4"/>
        <v>0</v>
      </c>
    </row>
    <row r="137" spans="4:5" x14ac:dyDescent="0.2">
      <c r="D137">
        <f t="shared" si="3"/>
        <v>0</v>
      </c>
      <c r="E137">
        <f t="shared" si="4"/>
        <v>0</v>
      </c>
    </row>
    <row r="138" spans="4:5" x14ac:dyDescent="0.2">
      <c r="D138">
        <f t="shared" si="3"/>
        <v>0</v>
      </c>
      <c r="E138">
        <f t="shared" si="4"/>
        <v>0</v>
      </c>
    </row>
    <row r="139" spans="4:5" x14ac:dyDescent="0.2">
      <c r="D139">
        <f t="shared" si="3"/>
        <v>0</v>
      </c>
      <c r="E139">
        <f t="shared" si="4"/>
        <v>0</v>
      </c>
    </row>
    <row r="140" spans="4:5" x14ac:dyDescent="0.2">
      <c r="D140">
        <f t="shared" si="3"/>
        <v>0</v>
      </c>
      <c r="E140">
        <f t="shared" si="4"/>
        <v>0</v>
      </c>
    </row>
    <row r="141" spans="4:5" x14ac:dyDescent="0.2">
      <c r="D141">
        <f t="shared" si="3"/>
        <v>0</v>
      </c>
      <c r="E141">
        <f t="shared" si="4"/>
        <v>0</v>
      </c>
    </row>
    <row r="142" spans="4:5" x14ac:dyDescent="0.2">
      <c r="D142">
        <f t="shared" si="3"/>
        <v>0</v>
      </c>
      <c r="E142">
        <f t="shared" si="4"/>
        <v>0</v>
      </c>
    </row>
    <row r="143" spans="4:5" x14ac:dyDescent="0.2">
      <c r="D143">
        <f t="shared" si="3"/>
        <v>0</v>
      </c>
      <c r="E143">
        <f t="shared" si="4"/>
        <v>0</v>
      </c>
    </row>
    <row r="144" spans="4:5" x14ac:dyDescent="0.2">
      <c r="D144">
        <f t="shared" si="3"/>
        <v>0</v>
      </c>
      <c r="E144">
        <f t="shared" si="4"/>
        <v>0</v>
      </c>
    </row>
    <row r="145" spans="4:5" x14ac:dyDescent="0.2">
      <c r="D145">
        <f t="shared" si="3"/>
        <v>0</v>
      </c>
      <c r="E145">
        <f t="shared" si="4"/>
        <v>0</v>
      </c>
    </row>
    <row r="146" spans="4:5" x14ac:dyDescent="0.2">
      <c r="D146">
        <f t="shared" si="3"/>
        <v>0</v>
      </c>
      <c r="E146">
        <f t="shared" si="4"/>
        <v>0</v>
      </c>
    </row>
    <row r="147" spans="4:5" x14ac:dyDescent="0.2">
      <c r="D147">
        <f t="shared" si="3"/>
        <v>0</v>
      </c>
      <c r="E147">
        <f t="shared" si="4"/>
        <v>0</v>
      </c>
    </row>
    <row r="148" spans="4:5" x14ac:dyDescent="0.2">
      <c r="D148">
        <f t="shared" si="3"/>
        <v>0</v>
      </c>
      <c r="E148">
        <f t="shared" si="4"/>
        <v>0</v>
      </c>
    </row>
    <row r="149" spans="4:5" x14ac:dyDescent="0.2">
      <c r="D149">
        <f t="shared" si="3"/>
        <v>0</v>
      </c>
      <c r="E149">
        <f t="shared" si="4"/>
        <v>0</v>
      </c>
    </row>
    <row r="150" spans="4:5" x14ac:dyDescent="0.2">
      <c r="D150">
        <f t="shared" si="3"/>
        <v>0</v>
      </c>
      <c r="E150">
        <f t="shared" si="4"/>
        <v>0</v>
      </c>
    </row>
    <row r="151" spans="4:5" x14ac:dyDescent="0.2">
      <c r="D151">
        <f t="shared" si="3"/>
        <v>0</v>
      </c>
      <c r="E151">
        <f t="shared" si="4"/>
        <v>0</v>
      </c>
    </row>
    <row r="152" spans="4:5" x14ac:dyDescent="0.2">
      <c r="D152">
        <f t="shared" si="3"/>
        <v>0</v>
      </c>
      <c r="E152">
        <f t="shared" si="4"/>
        <v>0</v>
      </c>
    </row>
    <row r="153" spans="4:5" x14ac:dyDescent="0.2">
      <c r="D153">
        <f t="shared" si="3"/>
        <v>0</v>
      </c>
      <c r="E153">
        <f t="shared" si="4"/>
        <v>0</v>
      </c>
    </row>
    <row r="154" spans="4:5" x14ac:dyDescent="0.2">
      <c r="D154">
        <f t="shared" si="3"/>
        <v>0</v>
      </c>
      <c r="E154">
        <f t="shared" si="4"/>
        <v>0</v>
      </c>
    </row>
    <row r="155" spans="4:5" x14ac:dyDescent="0.2">
      <c r="D155">
        <f t="shared" si="3"/>
        <v>0</v>
      </c>
      <c r="E155">
        <f t="shared" si="4"/>
        <v>0</v>
      </c>
    </row>
    <row r="156" spans="4:5" x14ac:dyDescent="0.2">
      <c r="D156">
        <f t="shared" si="3"/>
        <v>0</v>
      </c>
      <c r="E156">
        <f t="shared" si="4"/>
        <v>0</v>
      </c>
    </row>
    <row r="157" spans="4:5" x14ac:dyDescent="0.2">
      <c r="D157">
        <f t="shared" si="3"/>
        <v>0</v>
      </c>
      <c r="E157">
        <f t="shared" si="4"/>
        <v>0</v>
      </c>
    </row>
    <row r="158" spans="4:5" x14ac:dyDescent="0.2">
      <c r="D158">
        <f t="shared" ref="D158:D221" si="5">A158*0.3048</f>
        <v>0</v>
      </c>
      <c r="E158">
        <f t="shared" ref="E158:E221" si="6">B158*0.3048</f>
        <v>0</v>
      </c>
    </row>
    <row r="159" spans="4:5" x14ac:dyDescent="0.2">
      <c r="D159">
        <f t="shared" si="5"/>
        <v>0</v>
      </c>
      <c r="E159">
        <f t="shared" si="6"/>
        <v>0</v>
      </c>
    </row>
    <row r="160" spans="4:5" x14ac:dyDescent="0.2">
      <c r="D160">
        <f t="shared" si="5"/>
        <v>0</v>
      </c>
      <c r="E160">
        <f t="shared" si="6"/>
        <v>0</v>
      </c>
    </row>
    <row r="161" spans="4:5" x14ac:dyDescent="0.2">
      <c r="D161">
        <f t="shared" si="5"/>
        <v>0</v>
      </c>
      <c r="E161">
        <f t="shared" si="6"/>
        <v>0</v>
      </c>
    </row>
    <row r="162" spans="4:5" x14ac:dyDescent="0.2">
      <c r="D162">
        <f t="shared" si="5"/>
        <v>0</v>
      </c>
      <c r="E162">
        <f t="shared" si="6"/>
        <v>0</v>
      </c>
    </row>
    <row r="163" spans="4:5" x14ac:dyDescent="0.2">
      <c r="D163">
        <f t="shared" si="5"/>
        <v>0</v>
      </c>
      <c r="E163">
        <f t="shared" si="6"/>
        <v>0</v>
      </c>
    </row>
    <row r="164" spans="4:5" x14ac:dyDescent="0.2">
      <c r="D164">
        <f t="shared" si="5"/>
        <v>0</v>
      </c>
      <c r="E164">
        <f t="shared" si="6"/>
        <v>0</v>
      </c>
    </row>
    <row r="165" spans="4:5" x14ac:dyDescent="0.2">
      <c r="D165">
        <f t="shared" si="5"/>
        <v>0</v>
      </c>
      <c r="E165">
        <f t="shared" si="6"/>
        <v>0</v>
      </c>
    </row>
    <row r="166" spans="4:5" x14ac:dyDescent="0.2">
      <c r="D166">
        <f t="shared" si="5"/>
        <v>0</v>
      </c>
      <c r="E166">
        <f t="shared" si="6"/>
        <v>0</v>
      </c>
    </row>
    <row r="167" spans="4:5" x14ac:dyDescent="0.2">
      <c r="D167">
        <f t="shared" si="5"/>
        <v>0</v>
      </c>
      <c r="E167">
        <f t="shared" si="6"/>
        <v>0</v>
      </c>
    </row>
    <row r="168" spans="4:5" x14ac:dyDescent="0.2">
      <c r="D168">
        <f t="shared" si="5"/>
        <v>0</v>
      </c>
      <c r="E168">
        <f t="shared" si="6"/>
        <v>0</v>
      </c>
    </row>
    <row r="169" spans="4:5" x14ac:dyDescent="0.2">
      <c r="D169">
        <f t="shared" si="5"/>
        <v>0</v>
      </c>
      <c r="E169">
        <f t="shared" si="6"/>
        <v>0</v>
      </c>
    </row>
    <row r="170" spans="4:5" x14ac:dyDescent="0.2">
      <c r="D170">
        <f t="shared" si="5"/>
        <v>0</v>
      </c>
      <c r="E170">
        <f t="shared" si="6"/>
        <v>0</v>
      </c>
    </row>
    <row r="171" spans="4:5" x14ac:dyDescent="0.2">
      <c r="D171">
        <f t="shared" si="5"/>
        <v>0</v>
      </c>
      <c r="E171">
        <f t="shared" si="6"/>
        <v>0</v>
      </c>
    </row>
    <row r="172" spans="4:5" x14ac:dyDescent="0.2">
      <c r="D172">
        <f t="shared" si="5"/>
        <v>0</v>
      </c>
      <c r="E172">
        <f t="shared" si="6"/>
        <v>0</v>
      </c>
    </row>
    <row r="173" spans="4:5" x14ac:dyDescent="0.2">
      <c r="D173">
        <f t="shared" si="5"/>
        <v>0</v>
      </c>
      <c r="E173">
        <f t="shared" si="6"/>
        <v>0</v>
      </c>
    </row>
    <row r="174" spans="4:5" x14ac:dyDescent="0.2">
      <c r="D174">
        <f t="shared" si="5"/>
        <v>0</v>
      </c>
      <c r="E174">
        <f t="shared" si="6"/>
        <v>0</v>
      </c>
    </row>
    <row r="175" spans="4:5" x14ac:dyDescent="0.2">
      <c r="D175">
        <f t="shared" si="5"/>
        <v>0</v>
      </c>
      <c r="E175">
        <f t="shared" si="6"/>
        <v>0</v>
      </c>
    </row>
    <row r="176" spans="4:5" x14ac:dyDescent="0.2">
      <c r="D176">
        <f t="shared" si="5"/>
        <v>0</v>
      </c>
      <c r="E176">
        <f t="shared" si="6"/>
        <v>0</v>
      </c>
    </row>
    <row r="177" spans="4:5" x14ac:dyDescent="0.2">
      <c r="D177">
        <f t="shared" si="5"/>
        <v>0</v>
      </c>
      <c r="E177">
        <f t="shared" si="6"/>
        <v>0</v>
      </c>
    </row>
    <row r="178" spans="4:5" x14ac:dyDescent="0.2">
      <c r="D178">
        <f t="shared" si="5"/>
        <v>0</v>
      </c>
      <c r="E178">
        <f t="shared" si="6"/>
        <v>0</v>
      </c>
    </row>
    <row r="179" spans="4:5" x14ac:dyDescent="0.2">
      <c r="D179">
        <f t="shared" si="5"/>
        <v>0</v>
      </c>
      <c r="E179">
        <f t="shared" si="6"/>
        <v>0</v>
      </c>
    </row>
    <row r="180" spans="4:5" x14ac:dyDescent="0.2">
      <c r="D180">
        <f t="shared" si="5"/>
        <v>0</v>
      </c>
      <c r="E180">
        <f t="shared" si="6"/>
        <v>0</v>
      </c>
    </row>
    <row r="181" spans="4:5" x14ac:dyDescent="0.2">
      <c r="D181">
        <f t="shared" si="5"/>
        <v>0</v>
      </c>
      <c r="E181">
        <f t="shared" si="6"/>
        <v>0</v>
      </c>
    </row>
    <row r="182" spans="4:5" x14ac:dyDescent="0.2">
      <c r="D182">
        <f t="shared" si="5"/>
        <v>0</v>
      </c>
      <c r="E182">
        <f t="shared" si="6"/>
        <v>0</v>
      </c>
    </row>
    <row r="183" spans="4:5" x14ac:dyDescent="0.2">
      <c r="D183">
        <f t="shared" si="5"/>
        <v>0</v>
      </c>
      <c r="E183">
        <f t="shared" si="6"/>
        <v>0</v>
      </c>
    </row>
    <row r="184" spans="4:5" x14ac:dyDescent="0.2">
      <c r="D184">
        <f t="shared" si="5"/>
        <v>0</v>
      </c>
      <c r="E184">
        <f t="shared" si="6"/>
        <v>0</v>
      </c>
    </row>
    <row r="185" spans="4:5" x14ac:dyDescent="0.2">
      <c r="D185">
        <f t="shared" si="5"/>
        <v>0</v>
      </c>
      <c r="E185">
        <f t="shared" si="6"/>
        <v>0</v>
      </c>
    </row>
    <row r="186" spans="4:5" x14ac:dyDescent="0.2">
      <c r="D186">
        <f t="shared" si="5"/>
        <v>0</v>
      </c>
      <c r="E186">
        <f t="shared" si="6"/>
        <v>0</v>
      </c>
    </row>
    <row r="187" spans="4:5" x14ac:dyDescent="0.2">
      <c r="D187">
        <f t="shared" si="5"/>
        <v>0</v>
      </c>
      <c r="E187">
        <f t="shared" si="6"/>
        <v>0</v>
      </c>
    </row>
    <row r="188" spans="4:5" x14ac:dyDescent="0.2">
      <c r="D188">
        <f t="shared" si="5"/>
        <v>0</v>
      </c>
      <c r="E188">
        <f t="shared" si="6"/>
        <v>0</v>
      </c>
    </row>
    <row r="189" spans="4:5" x14ac:dyDescent="0.2">
      <c r="D189">
        <f t="shared" si="5"/>
        <v>0</v>
      </c>
      <c r="E189">
        <f t="shared" si="6"/>
        <v>0</v>
      </c>
    </row>
    <row r="190" spans="4:5" x14ac:dyDescent="0.2">
      <c r="D190">
        <f t="shared" si="5"/>
        <v>0</v>
      </c>
      <c r="E190">
        <f t="shared" si="6"/>
        <v>0</v>
      </c>
    </row>
    <row r="191" spans="4:5" x14ac:dyDescent="0.2">
      <c r="D191">
        <f t="shared" si="5"/>
        <v>0</v>
      </c>
      <c r="E191">
        <f t="shared" si="6"/>
        <v>0</v>
      </c>
    </row>
    <row r="192" spans="4:5" x14ac:dyDescent="0.2">
      <c r="D192">
        <f t="shared" si="5"/>
        <v>0</v>
      </c>
      <c r="E192">
        <f t="shared" si="6"/>
        <v>0</v>
      </c>
    </row>
    <row r="193" spans="4:5" x14ac:dyDescent="0.2">
      <c r="D193">
        <f t="shared" si="5"/>
        <v>0</v>
      </c>
      <c r="E193">
        <f t="shared" si="6"/>
        <v>0</v>
      </c>
    </row>
    <row r="194" spans="4:5" x14ac:dyDescent="0.2">
      <c r="D194">
        <f t="shared" si="5"/>
        <v>0</v>
      </c>
      <c r="E194">
        <f t="shared" si="6"/>
        <v>0</v>
      </c>
    </row>
    <row r="195" spans="4:5" x14ac:dyDescent="0.2">
      <c r="D195">
        <f t="shared" si="5"/>
        <v>0</v>
      </c>
      <c r="E195">
        <f t="shared" si="6"/>
        <v>0</v>
      </c>
    </row>
    <row r="196" spans="4:5" x14ac:dyDescent="0.2">
      <c r="D196">
        <f t="shared" si="5"/>
        <v>0</v>
      </c>
      <c r="E196">
        <f t="shared" si="6"/>
        <v>0</v>
      </c>
    </row>
    <row r="197" spans="4:5" x14ac:dyDescent="0.2">
      <c r="D197">
        <f t="shared" si="5"/>
        <v>0</v>
      </c>
      <c r="E197">
        <f t="shared" si="6"/>
        <v>0</v>
      </c>
    </row>
    <row r="198" spans="4:5" x14ac:dyDescent="0.2">
      <c r="D198">
        <f t="shared" si="5"/>
        <v>0</v>
      </c>
      <c r="E198">
        <f t="shared" si="6"/>
        <v>0</v>
      </c>
    </row>
    <row r="199" spans="4:5" x14ac:dyDescent="0.2">
      <c r="D199">
        <f t="shared" si="5"/>
        <v>0</v>
      </c>
      <c r="E199">
        <f t="shared" si="6"/>
        <v>0</v>
      </c>
    </row>
    <row r="200" spans="4:5" x14ac:dyDescent="0.2">
      <c r="D200">
        <f t="shared" si="5"/>
        <v>0</v>
      </c>
      <c r="E200">
        <f t="shared" si="6"/>
        <v>0</v>
      </c>
    </row>
    <row r="201" spans="4:5" x14ac:dyDescent="0.2">
      <c r="D201">
        <f t="shared" si="5"/>
        <v>0</v>
      </c>
      <c r="E201">
        <f t="shared" si="6"/>
        <v>0</v>
      </c>
    </row>
    <row r="202" spans="4:5" x14ac:dyDescent="0.2">
      <c r="D202">
        <f t="shared" si="5"/>
        <v>0</v>
      </c>
      <c r="E202">
        <f t="shared" si="6"/>
        <v>0</v>
      </c>
    </row>
    <row r="203" spans="4:5" x14ac:dyDescent="0.2">
      <c r="D203">
        <f t="shared" si="5"/>
        <v>0</v>
      </c>
      <c r="E203">
        <f t="shared" si="6"/>
        <v>0</v>
      </c>
    </row>
    <row r="204" spans="4:5" x14ac:dyDescent="0.2">
      <c r="D204">
        <f t="shared" si="5"/>
        <v>0</v>
      </c>
      <c r="E204">
        <f t="shared" si="6"/>
        <v>0</v>
      </c>
    </row>
    <row r="205" spans="4:5" x14ac:dyDescent="0.2">
      <c r="D205">
        <f t="shared" si="5"/>
        <v>0</v>
      </c>
      <c r="E205">
        <f t="shared" si="6"/>
        <v>0</v>
      </c>
    </row>
    <row r="206" spans="4:5" x14ac:dyDescent="0.2">
      <c r="D206">
        <f t="shared" si="5"/>
        <v>0</v>
      </c>
      <c r="E206">
        <f t="shared" si="6"/>
        <v>0</v>
      </c>
    </row>
    <row r="207" spans="4:5" x14ac:dyDescent="0.2">
      <c r="D207">
        <f t="shared" si="5"/>
        <v>0</v>
      </c>
      <c r="E207">
        <f t="shared" si="6"/>
        <v>0</v>
      </c>
    </row>
    <row r="208" spans="4:5" x14ac:dyDescent="0.2">
      <c r="D208">
        <f t="shared" si="5"/>
        <v>0</v>
      </c>
      <c r="E208">
        <f t="shared" si="6"/>
        <v>0</v>
      </c>
    </row>
    <row r="209" spans="4:5" x14ac:dyDescent="0.2">
      <c r="D209">
        <f t="shared" si="5"/>
        <v>0</v>
      </c>
      <c r="E209">
        <f t="shared" si="6"/>
        <v>0</v>
      </c>
    </row>
    <row r="210" spans="4:5" x14ac:dyDescent="0.2">
      <c r="D210">
        <f t="shared" si="5"/>
        <v>0</v>
      </c>
      <c r="E210">
        <f t="shared" si="6"/>
        <v>0</v>
      </c>
    </row>
    <row r="211" spans="4:5" x14ac:dyDescent="0.2">
      <c r="D211">
        <f t="shared" si="5"/>
        <v>0</v>
      </c>
      <c r="E211">
        <f t="shared" si="6"/>
        <v>0</v>
      </c>
    </row>
    <row r="212" spans="4:5" x14ac:dyDescent="0.2">
      <c r="D212">
        <f t="shared" si="5"/>
        <v>0</v>
      </c>
      <c r="E212">
        <f t="shared" si="6"/>
        <v>0</v>
      </c>
    </row>
    <row r="213" spans="4:5" x14ac:dyDescent="0.2">
      <c r="D213">
        <f t="shared" si="5"/>
        <v>0</v>
      </c>
      <c r="E213">
        <f t="shared" si="6"/>
        <v>0</v>
      </c>
    </row>
    <row r="214" spans="4:5" x14ac:dyDescent="0.2">
      <c r="D214">
        <f t="shared" si="5"/>
        <v>0</v>
      </c>
      <c r="E214">
        <f t="shared" si="6"/>
        <v>0</v>
      </c>
    </row>
    <row r="215" spans="4:5" x14ac:dyDescent="0.2">
      <c r="D215">
        <f t="shared" si="5"/>
        <v>0</v>
      </c>
      <c r="E215">
        <f t="shared" si="6"/>
        <v>0</v>
      </c>
    </row>
    <row r="216" spans="4:5" x14ac:dyDescent="0.2">
      <c r="D216">
        <f t="shared" si="5"/>
        <v>0</v>
      </c>
      <c r="E216">
        <f t="shared" si="6"/>
        <v>0</v>
      </c>
    </row>
    <row r="217" spans="4:5" x14ac:dyDescent="0.2">
      <c r="D217">
        <f t="shared" si="5"/>
        <v>0</v>
      </c>
      <c r="E217">
        <f t="shared" si="6"/>
        <v>0</v>
      </c>
    </row>
    <row r="218" spans="4:5" x14ac:dyDescent="0.2">
      <c r="D218">
        <f t="shared" si="5"/>
        <v>0</v>
      </c>
      <c r="E218">
        <f t="shared" si="6"/>
        <v>0</v>
      </c>
    </row>
    <row r="219" spans="4:5" x14ac:dyDescent="0.2">
      <c r="D219">
        <f t="shared" si="5"/>
        <v>0</v>
      </c>
      <c r="E219">
        <f t="shared" si="6"/>
        <v>0</v>
      </c>
    </row>
    <row r="220" spans="4:5" x14ac:dyDescent="0.2">
      <c r="D220">
        <f t="shared" si="5"/>
        <v>0</v>
      </c>
      <c r="E220">
        <f t="shared" si="6"/>
        <v>0</v>
      </c>
    </row>
    <row r="221" spans="4:5" x14ac:dyDescent="0.2">
      <c r="D221">
        <f t="shared" si="5"/>
        <v>0</v>
      </c>
      <c r="E221">
        <f t="shared" si="6"/>
        <v>0</v>
      </c>
    </row>
    <row r="222" spans="4:5" x14ac:dyDescent="0.2">
      <c r="D222">
        <f t="shared" ref="D222:D285" si="7">A222*0.3048</f>
        <v>0</v>
      </c>
      <c r="E222">
        <f t="shared" ref="E222:E285" si="8">B222*0.3048</f>
        <v>0</v>
      </c>
    </row>
    <row r="223" spans="4:5" x14ac:dyDescent="0.2">
      <c r="D223">
        <f t="shared" si="7"/>
        <v>0</v>
      </c>
      <c r="E223">
        <f t="shared" si="8"/>
        <v>0</v>
      </c>
    </row>
    <row r="224" spans="4:5" x14ac:dyDescent="0.2">
      <c r="D224">
        <f t="shared" si="7"/>
        <v>0</v>
      </c>
      <c r="E224">
        <f t="shared" si="8"/>
        <v>0</v>
      </c>
    </row>
    <row r="225" spans="4:5" x14ac:dyDescent="0.2">
      <c r="D225">
        <f t="shared" si="7"/>
        <v>0</v>
      </c>
      <c r="E225">
        <f t="shared" si="8"/>
        <v>0</v>
      </c>
    </row>
    <row r="226" spans="4:5" x14ac:dyDescent="0.2">
      <c r="D226">
        <f t="shared" si="7"/>
        <v>0</v>
      </c>
      <c r="E226">
        <f t="shared" si="8"/>
        <v>0</v>
      </c>
    </row>
    <row r="227" spans="4:5" x14ac:dyDescent="0.2">
      <c r="D227">
        <f t="shared" si="7"/>
        <v>0</v>
      </c>
      <c r="E227">
        <f t="shared" si="8"/>
        <v>0</v>
      </c>
    </row>
    <row r="228" spans="4:5" x14ac:dyDescent="0.2">
      <c r="D228">
        <f t="shared" si="7"/>
        <v>0</v>
      </c>
      <c r="E228">
        <f t="shared" si="8"/>
        <v>0</v>
      </c>
    </row>
    <row r="229" spans="4:5" x14ac:dyDescent="0.2">
      <c r="D229">
        <f t="shared" si="7"/>
        <v>0</v>
      </c>
      <c r="E229">
        <f t="shared" si="8"/>
        <v>0</v>
      </c>
    </row>
    <row r="230" spans="4:5" x14ac:dyDescent="0.2">
      <c r="D230">
        <f t="shared" si="7"/>
        <v>0</v>
      </c>
      <c r="E230">
        <f t="shared" si="8"/>
        <v>0</v>
      </c>
    </row>
    <row r="231" spans="4:5" x14ac:dyDescent="0.2">
      <c r="D231">
        <f t="shared" si="7"/>
        <v>0</v>
      </c>
      <c r="E231">
        <f t="shared" si="8"/>
        <v>0</v>
      </c>
    </row>
    <row r="232" spans="4:5" x14ac:dyDescent="0.2">
      <c r="D232">
        <f t="shared" si="7"/>
        <v>0</v>
      </c>
      <c r="E232">
        <f t="shared" si="8"/>
        <v>0</v>
      </c>
    </row>
    <row r="233" spans="4:5" x14ac:dyDescent="0.2">
      <c r="D233">
        <f t="shared" si="7"/>
        <v>0</v>
      </c>
      <c r="E233">
        <f t="shared" si="8"/>
        <v>0</v>
      </c>
    </row>
    <row r="234" spans="4:5" x14ac:dyDescent="0.2">
      <c r="D234">
        <f t="shared" si="7"/>
        <v>0</v>
      </c>
      <c r="E234">
        <f t="shared" si="8"/>
        <v>0</v>
      </c>
    </row>
    <row r="235" spans="4:5" x14ac:dyDescent="0.2">
      <c r="D235">
        <f t="shared" si="7"/>
        <v>0</v>
      </c>
      <c r="E235">
        <f t="shared" si="8"/>
        <v>0</v>
      </c>
    </row>
    <row r="236" spans="4:5" x14ac:dyDescent="0.2">
      <c r="D236">
        <f t="shared" si="7"/>
        <v>0</v>
      </c>
      <c r="E236">
        <f t="shared" si="8"/>
        <v>0</v>
      </c>
    </row>
    <row r="237" spans="4:5" x14ac:dyDescent="0.2">
      <c r="D237">
        <f t="shared" si="7"/>
        <v>0</v>
      </c>
      <c r="E237">
        <f t="shared" si="8"/>
        <v>0</v>
      </c>
    </row>
    <row r="238" spans="4:5" x14ac:dyDescent="0.2">
      <c r="D238">
        <f t="shared" si="7"/>
        <v>0</v>
      </c>
      <c r="E238">
        <f t="shared" si="8"/>
        <v>0</v>
      </c>
    </row>
    <row r="239" spans="4:5" x14ac:dyDescent="0.2">
      <c r="D239">
        <f t="shared" si="7"/>
        <v>0</v>
      </c>
      <c r="E239">
        <f t="shared" si="8"/>
        <v>0</v>
      </c>
    </row>
    <row r="240" spans="4:5" x14ac:dyDescent="0.2">
      <c r="D240">
        <f t="shared" si="7"/>
        <v>0</v>
      </c>
      <c r="E240">
        <f t="shared" si="8"/>
        <v>0</v>
      </c>
    </row>
    <row r="241" spans="4:5" x14ac:dyDescent="0.2">
      <c r="D241">
        <f t="shared" si="7"/>
        <v>0</v>
      </c>
      <c r="E241">
        <f t="shared" si="8"/>
        <v>0</v>
      </c>
    </row>
    <row r="242" spans="4:5" x14ac:dyDescent="0.2">
      <c r="D242">
        <f t="shared" si="7"/>
        <v>0</v>
      </c>
      <c r="E242">
        <f t="shared" si="8"/>
        <v>0</v>
      </c>
    </row>
    <row r="243" spans="4:5" x14ac:dyDescent="0.2">
      <c r="D243">
        <f t="shared" si="7"/>
        <v>0</v>
      </c>
      <c r="E243">
        <f t="shared" si="8"/>
        <v>0</v>
      </c>
    </row>
    <row r="244" spans="4:5" x14ac:dyDescent="0.2">
      <c r="D244">
        <f t="shared" si="7"/>
        <v>0</v>
      </c>
      <c r="E244">
        <f t="shared" si="8"/>
        <v>0</v>
      </c>
    </row>
    <row r="245" spans="4:5" x14ac:dyDescent="0.2">
      <c r="D245">
        <f t="shared" si="7"/>
        <v>0</v>
      </c>
      <c r="E245">
        <f t="shared" si="8"/>
        <v>0</v>
      </c>
    </row>
    <row r="246" spans="4:5" x14ac:dyDescent="0.2">
      <c r="D246">
        <f t="shared" si="7"/>
        <v>0</v>
      </c>
      <c r="E246">
        <f t="shared" si="8"/>
        <v>0</v>
      </c>
    </row>
    <row r="247" spans="4:5" x14ac:dyDescent="0.2">
      <c r="D247">
        <f t="shared" si="7"/>
        <v>0</v>
      </c>
      <c r="E247">
        <f t="shared" si="8"/>
        <v>0</v>
      </c>
    </row>
    <row r="248" spans="4:5" x14ac:dyDescent="0.2">
      <c r="D248">
        <f t="shared" si="7"/>
        <v>0</v>
      </c>
      <c r="E248">
        <f t="shared" si="8"/>
        <v>0</v>
      </c>
    </row>
    <row r="249" spans="4:5" x14ac:dyDescent="0.2">
      <c r="D249">
        <f t="shared" si="7"/>
        <v>0</v>
      </c>
      <c r="E249">
        <f t="shared" si="8"/>
        <v>0</v>
      </c>
    </row>
    <row r="250" spans="4:5" x14ac:dyDescent="0.2">
      <c r="D250">
        <f t="shared" si="7"/>
        <v>0</v>
      </c>
      <c r="E250">
        <f t="shared" si="8"/>
        <v>0</v>
      </c>
    </row>
    <row r="251" spans="4:5" x14ac:dyDescent="0.2">
      <c r="D251">
        <f t="shared" si="7"/>
        <v>0</v>
      </c>
      <c r="E251">
        <f t="shared" si="8"/>
        <v>0</v>
      </c>
    </row>
    <row r="252" spans="4:5" x14ac:dyDescent="0.2">
      <c r="D252">
        <f t="shared" si="7"/>
        <v>0</v>
      </c>
      <c r="E252">
        <f t="shared" si="8"/>
        <v>0</v>
      </c>
    </row>
    <row r="253" spans="4:5" x14ac:dyDescent="0.2">
      <c r="D253">
        <f t="shared" si="7"/>
        <v>0</v>
      </c>
      <c r="E253">
        <f t="shared" si="8"/>
        <v>0</v>
      </c>
    </row>
    <row r="254" spans="4:5" x14ac:dyDescent="0.2">
      <c r="D254">
        <f t="shared" si="7"/>
        <v>0</v>
      </c>
      <c r="E254">
        <f t="shared" si="8"/>
        <v>0</v>
      </c>
    </row>
    <row r="255" spans="4:5" x14ac:dyDescent="0.2">
      <c r="D255">
        <f t="shared" si="7"/>
        <v>0</v>
      </c>
      <c r="E255">
        <f t="shared" si="8"/>
        <v>0</v>
      </c>
    </row>
    <row r="256" spans="4:5" x14ac:dyDescent="0.2">
      <c r="D256">
        <f t="shared" si="7"/>
        <v>0</v>
      </c>
      <c r="E256">
        <f t="shared" si="8"/>
        <v>0</v>
      </c>
    </row>
    <row r="257" spans="4:5" x14ac:dyDescent="0.2">
      <c r="D257">
        <f t="shared" si="7"/>
        <v>0</v>
      </c>
      <c r="E257">
        <f t="shared" si="8"/>
        <v>0</v>
      </c>
    </row>
    <row r="258" spans="4:5" x14ac:dyDescent="0.2">
      <c r="D258">
        <f t="shared" si="7"/>
        <v>0</v>
      </c>
      <c r="E258">
        <f t="shared" si="8"/>
        <v>0</v>
      </c>
    </row>
    <row r="259" spans="4:5" x14ac:dyDescent="0.2">
      <c r="D259">
        <f t="shared" si="7"/>
        <v>0</v>
      </c>
      <c r="E259">
        <f t="shared" si="8"/>
        <v>0</v>
      </c>
    </row>
    <row r="260" spans="4:5" x14ac:dyDescent="0.2">
      <c r="D260">
        <f t="shared" si="7"/>
        <v>0</v>
      </c>
      <c r="E260">
        <f t="shared" si="8"/>
        <v>0</v>
      </c>
    </row>
    <row r="261" spans="4:5" x14ac:dyDescent="0.2">
      <c r="D261">
        <f t="shared" si="7"/>
        <v>0</v>
      </c>
      <c r="E261">
        <f t="shared" si="8"/>
        <v>0</v>
      </c>
    </row>
    <row r="262" spans="4:5" x14ac:dyDescent="0.2">
      <c r="D262">
        <f t="shared" si="7"/>
        <v>0</v>
      </c>
      <c r="E262">
        <f t="shared" si="8"/>
        <v>0</v>
      </c>
    </row>
    <row r="263" spans="4:5" x14ac:dyDescent="0.2">
      <c r="D263">
        <f t="shared" si="7"/>
        <v>0</v>
      </c>
      <c r="E263">
        <f t="shared" si="8"/>
        <v>0</v>
      </c>
    </row>
    <row r="264" spans="4:5" x14ac:dyDescent="0.2">
      <c r="D264">
        <f t="shared" si="7"/>
        <v>0</v>
      </c>
      <c r="E264">
        <f t="shared" si="8"/>
        <v>0</v>
      </c>
    </row>
    <row r="265" spans="4:5" x14ac:dyDescent="0.2">
      <c r="D265">
        <f t="shared" si="7"/>
        <v>0</v>
      </c>
      <c r="E265">
        <f t="shared" si="8"/>
        <v>0</v>
      </c>
    </row>
    <row r="266" spans="4:5" x14ac:dyDescent="0.2">
      <c r="D266">
        <f t="shared" si="7"/>
        <v>0</v>
      </c>
      <c r="E266">
        <f t="shared" si="8"/>
        <v>0</v>
      </c>
    </row>
    <row r="267" spans="4:5" x14ac:dyDescent="0.2">
      <c r="D267">
        <f t="shared" si="7"/>
        <v>0</v>
      </c>
      <c r="E267">
        <f t="shared" si="8"/>
        <v>0</v>
      </c>
    </row>
    <row r="268" spans="4:5" x14ac:dyDescent="0.2">
      <c r="D268">
        <f t="shared" si="7"/>
        <v>0</v>
      </c>
      <c r="E268">
        <f t="shared" si="8"/>
        <v>0</v>
      </c>
    </row>
    <row r="269" spans="4:5" x14ac:dyDescent="0.2">
      <c r="D269">
        <f t="shared" si="7"/>
        <v>0</v>
      </c>
      <c r="E269">
        <f t="shared" si="8"/>
        <v>0</v>
      </c>
    </row>
    <row r="270" spans="4:5" x14ac:dyDescent="0.2">
      <c r="D270">
        <f t="shared" si="7"/>
        <v>0</v>
      </c>
      <c r="E270">
        <f t="shared" si="8"/>
        <v>0</v>
      </c>
    </row>
    <row r="271" spans="4:5" x14ac:dyDescent="0.2">
      <c r="D271">
        <f t="shared" si="7"/>
        <v>0</v>
      </c>
      <c r="E271">
        <f t="shared" si="8"/>
        <v>0</v>
      </c>
    </row>
    <row r="272" spans="4:5" x14ac:dyDescent="0.2">
      <c r="D272">
        <f t="shared" si="7"/>
        <v>0</v>
      </c>
      <c r="E272">
        <f t="shared" si="8"/>
        <v>0</v>
      </c>
    </row>
    <row r="273" spans="4:5" x14ac:dyDescent="0.2">
      <c r="D273">
        <f t="shared" si="7"/>
        <v>0</v>
      </c>
      <c r="E273">
        <f t="shared" si="8"/>
        <v>0</v>
      </c>
    </row>
    <row r="274" spans="4:5" x14ac:dyDescent="0.2">
      <c r="D274">
        <f t="shared" si="7"/>
        <v>0</v>
      </c>
      <c r="E274">
        <f t="shared" si="8"/>
        <v>0</v>
      </c>
    </row>
    <row r="275" spans="4:5" x14ac:dyDescent="0.2">
      <c r="D275">
        <f t="shared" si="7"/>
        <v>0</v>
      </c>
      <c r="E275">
        <f t="shared" si="8"/>
        <v>0</v>
      </c>
    </row>
    <row r="276" spans="4:5" x14ac:dyDescent="0.2">
      <c r="D276">
        <f t="shared" si="7"/>
        <v>0</v>
      </c>
      <c r="E276">
        <f t="shared" si="8"/>
        <v>0</v>
      </c>
    </row>
    <row r="277" spans="4:5" x14ac:dyDescent="0.2">
      <c r="D277">
        <f t="shared" si="7"/>
        <v>0</v>
      </c>
      <c r="E277">
        <f t="shared" si="8"/>
        <v>0</v>
      </c>
    </row>
    <row r="278" spans="4:5" x14ac:dyDescent="0.2">
      <c r="D278">
        <f t="shared" si="7"/>
        <v>0</v>
      </c>
      <c r="E278">
        <f t="shared" si="8"/>
        <v>0</v>
      </c>
    </row>
    <row r="279" spans="4:5" x14ac:dyDescent="0.2">
      <c r="D279">
        <f t="shared" si="7"/>
        <v>0</v>
      </c>
      <c r="E279">
        <f t="shared" si="8"/>
        <v>0</v>
      </c>
    </row>
    <row r="280" spans="4:5" x14ac:dyDescent="0.2">
      <c r="D280">
        <f t="shared" si="7"/>
        <v>0</v>
      </c>
      <c r="E280">
        <f t="shared" si="8"/>
        <v>0</v>
      </c>
    </row>
    <row r="281" spans="4:5" x14ac:dyDescent="0.2">
      <c r="D281">
        <f t="shared" si="7"/>
        <v>0</v>
      </c>
      <c r="E281">
        <f t="shared" si="8"/>
        <v>0</v>
      </c>
    </row>
    <row r="282" spans="4:5" x14ac:dyDescent="0.2">
      <c r="D282">
        <f t="shared" si="7"/>
        <v>0</v>
      </c>
      <c r="E282">
        <f t="shared" si="8"/>
        <v>0</v>
      </c>
    </row>
    <row r="283" spans="4:5" x14ac:dyDescent="0.2">
      <c r="D283">
        <f t="shared" si="7"/>
        <v>0</v>
      </c>
      <c r="E283">
        <f t="shared" si="8"/>
        <v>0</v>
      </c>
    </row>
    <row r="284" spans="4:5" x14ac:dyDescent="0.2">
      <c r="D284">
        <f t="shared" si="7"/>
        <v>0</v>
      </c>
      <c r="E284">
        <f t="shared" si="8"/>
        <v>0</v>
      </c>
    </row>
    <row r="285" spans="4:5" x14ac:dyDescent="0.2">
      <c r="D285">
        <f t="shared" si="7"/>
        <v>0</v>
      </c>
      <c r="E285">
        <f t="shared" si="8"/>
        <v>0</v>
      </c>
    </row>
    <row r="286" spans="4:5" x14ac:dyDescent="0.2">
      <c r="D286">
        <f t="shared" ref="D286:D349" si="9">A286*0.3048</f>
        <v>0</v>
      </c>
      <c r="E286">
        <f t="shared" ref="E286:E349" si="10">B286*0.3048</f>
        <v>0</v>
      </c>
    </row>
    <row r="287" spans="4:5" x14ac:dyDescent="0.2">
      <c r="D287">
        <f t="shared" si="9"/>
        <v>0</v>
      </c>
      <c r="E287">
        <f t="shared" si="10"/>
        <v>0</v>
      </c>
    </row>
    <row r="288" spans="4:5" x14ac:dyDescent="0.2">
      <c r="D288">
        <f t="shared" si="9"/>
        <v>0</v>
      </c>
      <c r="E288">
        <f t="shared" si="10"/>
        <v>0</v>
      </c>
    </row>
    <row r="289" spans="4:5" x14ac:dyDescent="0.2">
      <c r="D289">
        <f t="shared" si="9"/>
        <v>0</v>
      </c>
      <c r="E289">
        <f t="shared" si="10"/>
        <v>0</v>
      </c>
    </row>
    <row r="290" spans="4:5" x14ac:dyDescent="0.2">
      <c r="D290">
        <f t="shared" si="9"/>
        <v>0</v>
      </c>
      <c r="E290">
        <f t="shared" si="10"/>
        <v>0</v>
      </c>
    </row>
    <row r="291" spans="4:5" x14ac:dyDescent="0.2">
      <c r="D291">
        <f t="shared" si="9"/>
        <v>0</v>
      </c>
      <c r="E291">
        <f t="shared" si="10"/>
        <v>0</v>
      </c>
    </row>
    <row r="292" spans="4:5" x14ac:dyDescent="0.2">
      <c r="D292">
        <f t="shared" si="9"/>
        <v>0</v>
      </c>
      <c r="E292">
        <f t="shared" si="10"/>
        <v>0</v>
      </c>
    </row>
    <row r="293" spans="4:5" x14ac:dyDescent="0.2">
      <c r="D293">
        <f t="shared" si="9"/>
        <v>0</v>
      </c>
      <c r="E293">
        <f t="shared" si="10"/>
        <v>0</v>
      </c>
    </row>
    <row r="294" spans="4:5" x14ac:dyDescent="0.2">
      <c r="D294">
        <f t="shared" si="9"/>
        <v>0</v>
      </c>
      <c r="E294">
        <f t="shared" si="10"/>
        <v>0</v>
      </c>
    </row>
    <row r="295" spans="4:5" x14ac:dyDescent="0.2">
      <c r="D295">
        <f t="shared" si="9"/>
        <v>0</v>
      </c>
      <c r="E295">
        <f t="shared" si="10"/>
        <v>0</v>
      </c>
    </row>
    <row r="296" spans="4:5" x14ac:dyDescent="0.2">
      <c r="D296">
        <f t="shared" si="9"/>
        <v>0</v>
      </c>
      <c r="E296">
        <f t="shared" si="10"/>
        <v>0</v>
      </c>
    </row>
    <row r="297" spans="4:5" x14ac:dyDescent="0.2">
      <c r="D297">
        <f t="shared" si="9"/>
        <v>0</v>
      </c>
      <c r="E297">
        <f t="shared" si="10"/>
        <v>0</v>
      </c>
    </row>
    <row r="298" spans="4:5" x14ac:dyDescent="0.2">
      <c r="D298">
        <f t="shared" si="9"/>
        <v>0</v>
      </c>
      <c r="E298">
        <f t="shared" si="10"/>
        <v>0</v>
      </c>
    </row>
    <row r="299" spans="4:5" x14ac:dyDescent="0.2">
      <c r="D299">
        <f t="shared" si="9"/>
        <v>0</v>
      </c>
      <c r="E299">
        <f t="shared" si="10"/>
        <v>0</v>
      </c>
    </row>
    <row r="300" spans="4:5" x14ac:dyDescent="0.2">
      <c r="D300">
        <f t="shared" si="9"/>
        <v>0</v>
      </c>
      <c r="E300">
        <f t="shared" si="10"/>
        <v>0</v>
      </c>
    </row>
    <row r="301" spans="4:5" x14ac:dyDescent="0.2">
      <c r="D301">
        <f t="shared" si="9"/>
        <v>0</v>
      </c>
      <c r="E301">
        <f t="shared" si="10"/>
        <v>0</v>
      </c>
    </row>
    <row r="302" spans="4:5" x14ac:dyDescent="0.2">
      <c r="D302">
        <f t="shared" si="9"/>
        <v>0</v>
      </c>
      <c r="E302">
        <f t="shared" si="10"/>
        <v>0</v>
      </c>
    </row>
    <row r="303" spans="4:5" x14ac:dyDescent="0.2">
      <c r="D303">
        <f t="shared" si="9"/>
        <v>0</v>
      </c>
      <c r="E303">
        <f t="shared" si="10"/>
        <v>0</v>
      </c>
    </row>
    <row r="304" spans="4:5" x14ac:dyDescent="0.2">
      <c r="D304">
        <f t="shared" si="9"/>
        <v>0</v>
      </c>
      <c r="E304">
        <f t="shared" si="10"/>
        <v>0</v>
      </c>
    </row>
    <row r="305" spans="4:5" x14ac:dyDescent="0.2">
      <c r="D305">
        <f t="shared" si="9"/>
        <v>0</v>
      </c>
      <c r="E305">
        <f t="shared" si="10"/>
        <v>0</v>
      </c>
    </row>
    <row r="306" spans="4:5" x14ac:dyDescent="0.2">
      <c r="D306">
        <f t="shared" si="9"/>
        <v>0</v>
      </c>
      <c r="E306">
        <f t="shared" si="10"/>
        <v>0</v>
      </c>
    </row>
    <row r="307" spans="4:5" x14ac:dyDescent="0.2">
      <c r="D307">
        <f t="shared" si="9"/>
        <v>0</v>
      </c>
      <c r="E307">
        <f t="shared" si="10"/>
        <v>0</v>
      </c>
    </row>
    <row r="308" spans="4:5" x14ac:dyDescent="0.2">
      <c r="D308">
        <f t="shared" si="9"/>
        <v>0</v>
      </c>
      <c r="E308">
        <f t="shared" si="10"/>
        <v>0</v>
      </c>
    </row>
    <row r="309" spans="4:5" x14ac:dyDescent="0.2">
      <c r="D309">
        <f t="shared" si="9"/>
        <v>0</v>
      </c>
      <c r="E309">
        <f t="shared" si="10"/>
        <v>0</v>
      </c>
    </row>
    <row r="310" spans="4:5" x14ac:dyDescent="0.2">
      <c r="D310">
        <f t="shared" si="9"/>
        <v>0</v>
      </c>
      <c r="E310">
        <f t="shared" si="10"/>
        <v>0</v>
      </c>
    </row>
    <row r="311" spans="4:5" x14ac:dyDescent="0.2">
      <c r="D311">
        <f t="shared" si="9"/>
        <v>0</v>
      </c>
      <c r="E311">
        <f t="shared" si="10"/>
        <v>0</v>
      </c>
    </row>
    <row r="312" spans="4:5" x14ac:dyDescent="0.2">
      <c r="D312">
        <f t="shared" si="9"/>
        <v>0</v>
      </c>
      <c r="E312">
        <f t="shared" si="10"/>
        <v>0</v>
      </c>
    </row>
    <row r="313" spans="4:5" x14ac:dyDescent="0.2">
      <c r="D313">
        <f t="shared" si="9"/>
        <v>0</v>
      </c>
      <c r="E313">
        <f t="shared" si="10"/>
        <v>0</v>
      </c>
    </row>
    <row r="314" spans="4:5" x14ac:dyDescent="0.2">
      <c r="D314">
        <f t="shared" si="9"/>
        <v>0</v>
      </c>
      <c r="E314">
        <f t="shared" si="10"/>
        <v>0</v>
      </c>
    </row>
    <row r="315" spans="4:5" x14ac:dyDescent="0.2">
      <c r="D315">
        <f t="shared" si="9"/>
        <v>0</v>
      </c>
      <c r="E315">
        <f t="shared" si="10"/>
        <v>0</v>
      </c>
    </row>
    <row r="316" spans="4:5" x14ac:dyDescent="0.2">
      <c r="D316">
        <f t="shared" si="9"/>
        <v>0</v>
      </c>
      <c r="E316">
        <f t="shared" si="10"/>
        <v>0</v>
      </c>
    </row>
    <row r="317" spans="4:5" x14ac:dyDescent="0.2">
      <c r="D317">
        <f t="shared" si="9"/>
        <v>0</v>
      </c>
      <c r="E317">
        <f t="shared" si="10"/>
        <v>0</v>
      </c>
    </row>
    <row r="318" spans="4:5" x14ac:dyDescent="0.2">
      <c r="D318">
        <f t="shared" si="9"/>
        <v>0</v>
      </c>
      <c r="E318">
        <f t="shared" si="10"/>
        <v>0</v>
      </c>
    </row>
    <row r="319" spans="4:5" x14ac:dyDescent="0.2">
      <c r="D319">
        <f t="shared" si="9"/>
        <v>0</v>
      </c>
      <c r="E319">
        <f t="shared" si="10"/>
        <v>0</v>
      </c>
    </row>
    <row r="320" spans="4:5" x14ac:dyDescent="0.2">
      <c r="D320">
        <f t="shared" si="9"/>
        <v>0</v>
      </c>
      <c r="E320">
        <f t="shared" si="10"/>
        <v>0</v>
      </c>
    </row>
    <row r="321" spans="4:5" x14ac:dyDescent="0.2">
      <c r="D321">
        <f t="shared" si="9"/>
        <v>0</v>
      </c>
      <c r="E321">
        <f t="shared" si="10"/>
        <v>0</v>
      </c>
    </row>
    <row r="322" spans="4:5" x14ac:dyDescent="0.2">
      <c r="D322">
        <f t="shared" si="9"/>
        <v>0</v>
      </c>
      <c r="E322">
        <f t="shared" si="10"/>
        <v>0</v>
      </c>
    </row>
    <row r="323" spans="4:5" x14ac:dyDescent="0.2">
      <c r="D323">
        <f t="shared" si="9"/>
        <v>0</v>
      </c>
      <c r="E323">
        <f t="shared" si="10"/>
        <v>0</v>
      </c>
    </row>
    <row r="324" spans="4:5" x14ac:dyDescent="0.2">
      <c r="D324">
        <f t="shared" si="9"/>
        <v>0</v>
      </c>
      <c r="E324">
        <f t="shared" si="10"/>
        <v>0</v>
      </c>
    </row>
    <row r="325" spans="4:5" x14ac:dyDescent="0.2">
      <c r="D325">
        <f t="shared" si="9"/>
        <v>0</v>
      </c>
      <c r="E325">
        <f t="shared" si="10"/>
        <v>0</v>
      </c>
    </row>
    <row r="326" spans="4:5" x14ac:dyDescent="0.2">
      <c r="D326">
        <f t="shared" si="9"/>
        <v>0</v>
      </c>
      <c r="E326">
        <f t="shared" si="10"/>
        <v>0</v>
      </c>
    </row>
    <row r="327" spans="4:5" x14ac:dyDescent="0.2">
      <c r="D327">
        <f t="shared" si="9"/>
        <v>0</v>
      </c>
      <c r="E327">
        <f t="shared" si="10"/>
        <v>0</v>
      </c>
    </row>
    <row r="328" spans="4:5" x14ac:dyDescent="0.2">
      <c r="D328">
        <f t="shared" si="9"/>
        <v>0</v>
      </c>
      <c r="E328">
        <f t="shared" si="10"/>
        <v>0</v>
      </c>
    </row>
    <row r="329" spans="4:5" x14ac:dyDescent="0.2">
      <c r="D329">
        <f t="shared" si="9"/>
        <v>0</v>
      </c>
      <c r="E329">
        <f t="shared" si="10"/>
        <v>0</v>
      </c>
    </row>
    <row r="330" spans="4:5" x14ac:dyDescent="0.2">
      <c r="D330">
        <f t="shared" si="9"/>
        <v>0</v>
      </c>
      <c r="E330">
        <f t="shared" si="10"/>
        <v>0</v>
      </c>
    </row>
    <row r="331" spans="4:5" x14ac:dyDescent="0.2">
      <c r="D331">
        <f t="shared" si="9"/>
        <v>0</v>
      </c>
      <c r="E331">
        <f t="shared" si="10"/>
        <v>0</v>
      </c>
    </row>
    <row r="332" spans="4:5" x14ac:dyDescent="0.2">
      <c r="D332">
        <f t="shared" si="9"/>
        <v>0</v>
      </c>
      <c r="E332">
        <f t="shared" si="10"/>
        <v>0</v>
      </c>
    </row>
    <row r="333" spans="4:5" x14ac:dyDescent="0.2">
      <c r="D333">
        <f t="shared" si="9"/>
        <v>0</v>
      </c>
      <c r="E333">
        <f t="shared" si="10"/>
        <v>0</v>
      </c>
    </row>
    <row r="334" spans="4:5" x14ac:dyDescent="0.2">
      <c r="D334">
        <f t="shared" si="9"/>
        <v>0</v>
      </c>
      <c r="E334">
        <f t="shared" si="10"/>
        <v>0</v>
      </c>
    </row>
    <row r="335" spans="4:5" x14ac:dyDescent="0.2">
      <c r="D335">
        <f t="shared" si="9"/>
        <v>0</v>
      </c>
      <c r="E335">
        <f t="shared" si="10"/>
        <v>0</v>
      </c>
    </row>
    <row r="336" spans="4:5" x14ac:dyDescent="0.2">
      <c r="D336">
        <f t="shared" si="9"/>
        <v>0</v>
      </c>
      <c r="E336">
        <f t="shared" si="10"/>
        <v>0</v>
      </c>
    </row>
    <row r="337" spans="4:5" x14ac:dyDescent="0.2">
      <c r="D337">
        <f t="shared" si="9"/>
        <v>0</v>
      </c>
      <c r="E337">
        <f t="shared" si="10"/>
        <v>0</v>
      </c>
    </row>
    <row r="338" spans="4:5" x14ac:dyDescent="0.2">
      <c r="D338">
        <f t="shared" si="9"/>
        <v>0</v>
      </c>
      <c r="E338">
        <f t="shared" si="10"/>
        <v>0</v>
      </c>
    </row>
    <row r="339" spans="4:5" x14ac:dyDescent="0.2">
      <c r="D339">
        <f t="shared" si="9"/>
        <v>0</v>
      </c>
      <c r="E339">
        <f t="shared" si="10"/>
        <v>0</v>
      </c>
    </row>
    <row r="340" spans="4:5" x14ac:dyDescent="0.2">
      <c r="D340">
        <f t="shared" si="9"/>
        <v>0</v>
      </c>
      <c r="E340">
        <f t="shared" si="10"/>
        <v>0</v>
      </c>
    </row>
    <row r="341" spans="4:5" x14ac:dyDescent="0.2">
      <c r="D341">
        <f t="shared" si="9"/>
        <v>0</v>
      </c>
      <c r="E341">
        <f t="shared" si="10"/>
        <v>0</v>
      </c>
    </row>
    <row r="342" spans="4:5" x14ac:dyDescent="0.2">
      <c r="D342">
        <f t="shared" si="9"/>
        <v>0</v>
      </c>
      <c r="E342">
        <f t="shared" si="10"/>
        <v>0</v>
      </c>
    </row>
    <row r="343" spans="4:5" x14ac:dyDescent="0.2">
      <c r="D343">
        <f t="shared" si="9"/>
        <v>0</v>
      </c>
      <c r="E343">
        <f t="shared" si="10"/>
        <v>0</v>
      </c>
    </row>
    <row r="344" spans="4:5" x14ac:dyDescent="0.2">
      <c r="D344">
        <f t="shared" si="9"/>
        <v>0</v>
      </c>
      <c r="E344">
        <f t="shared" si="10"/>
        <v>0</v>
      </c>
    </row>
    <row r="345" spans="4:5" x14ac:dyDescent="0.2">
      <c r="D345">
        <f t="shared" si="9"/>
        <v>0</v>
      </c>
      <c r="E345">
        <f t="shared" si="10"/>
        <v>0</v>
      </c>
    </row>
    <row r="346" spans="4:5" x14ac:dyDescent="0.2">
      <c r="D346">
        <f t="shared" si="9"/>
        <v>0</v>
      </c>
      <c r="E346">
        <f t="shared" si="10"/>
        <v>0</v>
      </c>
    </row>
    <row r="347" spans="4:5" x14ac:dyDescent="0.2">
      <c r="D347">
        <f t="shared" si="9"/>
        <v>0</v>
      </c>
      <c r="E347">
        <f t="shared" si="10"/>
        <v>0</v>
      </c>
    </row>
    <row r="348" spans="4:5" x14ac:dyDescent="0.2">
      <c r="D348">
        <f t="shared" si="9"/>
        <v>0</v>
      </c>
      <c r="E348">
        <f t="shared" si="10"/>
        <v>0</v>
      </c>
    </row>
    <row r="349" spans="4:5" x14ac:dyDescent="0.2">
      <c r="D349">
        <f t="shared" si="9"/>
        <v>0</v>
      </c>
      <c r="E349">
        <f t="shared" si="10"/>
        <v>0</v>
      </c>
    </row>
    <row r="350" spans="4:5" x14ac:dyDescent="0.2">
      <c r="D350">
        <f t="shared" ref="D350:D413" si="11">A350*0.3048</f>
        <v>0</v>
      </c>
      <c r="E350">
        <f t="shared" ref="E350:E413" si="12">B350*0.3048</f>
        <v>0</v>
      </c>
    </row>
    <row r="351" spans="4:5" x14ac:dyDescent="0.2">
      <c r="D351">
        <f t="shared" si="11"/>
        <v>0</v>
      </c>
      <c r="E351">
        <f t="shared" si="12"/>
        <v>0</v>
      </c>
    </row>
    <row r="352" spans="4:5" x14ac:dyDescent="0.2">
      <c r="D352">
        <f t="shared" si="11"/>
        <v>0</v>
      </c>
      <c r="E352">
        <f t="shared" si="12"/>
        <v>0</v>
      </c>
    </row>
    <row r="353" spans="4:5" x14ac:dyDescent="0.2">
      <c r="D353">
        <f t="shared" si="11"/>
        <v>0</v>
      </c>
      <c r="E353">
        <f t="shared" si="12"/>
        <v>0</v>
      </c>
    </row>
    <row r="354" spans="4:5" x14ac:dyDescent="0.2">
      <c r="D354">
        <f t="shared" si="11"/>
        <v>0</v>
      </c>
      <c r="E354">
        <f t="shared" si="12"/>
        <v>0</v>
      </c>
    </row>
    <row r="355" spans="4:5" x14ac:dyDescent="0.2">
      <c r="D355">
        <f t="shared" si="11"/>
        <v>0</v>
      </c>
      <c r="E355">
        <f t="shared" si="12"/>
        <v>0</v>
      </c>
    </row>
    <row r="356" spans="4:5" x14ac:dyDescent="0.2">
      <c r="D356">
        <f t="shared" si="11"/>
        <v>0</v>
      </c>
      <c r="E356">
        <f t="shared" si="12"/>
        <v>0</v>
      </c>
    </row>
    <row r="357" spans="4:5" x14ac:dyDescent="0.2">
      <c r="D357">
        <f t="shared" si="11"/>
        <v>0</v>
      </c>
      <c r="E357">
        <f t="shared" si="12"/>
        <v>0</v>
      </c>
    </row>
    <row r="358" spans="4:5" x14ac:dyDescent="0.2">
      <c r="D358">
        <f t="shared" si="11"/>
        <v>0</v>
      </c>
      <c r="E358">
        <f t="shared" si="12"/>
        <v>0</v>
      </c>
    </row>
    <row r="359" spans="4:5" x14ac:dyDescent="0.2">
      <c r="D359">
        <f t="shared" si="11"/>
        <v>0</v>
      </c>
      <c r="E359">
        <f t="shared" si="12"/>
        <v>0</v>
      </c>
    </row>
    <row r="360" spans="4:5" x14ac:dyDescent="0.2">
      <c r="D360">
        <f t="shared" si="11"/>
        <v>0</v>
      </c>
      <c r="E360">
        <f t="shared" si="12"/>
        <v>0</v>
      </c>
    </row>
    <row r="361" spans="4:5" x14ac:dyDescent="0.2">
      <c r="D361">
        <f t="shared" si="11"/>
        <v>0</v>
      </c>
      <c r="E361">
        <f t="shared" si="12"/>
        <v>0</v>
      </c>
    </row>
    <row r="362" spans="4:5" x14ac:dyDescent="0.2">
      <c r="D362">
        <f t="shared" si="11"/>
        <v>0</v>
      </c>
      <c r="E362">
        <f t="shared" si="12"/>
        <v>0</v>
      </c>
    </row>
    <row r="363" spans="4:5" x14ac:dyDescent="0.2">
      <c r="D363">
        <f t="shared" si="11"/>
        <v>0</v>
      </c>
      <c r="E363">
        <f t="shared" si="12"/>
        <v>0</v>
      </c>
    </row>
    <row r="364" spans="4:5" x14ac:dyDescent="0.2">
      <c r="D364">
        <f t="shared" si="11"/>
        <v>0</v>
      </c>
      <c r="E364">
        <f t="shared" si="12"/>
        <v>0</v>
      </c>
    </row>
    <row r="365" spans="4:5" x14ac:dyDescent="0.2">
      <c r="D365">
        <f t="shared" si="11"/>
        <v>0</v>
      </c>
      <c r="E365">
        <f t="shared" si="12"/>
        <v>0</v>
      </c>
    </row>
    <row r="366" spans="4:5" x14ac:dyDescent="0.2">
      <c r="D366">
        <f t="shared" si="11"/>
        <v>0</v>
      </c>
      <c r="E366">
        <f t="shared" si="12"/>
        <v>0</v>
      </c>
    </row>
    <row r="367" spans="4:5" x14ac:dyDescent="0.2">
      <c r="D367">
        <f t="shared" si="11"/>
        <v>0</v>
      </c>
      <c r="E367">
        <f t="shared" si="12"/>
        <v>0</v>
      </c>
    </row>
    <row r="368" spans="4:5" x14ac:dyDescent="0.2">
      <c r="D368">
        <f t="shared" si="11"/>
        <v>0</v>
      </c>
      <c r="E368">
        <f t="shared" si="12"/>
        <v>0</v>
      </c>
    </row>
    <row r="369" spans="4:5" x14ac:dyDescent="0.2">
      <c r="D369">
        <f t="shared" si="11"/>
        <v>0</v>
      </c>
      <c r="E369">
        <f t="shared" si="12"/>
        <v>0</v>
      </c>
    </row>
    <row r="370" spans="4:5" x14ac:dyDescent="0.2">
      <c r="D370">
        <f t="shared" si="11"/>
        <v>0</v>
      </c>
      <c r="E370">
        <f t="shared" si="12"/>
        <v>0</v>
      </c>
    </row>
    <row r="371" spans="4:5" x14ac:dyDescent="0.2">
      <c r="D371">
        <f t="shared" si="11"/>
        <v>0</v>
      </c>
      <c r="E371">
        <f t="shared" si="12"/>
        <v>0</v>
      </c>
    </row>
    <row r="372" spans="4:5" x14ac:dyDescent="0.2">
      <c r="D372">
        <f t="shared" si="11"/>
        <v>0</v>
      </c>
      <c r="E372">
        <f t="shared" si="12"/>
        <v>0</v>
      </c>
    </row>
    <row r="373" spans="4:5" x14ac:dyDescent="0.2">
      <c r="D373">
        <f t="shared" si="11"/>
        <v>0</v>
      </c>
      <c r="E373">
        <f t="shared" si="12"/>
        <v>0</v>
      </c>
    </row>
    <row r="374" spans="4:5" x14ac:dyDescent="0.2">
      <c r="D374">
        <f t="shared" si="11"/>
        <v>0</v>
      </c>
      <c r="E374">
        <f t="shared" si="12"/>
        <v>0</v>
      </c>
    </row>
    <row r="375" spans="4:5" x14ac:dyDescent="0.2">
      <c r="D375">
        <f t="shared" si="11"/>
        <v>0</v>
      </c>
      <c r="E375">
        <f t="shared" si="12"/>
        <v>0</v>
      </c>
    </row>
    <row r="376" spans="4:5" x14ac:dyDescent="0.2">
      <c r="D376">
        <f t="shared" si="11"/>
        <v>0</v>
      </c>
      <c r="E376">
        <f t="shared" si="12"/>
        <v>0</v>
      </c>
    </row>
    <row r="377" spans="4:5" x14ac:dyDescent="0.2">
      <c r="D377">
        <f t="shared" si="11"/>
        <v>0</v>
      </c>
      <c r="E377">
        <f t="shared" si="12"/>
        <v>0</v>
      </c>
    </row>
    <row r="378" spans="4:5" x14ac:dyDescent="0.2">
      <c r="D378">
        <f t="shared" si="11"/>
        <v>0</v>
      </c>
      <c r="E378">
        <f t="shared" si="12"/>
        <v>0</v>
      </c>
    </row>
    <row r="379" spans="4:5" x14ac:dyDescent="0.2">
      <c r="D379">
        <f t="shared" si="11"/>
        <v>0</v>
      </c>
      <c r="E379">
        <f t="shared" si="12"/>
        <v>0</v>
      </c>
    </row>
    <row r="380" spans="4:5" x14ac:dyDescent="0.2">
      <c r="D380">
        <f t="shared" si="11"/>
        <v>0</v>
      </c>
      <c r="E380">
        <f t="shared" si="12"/>
        <v>0</v>
      </c>
    </row>
    <row r="381" spans="4:5" x14ac:dyDescent="0.2">
      <c r="D381">
        <f t="shared" si="11"/>
        <v>0</v>
      </c>
      <c r="E381">
        <f t="shared" si="12"/>
        <v>0</v>
      </c>
    </row>
    <row r="382" spans="4:5" x14ac:dyDescent="0.2">
      <c r="D382">
        <f t="shared" si="11"/>
        <v>0</v>
      </c>
      <c r="E382">
        <f t="shared" si="12"/>
        <v>0</v>
      </c>
    </row>
    <row r="383" spans="4:5" x14ac:dyDescent="0.2">
      <c r="D383">
        <f t="shared" si="11"/>
        <v>0</v>
      </c>
      <c r="E383">
        <f t="shared" si="12"/>
        <v>0</v>
      </c>
    </row>
    <row r="384" spans="4:5" x14ac:dyDescent="0.2">
      <c r="D384">
        <f t="shared" si="11"/>
        <v>0</v>
      </c>
      <c r="E384">
        <f t="shared" si="12"/>
        <v>0</v>
      </c>
    </row>
    <row r="385" spans="4:5" x14ac:dyDescent="0.2">
      <c r="D385">
        <f t="shared" si="11"/>
        <v>0</v>
      </c>
      <c r="E385">
        <f t="shared" si="12"/>
        <v>0</v>
      </c>
    </row>
    <row r="386" spans="4:5" x14ac:dyDescent="0.2">
      <c r="D386">
        <f t="shared" si="11"/>
        <v>0</v>
      </c>
      <c r="E386">
        <f t="shared" si="12"/>
        <v>0</v>
      </c>
    </row>
    <row r="387" spans="4:5" x14ac:dyDescent="0.2">
      <c r="D387">
        <f t="shared" si="11"/>
        <v>0</v>
      </c>
      <c r="E387">
        <f t="shared" si="12"/>
        <v>0</v>
      </c>
    </row>
    <row r="388" spans="4:5" x14ac:dyDescent="0.2">
      <c r="D388">
        <f t="shared" si="11"/>
        <v>0</v>
      </c>
      <c r="E388">
        <f t="shared" si="12"/>
        <v>0</v>
      </c>
    </row>
    <row r="389" spans="4:5" x14ac:dyDescent="0.2">
      <c r="D389">
        <f t="shared" si="11"/>
        <v>0</v>
      </c>
      <c r="E389">
        <f t="shared" si="12"/>
        <v>0</v>
      </c>
    </row>
    <row r="390" spans="4:5" x14ac:dyDescent="0.2">
      <c r="D390">
        <f t="shared" si="11"/>
        <v>0</v>
      </c>
      <c r="E390">
        <f t="shared" si="12"/>
        <v>0</v>
      </c>
    </row>
    <row r="391" spans="4:5" x14ac:dyDescent="0.2">
      <c r="D391">
        <f t="shared" si="11"/>
        <v>0</v>
      </c>
      <c r="E391">
        <f t="shared" si="12"/>
        <v>0</v>
      </c>
    </row>
    <row r="392" spans="4:5" x14ac:dyDescent="0.2">
      <c r="D392">
        <f t="shared" si="11"/>
        <v>0</v>
      </c>
      <c r="E392">
        <f t="shared" si="12"/>
        <v>0</v>
      </c>
    </row>
    <row r="393" spans="4:5" x14ac:dyDescent="0.2">
      <c r="D393">
        <f t="shared" si="11"/>
        <v>0</v>
      </c>
      <c r="E393">
        <f t="shared" si="12"/>
        <v>0</v>
      </c>
    </row>
    <row r="394" spans="4:5" x14ac:dyDescent="0.2">
      <c r="D394">
        <f t="shared" si="11"/>
        <v>0</v>
      </c>
      <c r="E394">
        <f t="shared" si="12"/>
        <v>0</v>
      </c>
    </row>
    <row r="395" spans="4:5" x14ac:dyDescent="0.2">
      <c r="D395">
        <f t="shared" si="11"/>
        <v>0</v>
      </c>
      <c r="E395">
        <f t="shared" si="12"/>
        <v>0</v>
      </c>
    </row>
    <row r="396" spans="4:5" x14ac:dyDescent="0.2">
      <c r="D396">
        <f t="shared" si="11"/>
        <v>0</v>
      </c>
      <c r="E396">
        <f t="shared" si="12"/>
        <v>0</v>
      </c>
    </row>
    <row r="397" spans="4:5" x14ac:dyDescent="0.2">
      <c r="D397">
        <f t="shared" si="11"/>
        <v>0</v>
      </c>
      <c r="E397">
        <f t="shared" si="12"/>
        <v>0</v>
      </c>
    </row>
    <row r="398" spans="4:5" x14ac:dyDescent="0.2">
      <c r="D398">
        <f t="shared" si="11"/>
        <v>0</v>
      </c>
      <c r="E398">
        <f t="shared" si="12"/>
        <v>0</v>
      </c>
    </row>
    <row r="399" spans="4:5" x14ac:dyDescent="0.2">
      <c r="D399">
        <f t="shared" si="11"/>
        <v>0</v>
      </c>
      <c r="E399">
        <f t="shared" si="12"/>
        <v>0</v>
      </c>
    </row>
    <row r="400" spans="4:5" x14ac:dyDescent="0.2">
      <c r="D400">
        <f t="shared" si="11"/>
        <v>0</v>
      </c>
      <c r="E400">
        <f t="shared" si="12"/>
        <v>0</v>
      </c>
    </row>
    <row r="401" spans="4:5" x14ac:dyDescent="0.2">
      <c r="D401">
        <f t="shared" si="11"/>
        <v>0</v>
      </c>
      <c r="E401">
        <f t="shared" si="12"/>
        <v>0</v>
      </c>
    </row>
    <row r="402" spans="4:5" x14ac:dyDescent="0.2">
      <c r="D402">
        <f t="shared" si="11"/>
        <v>0</v>
      </c>
      <c r="E402">
        <f t="shared" si="12"/>
        <v>0</v>
      </c>
    </row>
    <row r="403" spans="4:5" x14ac:dyDescent="0.2">
      <c r="D403">
        <f t="shared" si="11"/>
        <v>0</v>
      </c>
      <c r="E403">
        <f t="shared" si="12"/>
        <v>0</v>
      </c>
    </row>
    <row r="404" spans="4:5" x14ac:dyDescent="0.2">
      <c r="D404">
        <f t="shared" si="11"/>
        <v>0</v>
      </c>
      <c r="E404">
        <f t="shared" si="12"/>
        <v>0</v>
      </c>
    </row>
    <row r="405" spans="4:5" x14ac:dyDescent="0.2">
      <c r="D405">
        <f t="shared" si="11"/>
        <v>0</v>
      </c>
      <c r="E405">
        <f t="shared" si="12"/>
        <v>0</v>
      </c>
    </row>
    <row r="406" spans="4:5" x14ac:dyDescent="0.2">
      <c r="D406">
        <f t="shared" si="11"/>
        <v>0</v>
      </c>
      <c r="E406">
        <f t="shared" si="12"/>
        <v>0</v>
      </c>
    </row>
    <row r="407" spans="4:5" x14ac:dyDescent="0.2">
      <c r="D407">
        <f t="shared" si="11"/>
        <v>0</v>
      </c>
      <c r="E407">
        <f t="shared" si="12"/>
        <v>0</v>
      </c>
    </row>
    <row r="408" spans="4:5" x14ac:dyDescent="0.2">
      <c r="D408">
        <f t="shared" si="11"/>
        <v>0</v>
      </c>
      <c r="E408">
        <f t="shared" si="12"/>
        <v>0</v>
      </c>
    </row>
    <row r="409" spans="4:5" x14ac:dyDescent="0.2">
      <c r="D409">
        <f t="shared" si="11"/>
        <v>0</v>
      </c>
      <c r="E409">
        <f t="shared" si="12"/>
        <v>0</v>
      </c>
    </row>
    <row r="410" spans="4:5" x14ac:dyDescent="0.2">
      <c r="D410">
        <f t="shared" si="11"/>
        <v>0</v>
      </c>
      <c r="E410">
        <f t="shared" si="12"/>
        <v>0</v>
      </c>
    </row>
    <row r="411" spans="4:5" x14ac:dyDescent="0.2">
      <c r="D411">
        <f t="shared" si="11"/>
        <v>0</v>
      </c>
      <c r="E411">
        <f t="shared" si="12"/>
        <v>0</v>
      </c>
    </row>
    <row r="412" spans="4:5" x14ac:dyDescent="0.2">
      <c r="D412">
        <f t="shared" si="11"/>
        <v>0</v>
      </c>
      <c r="E412">
        <f t="shared" si="12"/>
        <v>0</v>
      </c>
    </row>
    <row r="413" spans="4:5" x14ac:dyDescent="0.2">
      <c r="D413">
        <f t="shared" si="11"/>
        <v>0</v>
      </c>
      <c r="E413">
        <f t="shared" si="12"/>
        <v>0</v>
      </c>
    </row>
    <row r="414" spans="4:5" x14ac:dyDescent="0.2">
      <c r="D414">
        <f t="shared" ref="D414:D477" si="13">A414*0.3048</f>
        <v>0</v>
      </c>
      <c r="E414">
        <f t="shared" ref="E414:E477" si="14">B414*0.3048</f>
        <v>0</v>
      </c>
    </row>
    <row r="415" spans="4:5" x14ac:dyDescent="0.2">
      <c r="D415">
        <f t="shared" si="13"/>
        <v>0</v>
      </c>
      <c r="E415">
        <f t="shared" si="14"/>
        <v>0</v>
      </c>
    </row>
    <row r="416" spans="4:5" x14ac:dyDescent="0.2">
      <c r="D416">
        <f t="shared" si="13"/>
        <v>0</v>
      </c>
      <c r="E416">
        <f t="shared" si="14"/>
        <v>0</v>
      </c>
    </row>
    <row r="417" spans="4:5" x14ac:dyDescent="0.2">
      <c r="D417">
        <f t="shared" si="13"/>
        <v>0</v>
      </c>
      <c r="E417">
        <f t="shared" si="14"/>
        <v>0</v>
      </c>
    </row>
    <row r="418" spans="4:5" x14ac:dyDescent="0.2">
      <c r="D418">
        <f t="shared" si="13"/>
        <v>0</v>
      </c>
      <c r="E418">
        <f t="shared" si="14"/>
        <v>0</v>
      </c>
    </row>
    <row r="419" spans="4:5" x14ac:dyDescent="0.2">
      <c r="D419">
        <f t="shared" si="13"/>
        <v>0</v>
      </c>
      <c r="E419">
        <f t="shared" si="14"/>
        <v>0</v>
      </c>
    </row>
    <row r="420" spans="4:5" x14ac:dyDescent="0.2">
      <c r="D420">
        <f t="shared" si="13"/>
        <v>0</v>
      </c>
      <c r="E420">
        <f t="shared" si="14"/>
        <v>0</v>
      </c>
    </row>
    <row r="421" spans="4:5" x14ac:dyDescent="0.2">
      <c r="D421">
        <f t="shared" si="13"/>
        <v>0</v>
      </c>
      <c r="E421">
        <f t="shared" si="14"/>
        <v>0</v>
      </c>
    </row>
    <row r="422" spans="4:5" x14ac:dyDescent="0.2">
      <c r="D422">
        <f t="shared" si="13"/>
        <v>0</v>
      </c>
      <c r="E422">
        <f t="shared" si="14"/>
        <v>0</v>
      </c>
    </row>
    <row r="423" spans="4:5" x14ac:dyDescent="0.2">
      <c r="D423">
        <f t="shared" si="13"/>
        <v>0</v>
      </c>
      <c r="E423">
        <f t="shared" si="14"/>
        <v>0</v>
      </c>
    </row>
    <row r="424" spans="4:5" x14ac:dyDescent="0.2">
      <c r="D424">
        <f t="shared" si="13"/>
        <v>0</v>
      </c>
      <c r="E424">
        <f t="shared" si="14"/>
        <v>0</v>
      </c>
    </row>
    <row r="425" spans="4:5" x14ac:dyDescent="0.2">
      <c r="D425">
        <f t="shared" si="13"/>
        <v>0</v>
      </c>
      <c r="E425">
        <f t="shared" si="14"/>
        <v>0</v>
      </c>
    </row>
    <row r="426" spans="4:5" x14ac:dyDescent="0.2">
      <c r="D426">
        <f t="shared" si="13"/>
        <v>0</v>
      </c>
      <c r="E426">
        <f t="shared" si="14"/>
        <v>0</v>
      </c>
    </row>
    <row r="427" spans="4:5" x14ac:dyDescent="0.2">
      <c r="D427">
        <f t="shared" si="13"/>
        <v>0</v>
      </c>
      <c r="E427">
        <f t="shared" si="14"/>
        <v>0</v>
      </c>
    </row>
    <row r="428" spans="4:5" x14ac:dyDescent="0.2">
      <c r="D428">
        <f t="shared" si="13"/>
        <v>0</v>
      </c>
      <c r="E428">
        <f t="shared" si="14"/>
        <v>0</v>
      </c>
    </row>
    <row r="429" spans="4:5" x14ac:dyDescent="0.2">
      <c r="D429">
        <f t="shared" si="13"/>
        <v>0</v>
      </c>
      <c r="E429">
        <f t="shared" si="14"/>
        <v>0</v>
      </c>
    </row>
    <row r="430" spans="4:5" x14ac:dyDescent="0.2">
      <c r="D430">
        <f t="shared" si="13"/>
        <v>0</v>
      </c>
      <c r="E430">
        <f t="shared" si="14"/>
        <v>0</v>
      </c>
    </row>
    <row r="431" spans="4:5" x14ac:dyDescent="0.2">
      <c r="D431">
        <f t="shared" si="13"/>
        <v>0</v>
      </c>
      <c r="E431">
        <f t="shared" si="14"/>
        <v>0</v>
      </c>
    </row>
    <row r="432" spans="4:5" x14ac:dyDescent="0.2">
      <c r="D432">
        <f t="shared" si="13"/>
        <v>0</v>
      </c>
      <c r="E432">
        <f t="shared" si="14"/>
        <v>0</v>
      </c>
    </row>
    <row r="433" spans="4:5" x14ac:dyDescent="0.2">
      <c r="D433">
        <f t="shared" si="13"/>
        <v>0</v>
      </c>
      <c r="E433">
        <f t="shared" si="14"/>
        <v>0</v>
      </c>
    </row>
    <row r="434" spans="4:5" x14ac:dyDescent="0.2">
      <c r="D434">
        <f t="shared" si="13"/>
        <v>0</v>
      </c>
      <c r="E434">
        <f t="shared" si="14"/>
        <v>0</v>
      </c>
    </row>
    <row r="435" spans="4:5" x14ac:dyDescent="0.2">
      <c r="D435">
        <f t="shared" si="13"/>
        <v>0</v>
      </c>
      <c r="E435">
        <f t="shared" si="14"/>
        <v>0</v>
      </c>
    </row>
    <row r="436" spans="4:5" x14ac:dyDescent="0.2">
      <c r="D436">
        <f t="shared" si="13"/>
        <v>0</v>
      </c>
      <c r="E436">
        <f t="shared" si="14"/>
        <v>0</v>
      </c>
    </row>
    <row r="437" spans="4:5" x14ac:dyDescent="0.2">
      <c r="D437">
        <f t="shared" si="13"/>
        <v>0</v>
      </c>
      <c r="E437">
        <f t="shared" si="14"/>
        <v>0</v>
      </c>
    </row>
    <row r="438" spans="4:5" x14ac:dyDescent="0.2">
      <c r="D438">
        <f t="shared" si="13"/>
        <v>0</v>
      </c>
      <c r="E438">
        <f t="shared" si="14"/>
        <v>0</v>
      </c>
    </row>
    <row r="439" spans="4:5" x14ac:dyDescent="0.2">
      <c r="D439">
        <f t="shared" si="13"/>
        <v>0</v>
      </c>
      <c r="E439">
        <f t="shared" si="14"/>
        <v>0</v>
      </c>
    </row>
    <row r="440" spans="4:5" x14ac:dyDescent="0.2">
      <c r="D440">
        <f t="shared" si="13"/>
        <v>0</v>
      </c>
      <c r="E440">
        <f t="shared" si="14"/>
        <v>0</v>
      </c>
    </row>
    <row r="441" spans="4:5" x14ac:dyDescent="0.2">
      <c r="D441">
        <f t="shared" si="13"/>
        <v>0</v>
      </c>
      <c r="E441">
        <f t="shared" si="14"/>
        <v>0</v>
      </c>
    </row>
    <row r="442" spans="4:5" x14ac:dyDescent="0.2">
      <c r="D442">
        <f t="shared" si="13"/>
        <v>0</v>
      </c>
      <c r="E442">
        <f t="shared" si="14"/>
        <v>0</v>
      </c>
    </row>
    <row r="443" spans="4:5" x14ac:dyDescent="0.2">
      <c r="D443">
        <f t="shared" si="13"/>
        <v>0</v>
      </c>
      <c r="E443">
        <f t="shared" si="14"/>
        <v>0</v>
      </c>
    </row>
    <row r="444" spans="4:5" x14ac:dyDescent="0.2">
      <c r="D444">
        <f t="shared" si="13"/>
        <v>0</v>
      </c>
      <c r="E444">
        <f t="shared" si="14"/>
        <v>0</v>
      </c>
    </row>
    <row r="445" spans="4:5" x14ac:dyDescent="0.2">
      <c r="D445">
        <f t="shared" si="13"/>
        <v>0</v>
      </c>
      <c r="E445">
        <f t="shared" si="14"/>
        <v>0</v>
      </c>
    </row>
    <row r="446" spans="4:5" x14ac:dyDescent="0.2">
      <c r="D446">
        <f t="shared" si="13"/>
        <v>0</v>
      </c>
      <c r="E446">
        <f t="shared" si="14"/>
        <v>0</v>
      </c>
    </row>
    <row r="447" spans="4:5" x14ac:dyDescent="0.2">
      <c r="D447">
        <f t="shared" si="13"/>
        <v>0</v>
      </c>
      <c r="E447">
        <f t="shared" si="14"/>
        <v>0</v>
      </c>
    </row>
    <row r="448" spans="4:5" x14ac:dyDescent="0.2">
      <c r="D448">
        <f t="shared" si="13"/>
        <v>0</v>
      </c>
      <c r="E448">
        <f t="shared" si="14"/>
        <v>0</v>
      </c>
    </row>
    <row r="449" spans="4:5" x14ac:dyDescent="0.2">
      <c r="D449">
        <f t="shared" si="13"/>
        <v>0</v>
      </c>
      <c r="E449">
        <f t="shared" si="14"/>
        <v>0</v>
      </c>
    </row>
    <row r="450" spans="4:5" x14ac:dyDescent="0.2">
      <c r="D450">
        <f t="shared" si="13"/>
        <v>0</v>
      </c>
      <c r="E450">
        <f t="shared" si="14"/>
        <v>0</v>
      </c>
    </row>
    <row r="451" spans="4:5" x14ac:dyDescent="0.2">
      <c r="D451">
        <f t="shared" si="13"/>
        <v>0</v>
      </c>
      <c r="E451">
        <f t="shared" si="14"/>
        <v>0</v>
      </c>
    </row>
    <row r="452" spans="4:5" x14ac:dyDescent="0.2">
      <c r="D452">
        <f t="shared" si="13"/>
        <v>0</v>
      </c>
      <c r="E452">
        <f t="shared" si="14"/>
        <v>0</v>
      </c>
    </row>
    <row r="453" spans="4:5" x14ac:dyDescent="0.2">
      <c r="D453">
        <f t="shared" si="13"/>
        <v>0</v>
      </c>
      <c r="E453">
        <f t="shared" si="14"/>
        <v>0</v>
      </c>
    </row>
    <row r="454" spans="4:5" x14ac:dyDescent="0.2">
      <c r="D454">
        <f t="shared" si="13"/>
        <v>0</v>
      </c>
      <c r="E454">
        <f t="shared" si="14"/>
        <v>0</v>
      </c>
    </row>
    <row r="455" spans="4:5" x14ac:dyDescent="0.2">
      <c r="D455">
        <f t="shared" si="13"/>
        <v>0</v>
      </c>
      <c r="E455">
        <f t="shared" si="14"/>
        <v>0</v>
      </c>
    </row>
    <row r="456" spans="4:5" x14ac:dyDescent="0.2">
      <c r="D456">
        <f t="shared" si="13"/>
        <v>0</v>
      </c>
      <c r="E456">
        <f t="shared" si="14"/>
        <v>0</v>
      </c>
    </row>
    <row r="457" spans="4:5" x14ac:dyDescent="0.2">
      <c r="D457">
        <f t="shared" si="13"/>
        <v>0</v>
      </c>
      <c r="E457">
        <f t="shared" si="14"/>
        <v>0</v>
      </c>
    </row>
    <row r="458" spans="4:5" x14ac:dyDescent="0.2">
      <c r="D458">
        <f t="shared" si="13"/>
        <v>0</v>
      </c>
      <c r="E458">
        <f t="shared" si="14"/>
        <v>0</v>
      </c>
    </row>
    <row r="459" spans="4:5" x14ac:dyDescent="0.2">
      <c r="D459">
        <f t="shared" si="13"/>
        <v>0</v>
      </c>
      <c r="E459">
        <f t="shared" si="14"/>
        <v>0</v>
      </c>
    </row>
    <row r="460" spans="4:5" x14ac:dyDescent="0.2">
      <c r="D460">
        <f t="shared" si="13"/>
        <v>0</v>
      </c>
      <c r="E460">
        <f t="shared" si="14"/>
        <v>0</v>
      </c>
    </row>
    <row r="461" spans="4:5" x14ac:dyDescent="0.2">
      <c r="D461">
        <f t="shared" si="13"/>
        <v>0</v>
      </c>
      <c r="E461">
        <f t="shared" si="14"/>
        <v>0</v>
      </c>
    </row>
    <row r="462" spans="4:5" x14ac:dyDescent="0.2">
      <c r="D462">
        <f t="shared" si="13"/>
        <v>0</v>
      </c>
      <c r="E462">
        <f t="shared" si="14"/>
        <v>0</v>
      </c>
    </row>
    <row r="463" spans="4:5" x14ac:dyDescent="0.2">
      <c r="D463">
        <f t="shared" si="13"/>
        <v>0</v>
      </c>
      <c r="E463">
        <f t="shared" si="14"/>
        <v>0</v>
      </c>
    </row>
    <row r="464" spans="4:5" x14ac:dyDescent="0.2">
      <c r="D464">
        <f t="shared" si="13"/>
        <v>0</v>
      </c>
      <c r="E464">
        <f t="shared" si="14"/>
        <v>0</v>
      </c>
    </row>
    <row r="465" spans="4:5" x14ac:dyDescent="0.2">
      <c r="D465">
        <f t="shared" si="13"/>
        <v>0</v>
      </c>
      <c r="E465">
        <f t="shared" si="14"/>
        <v>0</v>
      </c>
    </row>
    <row r="466" spans="4:5" x14ac:dyDescent="0.2">
      <c r="D466">
        <f t="shared" si="13"/>
        <v>0</v>
      </c>
      <c r="E466">
        <f t="shared" si="14"/>
        <v>0</v>
      </c>
    </row>
    <row r="467" spans="4:5" x14ac:dyDescent="0.2">
      <c r="D467">
        <f t="shared" si="13"/>
        <v>0</v>
      </c>
      <c r="E467">
        <f t="shared" si="14"/>
        <v>0</v>
      </c>
    </row>
    <row r="468" spans="4:5" x14ac:dyDescent="0.2">
      <c r="D468">
        <f t="shared" si="13"/>
        <v>0</v>
      </c>
      <c r="E468">
        <f t="shared" si="14"/>
        <v>0</v>
      </c>
    </row>
    <row r="469" spans="4:5" x14ac:dyDescent="0.2">
      <c r="D469">
        <f t="shared" si="13"/>
        <v>0</v>
      </c>
      <c r="E469">
        <f t="shared" si="14"/>
        <v>0</v>
      </c>
    </row>
    <row r="470" spans="4:5" x14ac:dyDescent="0.2">
      <c r="D470">
        <f t="shared" si="13"/>
        <v>0</v>
      </c>
      <c r="E470">
        <f t="shared" si="14"/>
        <v>0</v>
      </c>
    </row>
    <row r="471" spans="4:5" x14ac:dyDescent="0.2">
      <c r="D471">
        <f t="shared" si="13"/>
        <v>0</v>
      </c>
      <c r="E471">
        <f t="shared" si="14"/>
        <v>0</v>
      </c>
    </row>
    <row r="472" spans="4:5" x14ac:dyDescent="0.2">
      <c r="D472">
        <f t="shared" si="13"/>
        <v>0</v>
      </c>
      <c r="E472">
        <f t="shared" si="14"/>
        <v>0</v>
      </c>
    </row>
    <row r="473" spans="4:5" x14ac:dyDescent="0.2">
      <c r="D473">
        <f t="shared" si="13"/>
        <v>0</v>
      </c>
      <c r="E473">
        <f t="shared" si="14"/>
        <v>0</v>
      </c>
    </row>
    <row r="474" spans="4:5" x14ac:dyDescent="0.2">
      <c r="D474">
        <f t="shared" si="13"/>
        <v>0</v>
      </c>
      <c r="E474">
        <f t="shared" si="14"/>
        <v>0</v>
      </c>
    </row>
    <row r="475" spans="4:5" x14ac:dyDescent="0.2">
      <c r="D475">
        <f t="shared" si="13"/>
        <v>0</v>
      </c>
      <c r="E475">
        <f t="shared" si="14"/>
        <v>0</v>
      </c>
    </row>
    <row r="476" spans="4:5" x14ac:dyDescent="0.2">
      <c r="D476">
        <f t="shared" si="13"/>
        <v>0</v>
      </c>
      <c r="E476">
        <f t="shared" si="14"/>
        <v>0</v>
      </c>
    </row>
    <row r="477" spans="4:5" x14ac:dyDescent="0.2">
      <c r="D477">
        <f t="shared" si="13"/>
        <v>0</v>
      </c>
      <c r="E477">
        <f t="shared" si="14"/>
        <v>0</v>
      </c>
    </row>
    <row r="478" spans="4:5" x14ac:dyDescent="0.2">
      <c r="D478">
        <f t="shared" ref="D478:D541" si="15">A478*0.3048</f>
        <v>0</v>
      </c>
      <c r="E478">
        <f t="shared" ref="E478:E541" si="16">B478*0.3048</f>
        <v>0</v>
      </c>
    </row>
    <row r="479" spans="4:5" x14ac:dyDescent="0.2">
      <c r="D479">
        <f t="shared" si="15"/>
        <v>0</v>
      </c>
      <c r="E479">
        <f t="shared" si="16"/>
        <v>0</v>
      </c>
    </row>
    <row r="480" spans="4:5" x14ac:dyDescent="0.2">
      <c r="D480">
        <f t="shared" si="15"/>
        <v>0</v>
      </c>
      <c r="E480">
        <f t="shared" si="16"/>
        <v>0</v>
      </c>
    </row>
    <row r="481" spans="4:5" x14ac:dyDescent="0.2">
      <c r="D481">
        <f t="shared" si="15"/>
        <v>0</v>
      </c>
      <c r="E481">
        <f t="shared" si="16"/>
        <v>0</v>
      </c>
    </row>
    <row r="482" spans="4:5" x14ac:dyDescent="0.2">
      <c r="D482">
        <f t="shared" si="15"/>
        <v>0</v>
      </c>
      <c r="E482">
        <f t="shared" si="16"/>
        <v>0</v>
      </c>
    </row>
    <row r="483" spans="4:5" x14ac:dyDescent="0.2">
      <c r="D483">
        <f t="shared" si="15"/>
        <v>0</v>
      </c>
      <c r="E483">
        <f t="shared" si="16"/>
        <v>0</v>
      </c>
    </row>
    <row r="484" spans="4:5" x14ac:dyDescent="0.2">
      <c r="D484">
        <f t="shared" si="15"/>
        <v>0</v>
      </c>
      <c r="E484">
        <f t="shared" si="16"/>
        <v>0</v>
      </c>
    </row>
    <row r="485" spans="4:5" x14ac:dyDescent="0.2">
      <c r="D485">
        <f t="shared" si="15"/>
        <v>0</v>
      </c>
      <c r="E485">
        <f t="shared" si="16"/>
        <v>0</v>
      </c>
    </row>
    <row r="486" spans="4:5" x14ac:dyDescent="0.2">
      <c r="D486">
        <f t="shared" si="15"/>
        <v>0</v>
      </c>
      <c r="E486">
        <f t="shared" si="16"/>
        <v>0</v>
      </c>
    </row>
    <row r="487" spans="4:5" x14ac:dyDescent="0.2">
      <c r="D487">
        <f t="shared" si="15"/>
        <v>0</v>
      </c>
      <c r="E487">
        <f t="shared" si="16"/>
        <v>0</v>
      </c>
    </row>
    <row r="488" spans="4:5" x14ac:dyDescent="0.2">
      <c r="D488">
        <f t="shared" si="15"/>
        <v>0</v>
      </c>
      <c r="E488">
        <f t="shared" si="16"/>
        <v>0</v>
      </c>
    </row>
    <row r="489" spans="4:5" x14ac:dyDescent="0.2">
      <c r="D489">
        <f t="shared" si="15"/>
        <v>0</v>
      </c>
      <c r="E489">
        <f t="shared" si="16"/>
        <v>0</v>
      </c>
    </row>
    <row r="490" spans="4:5" x14ac:dyDescent="0.2">
      <c r="D490">
        <f t="shared" si="15"/>
        <v>0</v>
      </c>
      <c r="E490">
        <f t="shared" si="16"/>
        <v>0</v>
      </c>
    </row>
    <row r="491" spans="4:5" x14ac:dyDescent="0.2">
      <c r="D491">
        <f t="shared" si="15"/>
        <v>0</v>
      </c>
      <c r="E491">
        <f t="shared" si="16"/>
        <v>0</v>
      </c>
    </row>
    <row r="492" spans="4:5" x14ac:dyDescent="0.2">
      <c r="D492">
        <f t="shared" si="15"/>
        <v>0</v>
      </c>
      <c r="E492">
        <f t="shared" si="16"/>
        <v>0</v>
      </c>
    </row>
    <row r="493" spans="4:5" x14ac:dyDescent="0.2">
      <c r="D493">
        <f t="shared" si="15"/>
        <v>0</v>
      </c>
      <c r="E493">
        <f t="shared" si="16"/>
        <v>0</v>
      </c>
    </row>
    <row r="494" spans="4:5" x14ac:dyDescent="0.2">
      <c r="D494">
        <f t="shared" si="15"/>
        <v>0</v>
      </c>
      <c r="E494">
        <f t="shared" si="16"/>
        <v>0</v>
      </c>
    </row>
    <row r="495" spans="4:5" x14ac:dyDescent="0.2">
      <c r="D495">
        <f t="shared" si="15"/>
        <v>0</v>
      </c>
      <c r="E495">
        <f t="shared" si="16"/>
        <v>0</v>
      </c>
    </row>
    <row r="496" spans="4:5" x14ac:dyDescent="0.2">
      <c r="D496">
        <f t="shared" si="15"/>
        <v>0</v>
      </c>
      <c r="E496">
        <f t="shared" si="16"/>
        <v>0</v>
      </c>
    </row>
    <row r="497" spans="4:5" x14ac:dyDescent="0.2">
      <c r="D497">
        <f t="shared" si="15"/>
        <v>0</v>
      </c>
      <c r="E497">
        <f t="shared" si="16"/>
        <v>0</v>
      </c>
    </row>
    <row r="498" spans="4:5" x14ac:dyDescent="0.2">
      <c r="D498">
        <f t="shared" si="15"/>
        <v>0</v>
      </c>
      <c r="E498">
        <f t="shared" si="16"/>
        <v>0</v>
      </c>
    </row>
    <row r="499" spans="4:5" x14ac:dyDescent="0.2">
      <c r="D499">
        <f t="shared" si="15"/>
        <v>0</v>
      </c>
      <c r="E499">
        <f t="shared" si="16"/>
        <v>0</v>
      </c>
    </row>
    <row r="500" spans="4:5" x14ac:dyDescent="0.2">
      <c r="D500">
        <f t="shared" si="15"/>
        <v>0</v>
      </c>
      <c r="E500">
        <f t="shared" si="16"/>
        <v>0</v>
      </c>
    </row>
    <row r="501" spans="4:5" x14ac:dyDescent="0.2">
      <c r="D501">
        <f t="shared" si="15"/>
        <v>0</v>
      </c>
      <c r="E501">
        <f t="shared" si="16"/>
        <v>0</v>
      </c>
    </row>
    <row r="502" spans="4:5" x14ac:dyDescent="0.2">
      <c r="D502">
        <f t="shared" si="15"/>
        <v>0</v>
      </c>
      <c r="E502">
        <f t="shared" si="16"/>
        <v>0</v>
      </c>
    </row>
    <row r="503" spans="4:5" x14ac:dyDescent="0.2">
      <c r="D503">
        <f t="shared" si="15"/>
        <v>0</v>
      </c>
      <c r="E503">
        <f t="shared" si="16"/>
        <v>0</v>
      </c>
    </row>
    <row r="504" spans="4:5" x14ac:dyDescent="0.2">
      <c r="D504">
        <f t="shared" si="15"/>
        <v>0</v>
      </c>
      <c r="E504">
        <f t="shared" si="16"/>
        <v>0</v>
      </c>
    </row>
    <row r="505" spans="4:5" x14ac:dyDescent="0.2">
      <c r="D505">
        <f t="shared" si="15"/>
        <v>0</v>
      </c>
      <c r="E505">
        <f t="shared" si="16"/>
        <v>0</v>
      </c>
    </row>
    <row r="506" spans="4:5" x14ac:dyDescent="0.2">
      <c r="D506">
        <f t="shared" si="15"/>
        <v>0</v>
      </c>
      <c r="E506">
        <f t="shared" si="16"/>
        <v>0</v>
      </c>
    </row>
    <row r="507" spans="4:5" x14ac:dyDescent="0.2">
      <c r="D507">
        <f t="shared" si="15"/>
        <v>0</v>
      </c>
      <c r="E507">
        <f t="shared" si="16"/>
        <v>0</v>
      </c>
    </row>
    <row r="508" spans="4:5" x14ac:dyDescent="0.2">
      <c r="D508">
        <f t="shared" si="15"/>
        <v>0</v>
      </c>
      <c r="E508">
        <f t="shared" si="16"/>
        <v>0</v>
      </c>
    </row>
    <row r="509" spans="4:5" x14ac:dyDescent="0.2">
      <c r="D509">
        <f t="shared" si="15"/>
        <v>0</v>
      </c>
      <c r="E509">
        <f t="shared" si="16"/>
        <v>0</v>
      </c>
    </row>
    <row r="510" spans="4:5" x14ac:dyDescent="0.2">
      <c r="D510">
        <f t="shared" si="15"/>
        <v>0</v>
      </c>
      <c r="E510">
        <f t="shared" si="16"/>
        <v>0</v>
      </c>
    </row>
    <row r="511" spans="4:5" x14ac:dyDescent="0.2">
      <c r="D511">
        <f t="shared" si="15"/>
        <v>0</v>
      </c>
      <c r="E511">
        <f t="shared" si="16"/>
        <v>0</v>
      </c>
    </row>
    <row r="512" spans="4:5" x14ac:dyDescent="0.2">
      <c r="D512">
        <f t="shared" si="15"/>
        <v>0</v>
      </c>
      <c r="E512">
        <f t="shared" si="16"/>
        <v>0</v>
      </c>
    </row>
    <row r="513" spans="4:5" x14ac:dyDescent="0.2">
      <c r="D513">
        <f t="shared" si="15"/>
        <v>0</v>
      </c>
      <c r="E513">
        <f t="shared" si="16"/>
        <v>0</v>
      </c>
    </row>
    <row r="514" spans="4:5" x14ac:dyDescent="0.2">
      <c r="D514">
        <f t="shared" si="15"/>
        <v>0</v>
      </c>
      <c r="E514">
        <f t="shared" si="16"/>
        <v>0</v>
      </c>
    </row>
    <row r="515" spans="4:5" x14ac:dyDescent="0.2">
      <c r="D515">
        <f t="shared" si="15"/>
        <v>0</v>
      </c>
      <c r="E515">
        <f t="shared" si="16"/>
        <v>0</v>
      </c>
    </row>
    <row r="516" spans="4:5" x14ac:dyDescent="0.2">
      <c r="D516">
        <f t="shared" si="15"/>
        <v>0</v>
      </c>
      <c r="E516">
        <f t="shared" si="16"/>
        <v>0</v>
      </c>
    </row>
    <row r="517" spans="4:5" x14ac:dyDescent="0.2">
      <c r="D517">
        <f t="shared" si="15"/>
        <v>0</v>
      </c>
      <c r="E517">
        <f t="shared" si="16"/>
        <v>0</v>
      </c>
    </row>
    <row r="518" spans="4:5" x14ac:dyDescent="0.2">
      <c r="D518">
        <f t="shared" si="15"/>
        <v>0</v>
      </c>
      <c r="E518">
        <f t="shared" si="16"/>
        <v>0</v>
      </c>
    </row>
    <row r="519" spans="4:5" x14ac:dyDescent="0.2">
      <c r="D519">
        <f t="shared" si="15"/>
        <v>0</v>
      </c>
      <c r="E519">
        <f t="shared" si="16"/>
        <v>0</v>
      </c>
    </row>
    <row r="520" spans="4:5" x14ac:dyDescent="0.2">
      <c r="D520">
        <f t="shared" si="15"/>
        <v>0</v>
      </c>
      <c r="E520">
        <f t="shared" si="16"/>
        <v>0</v>
      </c>
    </row>
    <row r="521" spans="4:5" x14ac:dyDescent="0.2">
      <c r="D521">
        <f t="shared" si="15"/>
        <v>0</v>
      </c>
      <c r="E521">
        <f t="shared" si="16"/>
        <v>0</v>
      </c>
    </row>
    <row r="522" spans="4:5" x14ac:dyDescent="0.2">
      <c r="D522">
        <f t="shared" si="15"/>
        <v>0</v>
      </c>
      <c r="E522">
        <f t="shared" si="16"/>
        <v>0</v>
      </c>
    </row>
    <row r="523" spans="4:5" x14ac:dyDescent="0.2">
      <c r="D523">
        <f t="shared" si="15"/>
        <v>0</v>
      </c>
      <c r="E523">
        <f t="shared" si="16"/>
        <v>0</v>
      </c>
    </row>
    <row r="524" spans="4:5" x14ac:dyDescent="0.2">
      <c r="D524">
        <f t="shared" si="15"/>
        <v>0</v>
      </c>
      <c r="E524">
        <f t="shared" si="16"/>
        <v>0</v>
      </c>
    </row>
    <row r="525" spans="4:5" x14ac:dyDescent="0.2">
      <c r="D525">
        <f t="shared" si="15"/>
        <v>0</v>
      </c>
      <c r="E525">
        <f t="shared" si="16"/>
        <v>0</v>
      </c>
    </row>
    <row r="526" spans="4:5" x14ac:dyDescent="0.2">
      <c r="D526">
        <f t="shared" si="15"/>
        <v>0</v>
      </c>
      <c r="E526">
        <f t="shared" si="16"/>
        <v>0</v>
      </c>
    </row>
    <row r="527" spans="4:5" x14ac:dyDescent="0.2">
      <c r="D527">
        <f t="shared" si="15"/>
        <v>0</v>
      </c>
      <c r="E527">
        <f t="shared" si="16"/>
        <v>0</v>
      </c>
    </row>
    <row r="528" spans="4:5" x14ac:dyDescent="0.2">
      <c r="D528">
        <f t="shared" si="15"/>
        <v>0</v>
      </c>
      <c r="E528">
        <f t="shared" si="16"/>
        <v>0</v>
      </c>
    </row>
    <row r="529" spans="4:5" x14ac:dyDescent="0.2">
      <c r="D529">
        <f t="shared" si="15"/>
        <v>0</v>
      </c>
      <c r="E529">
        <f t="shared" si="16"/>
        <v>0</v>
      </c>
    </row>
    <row r="530" spans="4:5" x14ac:dyDescent="0.2">
      <c r="D530">
        <f t="shared" si="15"/>
        <v>0</v>
      </c>
      <c r="E530">
        <f t="shared" si="16"/>
        <v>0</v>
      </c>
    </row>
    <row r="531" spans="4:5" x14ac:dyDescent="0.2">
      <c r="D531">
        <f t="shared" si="15"/>
        <v>0</v>
      </c>
      <c r="E531">
        <f t="shared" si="16"/>
        <v>0</v>
      </c>
    </row>
    <row r="532" spans="4:5" x14ac:dyDescent="0.2">
      <c r="D532">
        <f t="shared" si="15"/>
        <v>0</v>
      </c>
      <c r="E532">
        <f t="shared" si="16"/>
        <v>0</v>
      </c>
    </row>
    <row r="533" spans="4:5" x14ac:dyDescent="0.2">
      <c r="D533">
        <f t="shared" si="15"/>
        <v>0</v>
      </c>
      <c r="E533">
        <f t="shared" si="16"/>
        <v>0</v>
      </c>
    </row>
    <row r="534" spans="4:5" x14ac:dyDescent="0.2">
      <c r="D534">
        <f t="shared" si="15"/>
        <v>0</v>
      </c>
      <c r="E534">
        <f t="shared" si="16"/>
        <v>0</v>
      </c>
    </row>
    <row r="535" spans="4:5" x14ac:dyDescent="0.2">
      <c r="D535">
        <f t="shared" si="15"/>
        <v>0</v>
      </c>
      <c r="E535">
        <f t="shared" si="16"/>
        <v>0</v>
      </c>
    </row>
    <row r="536" spans="4:5" x14ac:dyDescent="0.2">
      <c r="D536">
        <f t="shared" si="15"/>
        <v>0</v>
      </c>
      <c r="E536">
        <f t="shared" si="16"/>
        <v>0</v>
      </c>
    </row>
    <row r="537" spans="4:5" x14ac:dyDescent="0.2">
      <c r="D537">
        <f t="shared" si="15"/>
        <v>0</v>
      </c>
      <c r="E537">
        <f t="shared" si="16"/>
        <v>0</v>
      </c>
    </row>
    <row r="538" spans="4:5" x14ac:dyDescent="0.2">
      <c r="D538">
        <f t="shared" si="15"/>
        <v>0</v>
      </c>
      <c r="E538">
        <f t="shared" si="16"/>
        <v>0</v>
      </c>
    </row>
    <row r="539" spans="4:5" x14ac:dyDescent="0.2">
      <c r="D539">
        <f t="shared" si="15"/>
        <v>0</v>
      </c>
      <c r="E539">
        <f t="shared" si="16"/>
        <v>0</v>
      </c>
    </row>
    <row r="540" spans="4:5" x14ac:dyDescent="0.2">
      <c r="D540">
        <f t="shared" si="15"/>
        <v>0</v>
      </c>
      <c r="E540">
        <f t="shared" si="16"/>
        <v>0</v>
      </c>
    </row>
    <row r="541" spans="4:5" x14ac:dyDescent="0.2">
      <c r="D541">
        <f t="shared" si="15"/>
        <v>0</v>
      </c>
      <c r="E541">
        <f t="shared" si="16"/>
        <v>0</v>
      </c>
    </row>
    <row r="542" spans="4:5" x14ac:dyDescent="0.2">
      <c r="D542">
        <f t="shared" ref="D542:D605" si="17">A542*0.3048</f>
        <v>0</v>
      </c>
      <c r="E542">
        <f t="shared" ref="E542:E605" si="18">B542*0.3048</f>
        <v>0</v>
      </c>
    </row>
    <row r="543" spans="4:5" x14ac:dyDescent="0.2">
      <c r="D543">
        <f t="shared" si="17"/>
        <v>0</v>
      </c>
      <c r="E543">
        <f t="shared" si="18"/>
        <v>0</v>
      </c>
    </row>
    <row r="544" spans="4:5" x14ac:dyDescent="0.2">
      <c r="D544">
        <f t="shared" si="17"/>
        <v>0</v>
      </c>
      <c r="E544">
        <f t="shared" si="18"/>
        <v>0</v>
      </c>
    </row>
    <row r="545" spans="4:5" x14ac:dyDescent="0.2">
      <c r="D545">
        <f t="shared" si="17"/>
        <v>0</v>
      </c>
      <c r="E545">
        <f t="shared" si="18"/>
        <v>0</v>
      </c>
    </row>
    <row r="546" spans="4:5" x14ac:dyDescent="0.2">
      <c r="D546">
        <f t="shared" si="17"/>
        <v>0</v>
      </c>
      <c r="E546">
        <f t="shared" si="18"/>
        <v>0</v>
      </c>
    </row>
    <row r="547" spans="4:5" x14ac:dyDescent="0.2">
      <c r="D547">
        <f t="shared" si="17"/>
        <v>0</v>
      </c>
      <c r="E547">
        <f t="shared" si="18"/>
        <v>0</v>
      </c>
    </row>
    <row r="548" spans="4:5" x14ac:dyDescent="0.2">
      <c r="D548">
        <f t="shared" si="17"/>
        <v>0</v>
      </c>
      <c r="E548">
        <f t="shared" si="18"/>
        <v>0</v>
      </c>
    </row>
    <row r="549" spans="4:5" x14ac:dyDescent="0.2">
      <c r="D549">
        <f t="shared" si="17"/>
        <v>0</v>
      </c>
      <c r="E549">
        <f t="shared" si="18"/>
        <v>0</v>
      </c>
    </row>
    <row r="550" spans="4:5" x14ac:dyDescent="0.2">
      <c r="D550">
        <f t="shared" si="17"/>
        <v>0</v>
      </c>
      <c r="E550">
        <f t="shared" si="18"/>
        <v>0</v>
      </c>
    </row>
    <row r="551" spans="4:5" x14ac:dyDescent="0.2">
      <c r="D551">
        <f t="shared" si="17"/>
        <v>0</v>
      </c>
      <c r="E551">
        <f t="shared" si="18"/>
        <v>0</v>
      </c>
    </row>
    <row r="552" spans="4:5" x14ac:dyDescent="0.2">
      <c r="D552">
        <f t="shared" si="17"/>
        <v>0</v>
      </c>
      <c r="E552">
        <f t="shared" si="18"/>
        <v>0</v>
      </c>
    </row>
    <row r="553" spans="4:5" x14ac:dyDescent="0.2">
      <c r="D553">
        <f t="shared" si="17"/>
        <v>0</v>
      </c>
      <c r="E553">
        <f t="shared" si="18"/>
        <v>0</v>
      </c>
    </row>
    <row r="554" spans="4:5" x14ac:dyDescent="0.2">
      <c r="D554">
        <f t="shared" si="17"/>
        <v>0</v>
      </c>
      <c r="E554">
        <f t="shared" si="18"/>
        <v>0</v>
      </c>
    </row>
    <row r="555" spans="4:5" x14ac:dyDescent="0.2">
      <c r="D555">
        <f t="shared" si="17"/>
        <v>0</v>
      </c>
      <c r="E555">
        <f t="shared" si="18"/>
        <v>0</v>
      </c>
    </row>
    <row r="556" spans="4:5" x14ac:dyDescent="0.2">
      <c r="D556">
        <f t="shared" si="17"/>
        <v>0</v>
      </c>
      <c r="E556">
        <f t="shared" si="18"/>
        <v>0</v>
      </c>
    </row>
    <row r="557" spans="4:5" x14ac:dyDescent="0.2">
      <c r="D557">
        <f t="shared" si="17"/>
        <v>0</v>
      </c>
      <c r="E557">
        <f t="shared" si="18"/>
        <v>0</v>
      </c>
    </row>
    <row r="558" spans="4:5" x14ac:dyDescent="0.2">
      <c r="D558">
        <f t="shared" si="17"/>
        <v>0</v>
      </c>
      <c r="E558">
        <f t="shared" si="18"/>
        <v>0</v>
      </c>
    </row>
    <row r="559" spans="4:5" x14ac:dyDescent="0.2">
      <c r="D559">
        <f t="shared" si="17"/>
        <v>0</v>
      </c>
      <c r="E559">
        <f t="shared" si="18"/>
        <v>0</v>
      </c>
    </row>
    <row r="560" spans="4:5" x14ac:dyDescent="0.2">
      <c r="D560">
        <f t="shared" si="17"/>
        <v>0</v>
      </c>
      <c r="E560">
        <f t="shared" si="18"/>
        <v>0</v>
      </c>
    </row>
    <row r="561" spans="4:5" x14ac:dyDescent="0.2">
      <c r="D561">
        <f t="shared" si="17"/>
        <v>0</v>
      </c>
      <c r="E561">
        <f t="shared" si="18"/>
        <v>0</v>
      </c>
    </row>
    <row r="562" spans="4:5" x14ac:dyDescent="0.2">
      <c r="D562">
        <f t="shared" si="17"/>
        <v>0</v>
      </c>
      <c r="E562">
        <f t="shared" si="18"/>
        <v>0</v>
      </c>
    </row>
    <row r="563" spans="4:5" x14ac:dyDescent="0.2">
      <c r="D563">
        <f t="shared" si="17"/>
        <v>0</v>
      </c>
      <c r="E563">
        <f t="shared" si="18"/>
        <v>0</v>
      </c>
    </row>
    <row r="564" spans="4:5" x14ac:dyDescent="0.2">
      <c r="D564">
        <f t="shared" si="17"/>
        <v>0</v>
      </c>
      <c r="E564">
        <f t="shared" si="18"/>
        <v>0</v>
      </c>
    </row>
    <row r="565" spans="4:5" x14ac:dyDescent="0.2">
      <c r="D565">
        <f t="shared" si="17"/>
        <v>0</v>
      </c>
      <c r="E565">
        <f t="shared" si="18"/>
        <v>0</v>
      </c>
    </row>
    <row r="566" spans="4:5" x14ac:dyDescent="0.2">
      <c r="D566">
        <f t="shared" si="17"/>
        <v>0</v>
      </c>
      <c r="E566">
        <f t="shared" si="18"/>
        <v>0</v>
      </c>
    </row>
    <row r="567" spans="4:5" x14ac:dyDescent="0.2">
      <c r="D567">
        <f t="shared" si="17"/>
        <v>0</v>
      </c>
      <c r="E567">
        <f t="shared" si="18"/>
        <v>0</v>
      </c>
    </row>
    <row r="568" spans="4:5" x14ac:dyDescent="0.2">
      <c r="D568">
        <f t="shared" si="17"/>
        <v>0</v>
      </c>
      <c r="E568">
        <f t="shared" si="18"/>
        <v>0</v>
      </c>
    </row>
    <row r="569" spans="4:5" x14ac:dyDescent="0.2">
      <c r="D569">
        <f t="shared" si="17"/>
        <v>0</v>
      </c>
      <c r="E569">
        <f t="shared" si="18"/>
        <v>0</v>
      </c>
    </row>
    <row r="570" spans="4:5" x14ac:dyDescent="0.2">
      <c r="D570">
        <f t="shared" si="17"/>
        <v>0</v>
      </c>
      <c r="E570">
        <f t="shared" si="18"/>
        <v>0</v>
      </c>
    </row>
    <row r="571" spans="4:5" x14ac:dyDescent="0.2">
      <c r="D571">
        <f t="shared" si="17"/>
        <v>0</v>
      </c>
      <c r="E571">
        <f t="shared" si="18"/>
        <v>0</v>
      </c>
    </row>
    <row r="572" spans="4:5" x14ac:dyDescent="0.2">
      <c r="D572">
        <f t="shared" si="17"/>
        <v>0</v>
      </c>
      <c r="E572">
        <f t="shared" si="18"/>
        <v>0</v>
      </c>
    </row>
    <row r="573" spans="4:5" x14ac:dyDescent="0.2">
      <c r="D573">
        <f t="shared" si="17"/>
        <v>0</v>
      </c>
      <c r="E573">
        <f t="shared" si="18"/>
        <v>0</v>
      </c>
    </row>
    <row r="574" spans="4:5" x14ac:dyDescent="0.2">
      <c r="D574">
        <f t="shared" si="17"/>
        <v>0</v>
      </c>
      <c r="E574">
        <f t="shared" si="18"/>
        <v>0</v>
      </c>
    </row>
    <row r="575" spans="4:5" x14ac:dyDescent="0.2">
      <c r="D575">
        <f t="shared" si="17"/>
        <v>0</v>
      </c>
      <c r="E575">
        <f t="shared" si="18"/>
        <v>0</v>
      </c>
    </row>
    <row r="576" spans="4:5" x14ac:dyDescent="0.2">
      <c r="D576">
        <f t="shared" si="17"/>
        <v>0</v>
      </c>
      <c r="E576">
        <f t="shared" si="18"/>
        <v>0</v>
      </c>
    </row>
    <row r="577" spans="4:5" x14ac:dyDescent="0.2">
      <c r="D577">
        <f t="shared" si="17"/>
        <v>0</v>
      </c>
      <c r="E577">
        <f t="shared" si="18"/>
        <v>0</v>
      </c>
    </row>
    <row r="578" spans="4:5" x14ac:dyDescent="0.2">
      <c r="D578">
        <f t="shared" si="17"/>
        <v>0</v>
      </c>
      <c r="E578">
        <f t="shared" si="18"/>
        <v>0</v>
      </c>
    </row>
    <row r="579" spans="4:5" x14ac:dyDescent="0.2">
      <c r="D579">
        <f t="shared" si="17"/>
        <v>0</v>
      </c>
      <c r="E579">
        <f t="shared" si="18"/>
        <v>0</v>
      </c>
    </row>
    <row r="580" spans="4:5" x14ac:dyDescent="0.2">
      <c r="D580">
        <f t="shared" si="17"/>
        <v>0</v>
      </c>
      <c r="E580">
        <f t="shared" si="18"/>
        <v>0</v>
      </c>
    </row>
    <row r="581" spans="4:5" x14ac:dyDescent="0.2">
      <c r="D581">
        <f t="shared" si="17"/>
        <v>0</v>
      </c>
      <c r="E581">
        <f t="shared" si="18"/>
        <v>0</v>
      </c>
    </row>
    <row r="582" spans="4:5" x14ac:dyDescent="0.2">
      <c r="D582">
        <f t="shared" si="17"/>
        <v>0</v>
      </c>
      <c r="E582">
        <f t="shared" si="18"/>
        <v>0</v>
      </c>
    </row>
    <row r="583" spans="4:5" x14ac:dyDescent="0.2">
      <c r="D583">
        <f t="shared" si="17"/>
        <v>0</v>
      </c>
      <c r="E583">
        <f t="shared" si="18"/>
        <v>0</v>
      </c>
    </row>
    <row r="584" spans="4:5" x14ac:dyDescent="0.2">
      <c r="D584">
        <f t="shared" si="17"/>
        <v>0</v>
      </c>
      <c r="E584">
        <f t="shared" si="18"/>
        <v>0</v>
      </c>
    </row>
    <row r="585" spans="4:5" x14ac:dyDescent="0.2">
      <c r="D585">
        <f t="shared" si="17"/>
        <v>0</v>
      </c>
      <c r="E585">
        <f t="shared" si="18"/>
        <v>0</v>
      </c>
    </row>
    <row r="586" spans="4:5" x14ac:dyDescent="0.2">
      <c r="D586">
        <f t="shared" si="17"/>
        <v>0</v>
      </c>
      <c r="E586">
        <f t="shared" si="18"/>
        <v>0</v>
      </c>
    </row>
    <row r="587" spans="4:5" x14ac:dyDescent="0.2">
      <c r="D587">
        <f t="shared" si="17"/>
        <v>0</v>
      </c>
      <c r="E587">
        <f t="shared" si="18"/>
        <v>0</v>
      </c>
    </row>
    <row r="588" spans="4:5" x14ac:dyDescent="0.2">
      <c r="D588">
        <f t="shared" si="17"/>
        <v>0</v>
      </c>
      <c r="E588">
        <f t="shared" si="18"/>
        <v>0</v>
      </c>
    </row>
    <row r="589" spans="4:5" x14ac:dyDescent="0.2">
      <c r="D589">
        <f t="shared" si="17"/>
        <v>0</v>
      </c>
      <c r="E589">
        <f t="shared" si="18"/>
        <v>0</v>
      </c>
    </row>
    <row r="590" spans="4:5" x14ac:dyDescent="0.2">
      <c r="D590">
        <f t="shared" si="17"/>
        <v>0</v>
      </c>
      <c r="E590">
        <f t="shared" si="18"/>
        <v>0</v>
      </c>
    </row>
    <row r="591" spans="4:5" x14ac:dyDescent="0.2">
      <c r="D591">
        <f t="shared" si="17"/>
        <v>0</v>
      </c>
      <c r="E591">
        <f t="shared" si="18"/>
        <v>0</v>
      </c>
    </row>
    <row r="592" spans="4:5" x14ac:dyDescent="0.2">
      <c r="D592">
        <f t="shared" si="17"/>
        <v>0</v>
      </c>
      <c r="E592">
        <f t="shared" si="18"/>
        <v>0</v>
      </c>
    </row>
    <row r="593" spans="4:5" x14ac:dyDescent="0.2">
      <c r="D593">
        <f t="shared" si="17"/>
        <v>0</v>
      </c>
      <c r="E593">
        <f t="shared" si="18"/>
        <v>0</v>
      </c>
    </row>
    <row r="594" spans="4:5" x14ac:dyDescent="0.2">
      <c r="D594">
        <f t="shared" si="17"/>
        <v>0</v>
      </c>
      <c r="E594">
        <f t="shared" si="18"/>
        <v>0</v>
      </c>
    </row>
    <row r="595" spans="4:5" x14ac:dyDescent="0.2">
      <c r="D595">
        <f t="shared" si="17"/>
        <v>0</v>
      </c>
      <c r="E595">
        <f t="shared" si="18"/>
        <v>0</v>
      </c>
    </row>
    <row r="596" spans="4:5" x14ac:dyDescent="0.2">
      <c r="D596">
        <f t="shared" si="17"/>
        <v>0</v>
      </c>
      <c r="E596">
        <f t="shared" si="18"/>
        <v>0</v>
      </c>
    </row>
    <row r="597" spans="4:5" x14ac:dyDescent="0.2">
      <c r="D597">
        <f t="shared" si="17"/>
        <v>0</v>
      </c>
      <c r="E597">
        <f t="shared" si="18"/>
        <v>0</v>
      </c>
    </row>
    <row r="598" spans="4:5" x14ac:dyDescent="0.2">
      <c r="D598">
        <f t="shared" si="17"/>
        <v>0</v>
      </c>
      <c r="E598">
        <f t="shared" si="18"/>
        <v>0</v>
      </c>
    </row>
    <row r="599" spans="4:5" x14ac:dyDescent="0.2">
      <c r="D599">
        <f t="shared" si="17"/>
        <v>0</v>
      </c>
      <c r="E599">
        <f t="shared" si="18"/>
        <v>0</v>
      </c>
    </row>
    <row r="600" spans="4:5" x14ac:dyDescent="0.2">
      <c r="D600">
        <f t="shared" si="17"/>
        <v>0</v>
      </c>
      <c r="E600">
        <f t="shared" si="18"/>
        <v>0</v>
      </c>
    </row>
    <row r="601" spans="4:5" x14ac:dyDescent="0.2">
      <c r="D601">
        <f t="shared" si="17"/>
        <v>0</v>
      </c>
      <c r="E601">
        <f t="shared" si="18"/>
        <v>0</v>
      </c>
    </row>
    <row r="602" spans="4:5" x14ac:dyDescent="0.2">
      <c r="D602">
        <f t="shared" si="17"/>
        <v>0</v>
      </c>
      <c r="E602">
        <f t="shared" si="18"/>
        <v>0</v>
      </c>
    </row>
    <row r="603" spans="4:5" x14ac:dyDescent="0.2">
      <c r="D603">
        <f t="shared" si="17"/>
        <v>0</v>
      </c>
      <c r="E603">
        <f t="shared" si="18"/>
        <v>0</v>
      </c>
    </row>
    <row r="604" spans="4:5" x14ac:dyDescent="0.2">
      <c r="D604">
        <f t="shared" si="17"/>
        <v>0</v>
      </c>
      <c r="E604">
        <f t="shared" si="18"/>
        <v>0</v>
      </c>
    </row>
    <row r="605" spans="4:5" x14ac:dyDescent="0.2">
      <c r="D605">
        <f t="shared" si="17"/>
        <v>0</v>
      </c>
      <c r="E605">
        <f t="shared" si="18"/>
        <v>0</v>
      </c>
    </row>
    <row r="606" spans="4:5" x14ac:dyDescent="0.2">
      <c r="D606">
        <f t="shared" ref="D606:D669" si="19">A606*0.3048</f>
        <v>0</v>
      </c>
      <c r="E606">
        <f t="shared" ref="E606:E669" si="20">B606*0.3048</f>
        <v>0</v>
      </c>
    </row>
    <row r="607" spans="4:5" x14ac:dyDescent="0.2">
      <c r="D607">
        <f t="shared" si="19"/>
        <v>0</v>
      </c>
      <c r="E607">
        <f t="shared" si="20"/>
        <v>0</v>
      </c>
    </row>
    <row r="608" spans="4:5" x14ac:dyDescent="0.2">
      <c r="D608">
        <f t="shared" si="19"/>
        <v>0</v>
      </c>
      <c r="E608">
        <f t="shared" si="20"/>
        <v>0</v>
      </c>
    </row>
    <row r="609" spans="4:5" x14ac:dyDescent="0.2">
      <c r="D609">
        <f t="shared" si="19"/>
        <v>0</v>
      </c>
      <c r="E609">
        <f t="shared" si="20"/>
        <v>0</v>
      </c>
    </row>
    <row r="610" spans="4:5" x14ac:dyDescent="0.2">
      <c r="D610">
        <f t="shared" si="19"/>
        <v>0</v>
      </c>
      <c r="E610">
        <f t="shared" si="20"/>
        <v>0</v>
      </c>
    </row>
    <row r="611" spans="4:5" x14ac:dyDescent="0.2">
      <c r="D611">
        <f t="shared" si="19"/>
        <v>0</v>
      </c>
      <c r="E611">
        <f t="shared" si="20"/>
        <v>0</v>
      </c>
    </row>
    <row r="612" spans="4:5" x14ac:dyDescent="0.2">
      <c r="D612">
        <f t="shared" si="19"/>
        <v>0</v>
      </c>
      <c r="E612">
        <f t="shared" si="20"/>
        <v>0</v>
      </c>
    </row>
    <row r="613" spans="4:5" x14ac:dyDescent="0.2">
      <c r="D613">
        <f t="shared" si="19"/>
        <v>0</v>
      </c>
      <c r="E613">
        <f t="shared" si="20"/>
        <v>0</v>
      </c>
    </row>
    <row r="614" spans="4:5" x14ac:dyDescent="0.2">
      <c r="D614">
        <f t="shared" si="19"/>
        <v>0</v>
      </c>
      <c r="E614">
        <f t="shared" si="20"/>
        <v>0</v>
      </c>
    </row>
    <row r="615" spans="4:5" x14ac:dyDescent="0.2">
      <c r="D615">
        <f t="shared" si="19"/>
        <v>0</v>
      </c>
      <c r="E615">
        <f t="shared" si="20"/>
        <v>0</v>
      </c>
    </row>
    <row r="616" spans="4:5" x14ac:dyDescent="0.2">
      <c r="D616">
        <f t="shared" si="19"/>
        <v>0</v>
      </c>
      <c r="E616">
        <f t="shared" si="20"/>
        <v>0</v>
      </c>
    </row>
    <row r="617" spans="4:5" x14ac:dyDescent="0.2">
      <c r="D617">
        <f t="shared" si="19"/>
        <v>0</v>
      </c>
      <c r="E617">
        <f t="shared" si="20"/>
        <v>0</v>
      </c>
    </row>
    <row r="618" spans="4:5" x14ac:dyDescent="0.2">
      <c r="D618">
        <f t="shared" si="19"/>
        <v>0</v>
      </c>
      <c r="E618">
        <f t="shared" si="20"/>
        <v>0</v>
      </c>
    </row>
    <row r="619" spans="4:5" x14ac:dyDescent="0.2">
      <c r="D619">
        <f t="shared" si="19"/>
        <v>0</v>
      </c>
      <c r="E619">
        <f t="shared" si="20"/>
        <v>0</v>
      </c>
    </row>
    <row r="620" spans="4:5" x14ac:dyDescent="0.2">
      <c r="D620">
        <f t="shared" si="19"/>
        <v>0</v>
      </c>
      <c r="E620">
        <f t="shared" si="20"/>
        <v>0</v>
      </c>
    </row>
    <row r="621" spans="4:5" x14ac:dyDescent="0.2">
      <c r="D621">
        <f t="shared" si="19"/>
        <v>0</v>
      </c>
      <c r="E621">
        <f t="shared" si="20"/>
        <v>0</v>
      </c>
    </row>
    <row r="622" spans="4:5" x14ac:dyDescent="0.2">
      <c r="D622">
        <f t="shared" si="19"/>
        <v>0</v>
      </c>
      <c r="E622">
        <f t="shared" si="20"/>
        <v>0</v>
      </c>
    </row>
    <row r="623" spans="4:5" x14ac:dyDescent="0.2">
      <c r="D623">
        <f t="shared" si="19"/>
        <v>0</v>
      </c>
      <c r="E623">
        <f t="shared" si="20"/>
        <v>0</v>
      </c>
    </row>
    <row r="624" spans="4:5" x14ac:dyDescent="0.2">
      <c r="D624">
        <f t="shared" si="19"/>
        <v>0</v>
      </c>
      <c r="E624">
        <f t="shared" si="20"/>
        <v>0</v>
      </c>
    </row>
    <row r="625" spans="4:5" x14ac:dyDescent="0.2">
      <c r="D625">
        <f t="shared" si="19"/>
        <v>0</v>
      </c>
      <c r="E625">
        <f t="shared" si="20"/>
        <v>0</v>
      </c>
    </row>
    <row r="626" spans="4:5" x14ac:dyDescent="0.2">
      <c r="D626">
        <f t="shared" si="19"/>
        <v>0</v>
      </c>
      <c r="E626">
        <f t="shared" si="20"/>
        <v>0</v>
      </c>
    </row>
    <row r="627" spans="4:5" x14ac:dyDescent="0.2">
      <c r="D627">
        <f t="shared" si="19"/>
        <v>0</v>
      </c>
      <c r="E627">
        <f t="shared" si="20"/>
        <v>0</v>
      </c>
    </row>
    <row r="628" spans="4:5" x14ac:dyDescent="0.2">
      <c r="D628">
        <f t="shared" si="19"/>
        <v>0</v>
      </c>
      <c r="E628">
        <f t="shared" si="20"/>
        <v>0</v>
      </c>
    </row>
    <row r="629" spans="4:5" x14ac:dyDescent="0.2">
      <c r="D629">
        <f t="shared" si="19"/>
        <v>0</v>
      </c>
      <c r="E629">
        <f t="shared" si="20"/>
        <v>0</v>
      </c>
    </row>
    <row r="630" spans="4:5" x14ac:dyDescent="0.2">
      <c r="D630">
        <f t="shared" si="19"/>
        <v>0</v>
      </c>
      <c r="E630">
        <f t="shared" si="20"/>
        <v>0</v>
      </c>
    </row>
    <row r="631" spans="4:5" x14ac:dyDescent="0.2">
      <c r="D631">
        <f t="shared" si="19"/>
        <v>0</v>
      </c>
      <c r="E631">
        <f t="shared" si="20"/>
        <v>0</v>
      </c>
    </row>
    <row r="632" spans="4:5" x14ac:dyDescent="0.2">
      <c r="D632">
        <f t="shared" si="19"/>
        <v>0</v>
      </c>
      <c r="E632">
        <f t="shared" si="20"/>
        <v>0</v>
      </c>
    </row>
    <row r="633" spans="4:5" x14ac:dyDescent="0.2">
      <c r="D633">
        <f t="shared" si="19"/>
        <v>0</v>
      </c>
      <c r="E633">
        <f t="shared" si="20"/>
        <v>0</v>
      </c>
    </row>
    <row r="634" spans="4:5" x14ac:dyDescent="0.2">
      <c r="D634">
        <f t="shared" si="19"/>
        <v>0</v>
      </c>
      <c r="E634">
        <f t="shared" si="20"/>
        <v>0</v>
      </c>
    </row>
    <row r="635" spans="4:5" x14ac:dyDescent="0.2">
      <c r="D635">
        <f t="shared" si="19"/>
        <v>0</v>
      </c>
      <c r="E635">
        <f t="shared" si="20"/>
        <v>0</v>
      </c>
    </row>
    <row r="636" spans="4:5" x14ac:dyDescent="0.2">
      <c r="D636">
        <f t="shared" si="19"/>
        <v>0</v>
      </c>
      <c r="E636">
        <f t="shared" si="20"/>
        <v>0</v>
      </c>
    </row>
    <row r="637" spans="4:5" x14ac:dyDescent="0.2">
      <c r="D637">
        <f t="shared" si="19"/>
        <v>0</v>
      </c>
      <c r="E637">
        <f t="shared" si="20"/>
        <v>0</v>
      </c>
    </row>
    <row r="638" spans="4:5" x14ac:dyDescent="0.2">
      <c r="D638">
        <f t="shared" si="19"/>
        <v>0</v>
      </c>
      <c r="E638">
        <f t="shared" si="20"/>
        <v>0</v>
      </c>
    </row>
    <row r="639" spans="4:5" x14ac:dyDescent="0.2">
      <c r="D639">
        <f t="shared" si="19"/>
        <v>0</v>
      </c>
      <c r="E639">
        <f t="shared" si="20"/>
        <v>0</v>
      </c>
    </row>
    <row r="640" spans="4:5" x14ac:dyDescent="0.2">
      <c r="D640">
        <f t="shared" si="19"/>
        <v>0</v>
      </c>
      <c r="E640">
        <f t="shared" si="20"/>
        <v>0</v>
      </c>
    </row>
    <row r="641" spans="4:5" x14ac:dyDescent="0.2">
      <c r="D641">
        <f t="shared" si="19"/>
        <v>0</v>
      </c>
      <c r="E641">
        <f t="shared" si="20"/>
        <v>0</v>
      </c>
    </row>
    <row r="642" spans="4:5" x14ac:dyDescent="0.2">
      <c r="D642">
        <f t="shared" si="19"/>
        <v>0</v>
      </c>
      <c r="E642">
        <f t="shared" si="20"/>
        <v>0</v>
      </c>
    </row>
    <row r="643" spans="4:5" x14ac:dyDescent="0.2">
      <c r="D643">
        <f t="shared" si="19"/>
        <v>0</v>
      </c>
      <c r="E643">
        <f t="shared" si="20"/>
        <v>0</v>
      </c>
    </row>
    <row r="644" spans="4:5" x14ac:dyDescent="0.2">
      <c r="D644">
        <f t="shared" si="19"/>
        <v>0</v>
      </c>
      <c r="E644">
        <f t="shared" si="20"/>
        <v>0</v>
      </c>
    </row>
    <row r="645" spans="4:5" x14ac:dyDescent="0.2">
      <c r="D645">
        <f t="shared" si="19"/>
        <v>0</v>
      </c>
      <c r="E645">
        <f t="shared" si="20"/>
        <v>0</v>
      </c>
    </row>
    <row r="646" spans="4:5" x14ac:dyDescent="0.2">
      <c r="D646">
        <f t="shared" si="19"/>
        <v>0</v>
      </c>
      <c r="E646">
        <f t="shared" si="20"/>
        <v>0</v>
      </c>
    </row>
    <row r="647" spans="4:5" x14ac:dyDescent="0.2">
      <c r="D647">
        <f t="shared" si="19"/>
        <v>0</v>
      </c>
      <c r="E647">
        <f t="shared" si="20"/>
        <v>0</v>
      </c>
    </row>
    <row r="648" spans="4:5" x14ac:dyDescent="0.2">
      <c r="D648">
        <f t="shared" si="19"/>
        <v>0</v>
      </c>
      <c r="E648">
        <f t="shared" si="20"/>
        <v>0</v>
      </c>
    </row>
    <row r="649" spans="4:5" x14ac:dyDescent="0.2">
      <c r="D649">
        <f t="shared" si="19"/>
        <v>0</v>
      </c>
      <c r="E649">
        <f t="shared" si="20"/>
        <v>0</v>
      </c>
    </row>
    <row r="650" spans="4:5" x14ac:dyDescent="0.2">
      <c r="D650">
        <f t="shared" si="19"/>
        <v>0</v>
      </c>
      <c r="E650">
        <f t="shared" si="20"/>
        <v>0</v>
      </c>
    </row>
    <row r="651" spans="4:5" x14ac:dyDescent="0.2">
      <c r="D651">
        <f t="shared" si="19"/>
        <v>0</v>
      </c>
      <c r="E651">
        <f t="shared" si="20"/>
        <v>0</v>
      </c>
    </row>
    <row r="652" spans="4:5" x14ac:dyDescent="0.2">
      <c r="D652">
        <f t="shared" si="19"/>
        <v>0</v>
      </c>
      <c r="E652">
        <f t="shared" si="20"/>
        <v>0</v>
      </c>
    </row>
    <row r="653" spans="4:5" x14ac:dyDescent="0.2">
      <c r="D653">
        <f t="shared" si="19"/>
        <v>0</v>
      </c>
      <c r="E653">
        <f t="shared" si="20"/>
        <v>0</v>
      </c>
    </row>
    <row r="654" spans="4:5" x14ac:dyDescent="0.2">
      <c r="D654">
        <f t="shared" si="19"/>
        <v>0</v>
      </c>
      <c r="E654">
        <f t="shared" si="20"/>
        <v>0</v>
      </c>
    </row>
    <row r="655" spans="4:5" x14ac:dyDescent="0.2">
      <c r="D655">
        <f t="shared" si="19"/>
        <v>0</v>
      </c>
      <c r="E655">
        <f t="shared" si="20"/>
        <v>0</v>
      </c>
    </row>
    <row r="656" spans="4:5" x14ac:dyDescent="0.2">
      <c r="D656">
        <f t="shared" si="19"/>
        <v>0</v>
      </c>
      <c r="E656">
        <f t="shared" si="20"/>
        <v>0</v>
      </c>
    </row>
    <row r="657" spans="4:5" x14ac:dyDescent="0.2">
      <c r="D657">
        <f t="shared" si="19"/>
        <v>0</v>
      </c>
      <c r="E657">
        <f t="shared" si="20"/>
        <v>0</v>
      </c>
    </row>
    <row r="658" spans="4:5" x14ac:dyDescent="0.2">
      <c r="D658">
        <f t="shared" si="19"/>
        <v>0</v>
      </c>
      <c r="E658">
        <f t="shared" si="20"/>
        <v>0</v>
      </c>
    </row>
    <row r="659" spans="4:5" x14ac:dyDescent="0.2">
      <c r="D659">
        <f t="shared" si="19"/>
        <v>0</v>
      </c>
      <c r="E659">
        <f t="shared" si="20"/>
        <v>0</v>
      </c>
    </row>
    <row r="660" spans="4:5" x14ac:dyDescent="0.2">
      <c r="D660">
        <f t="shared" si="19"/>
        <v>0</v>
      </c>
      <c r="E660">
        <f t="shared" si="20"/>
        <v>0</v>
      </c>
    </row>
    <row r="661" spans="4:5" x14ac:dyDescent="0.2">
      <c r="D661">
        <f t="shared" si="19"/>
        <v>0</v>
      </c>
      <c r="E661">
        <f t="shared" si="20"/>
        <v>0</v>
      </c>
    </row>
    <row r="662" spans="4:5" x14ac:dyDescent="0.2">
      <c r="D662">
        <f t="shared" si="19"/>
        <v>0</v>
      </c>
      <c r="E662">
        <f t="shared" si="20"/>
        <v>0</v>
      </c>
    </row>
    <row r="663" spans="4:5" x14ac:dyDescent="0.2">
      <c r="D663">
        <f t="shared" si="19"/>
        <v>0</v>
      </c>
      <c r="E663">
        <f t="shared" si="20"/>
        <v>0</v>
      </c>
    </row>
    <row r="664" spans="4:5" x14ac:dyDescent="0.2">
      <c r="D664">
        <f t="shared" si="19"/>
        <v>0</v>
      </c>
      <c r="E664">
        <f t="shared" si="20"/>
        <v>0</v>
      </c>
    </row>
    <row r="665" spans="4:5" x14ac:dyDescent="0.2">
      <c r="D665">
        <f t="shared" si="19"/>
        <v>0</v>
      </c>
      <c r="E665">
        <f t="shared" si="20"/>
        <v>0</v>
      </c>
    </row>
    <row r="666" spans="4:5" x14ac:dyDescent="0.2">
      <c r="D666">
        <f t="shared" si="19"/>
        <v>0</v>
      </c>
      <c r="E666">
        <f t="shared" si="20"/>
        <v>0</v>
      </c>
    </row>
    <row r="667" spans="4:5" x14ac:dyDescent="0.2">
      <c r="D667">
        <f t="shared" si="19"/>
        <v>0</v>
      </c>
      <c r="E667">
        <f t="shared" si="20"/>
        <v>0</v>
      </c>
    </row>
    <row r="668" spans="4:5" x14ac:dyDescent="0.2">
      <c r="D668">
        <f t="shared" si="19"/>
        <v>0</v>
      </c>
      <c r="E668">
        <f t="shared" si="20"/>
        <v>0</v>
      </c>
    </row>
    <row r="669" spans="4:5" x14ac:dyDescent="0.2">
      <c r="D669">
        <f t="shared" si="19"/>
        <v>0</v>
      </c>
      <c r="E669">
        <f t="shared" si="20"/>
        <v>0</v>
      </c>
    </row>
    <row r="670" spans="4:5" x14ac:dyDescent="0.2">
      <c r="D670">
        <f t="shared" ref="D670:D733" si="21">A670*0.3048</f>
        <v>0</v>
      </c>
      <c r="E670">
        <f t="shared" ref="E670:E733" si="22">B670*0.3048</f>
        <v>0</v>
      </c>
    </row>
    <row r="671" spans="4:5" x14ac:dyDescent="0.2">
      <c r="D671">
        <f t="shared" si="21"/>
        <v>0</v>
      </c>
      <c r="E671">
        <f t="shared" si="22"/>
        <v>0</v>
      </c>
    </row>
    <row r="672" spans="4:5" x14ac:dyDescent="0.2">
      <c r="D672">
        <f t="shared" si="21"/>
        <v>0</v>
      </c>
      <c r="E672">
        <f t="shared" si="22"/>
        <v>0</v>
      </c>
    </row>
    <row r="673" spans="4:5" x14ac:dyDescent="0.2">
      <c r="D673">
        <f t="shared" si="21"/>
        <v>0</v>
      </c>
      <c r="E673">
        <f t="shared" si="22"/>
        <v>0</v>
      </c>
    </row>
    <row r="674" spans="4:5" x14ac:dyDescent="0.2">
      <c r="D674">
        <f t="shared" si="21"/>
        <v>0</v>
      </c>
      <c r="E674">
        <f t="shared" si="22"/>
        <v>0</v>
      </c>
    </row>
    <row r="675" spans="4:5" x14ac:dyDescent="0.2">
      <c r="D675">
        <f t="shared" si="21"/>
        <v>0</v>
      </c>
      <c r="E675">
        <f t="shared" si="22"/>
        <v>0</v>
      </c>
    </row>
    <row r="676" spans="4:5" x14ac:dyDescent="0.2">
      <c r="D676">
        <f t="shared" si="21"/>
        <v>0</v>
      </c>
      <c r="E676">
        <f t="shared" si="22"/>
        <v>0</v>
      </c>
    </row>
    <row r="677" spans="4:5" x14ac:dyDescent="0.2">
      <c r="D677">
        <f t="shared" si="21"/>
        <v>0</v>
      </c>
      <c r="E677">
        <f t="shared" si="22"/>
        <v>0</v>
      </c>
    </row>
    <row r="678" spans="4:5" x14ac:dyDescent="0.2">
      <c r="D678">
        <f t="shared" si="21"/>
        <v>0</v>
      </c>
      <c r="E678">
        <f t="shared" si="22"/>
        <v>0</v>
      </c>
    </row>
    <row r="679" spans="4:5" x14ac:dyDescent="0.2">
      <c r="D679">
        <f t="shared" si="21"/>
        <v>0</v>
      </c>
      <c r="E679">
        <f t="shared" si="22"/>
        <v>0</v>
      </c>
    </row>
    <row r="680" spans="4:5" x14ac:dyDescent="0.2">
      <c r="D680">
        <f t="shared" si="21"/>
        <v>0</v>
      </c>
      <c r="E680">
        <f t="shared" si="22"/>
        <v>0</v>
      </c>
    </row>
    <row r="681" spans="4:5" x14ac:dyDescent="0.2">
      <c r="D681">
        <f t="shared" si="21"/>
        <v>0</v>
      </c>
      <c r="E681">
        <f t="shared" si="22"/>
        <v>0</v>
      </c>
    </row>
    <row r="682" spans="4:5" x14ac:dyDescent="0.2">
      <c r="D682">
        <f t="shared" si="21"/>
        <v>0</v>
      </c>
      <c r="E682">
        <f t="shared" si="22"/>
        <v>0</v>
      </c>
    </row>
    <row r="683" spans="4:5" x14ac:dyDescent="0.2">
      <c r="D683">
        <f t="shared" si="21"/>
        <v>0</v>
      </c>
      <c r="E683">
        <f t="shared" si="22"/>
        <v>0</v>
      </c>
    </row>
    <row r="684" spans="4:5" x14ac:dyDescent="0.2">
      <c r="D684">
        <f t="shared" si="21"/>
        <v>0</v>
      </c>
      <c r="E684">
        <f t="shared" si="22"/>
        <v>0</v>
      </c>
    </row>
    <row r="685" spans="4:5" x14ac:dyDescent="0.2">
      <c r="D685">
        <f t="shared" si="21"/>
        <v>0</v>
      </c>
      <c r="E685">
        <f t="shared" si="22"/>
        <v>0</v>
      </c>
    </row>
    <row r="686" spans="4:5" x14ac:dyDescent="0.2">
      <c r="D686">
        <f t="shared" si="21"/>
        <v>0</v>
      </c>
      <c r="E686">
        <f t="shared" si="22"/>
        <v>0</v>
      </c>
    </row>
    <row r="687" spans="4:5" x14ac:dyDescent="0.2">
      <c r="D687">
        <f t="shared" si="21"/>
        <v>0</v>
      </c>
      <c r="E687">
        <f t="shared" si="22"/>
        <v>0</v>
      </c>
    </row>
    <row r="688" spans="4:5" x14ac:dyDescent="0.2">
      <c r="D688">
        <f t="shared" si="21"/>
        <v>0</v>
      </c>
      <c r="E688">
        <f t="shared" si="22"/>
        <v>0</v>
      </c>
    </row>
    <row r="689" spans="4:5" x14ac:dyDescent="0.2">
      <c r="D689">
        <f t="shared" si="21"/>
        <v>0</v>
      </c>
      <c r="E689">
        <f t="shared" si="22"/>
        <v>0</v>
      </c>
    </row>
    <row r="690" spans="4:5" x14ac:dyDescent="0.2">
      <c r="D690">
        <f t="shared" si="21"/>
        <v>0</v>
      </c>
      <c r="E690">
        <f t="shared" si="22"/>
        <v>0</v>
      </c>
    </row>
    <row r="691" spans="4:5" x14ac:dyDescent="0.2">
      <c r="D691">
        <f t="shared" si="21"/>
        <v>0</v>
      </c>
      <c r="E691">
        <f t="shared" si="22"/>
        <v>0</v>
      </c>
    </row>
    <row r="692" spans="4:5" x14ac:dyDescent="0.2">
      <c r="D692">
        <f t="shared" si="21"/>
        <v>0</v>
      </c>
      <c r="E692">
        <f t="shared" si="22"/>
        <v>0</v>
      </c>
    </row>
    <row r="693" spans="4:5" x14ac:dyDescent="0.2">
      <c r="D693">
        <f t="shared" si="21"/>
        <v>0</v>
      </c>
      <c r="E693">
        <f t="shared" si="22"/>
        <v>0</v>
      </c>
    </row>
    <row r="694" spans="4:5" x14ac:dyDescent="0.2">
      <c r="D694">
        <f t="shared" si="21"/>
        <v>0</v>
      </c>
      <c r="E694">
        <f t="shared" si="22"/>
        <v>0</v>
      </c>
    </row>
    <row r="695" spans="4:5" x14ac:dyDescent="0.2">
      <c r="D695">
        <f t="shared" si="21"/>
        <v>0</v>
      </c>
      <c r="E695">
        <f t="shared" si="22"/>
        <v>0</v>
      </c>
    </row>
    <row r="696" spans="4:5" x14ac:dyDescent="0.2">
      <c r="D696">
        <f t="shared" si="21"/>
        <v>0</v>
      </c>
      <c r="E696">
        <f t="shared" si="22"/>
        <v>0</v>
      </c>
    </row>
    <row r="697" spans="4:5" x14ac:dyDescent="0.2">
      <c r="D697">
        <f t="shared" si="21"/>
        <v>0</v>
      </c>
      <c r="E697">
        <f t="shared" si="22"/>
        <v>0</v>
      </c>
    </row>
    <row r="698" spans="4:5" x14ac:dyDescent="0.2">
      <c r="D698">
        <f t="shared" si="21"/>
        <v>0</v>
      </c>
      <c r="E698">
        <f t="shared" si="22"/>
        <v>0</v>
      </c>
    </row>
    <row r="699" spans="4:5" x14ac:dyDescent="0.2">
      <c r="D699">
        <f t="shared" si="21"/>
        <v>0</v>
      </c>
      <c r="E699">
        <f t="shared" si="22"/>
        <v>0</v>
      </c>
    </row>
    <row r="700" spans="4:5" x14ac:dyDescent="0.2">
      <c r="D700">
        <f t="shared" si="21"/>
        <v>0</v>
      </c>
      <c r="E700">
        <f t="shared" si="22"/>
        <v>0</v>
      </c>
    </row>
    <row r="701" spans="4:5" x14ac:dyDescent="0.2">
      <c r="D701">
        <f t="shared" si="21"/>
        <v>0</v>
      </c>
      <c r="E701">
        <f t="shared" si="22"/>
        <v>0</v>
      </c>
    </row>
    <row r="702" spans="4:5" x14ac:dyDescent="0.2">
      <c r="D702">
        <f t="shared" si="21"/>
        <v>0</v>
      </c>
      <c r="E702">
        <f t="shared" si="22"/>
        <v>0</v>
      </c>
    </row>
    <row r="703" spans="4:5" x14ac:dyDescent="0.2">
      <c r="D703">
        <f t="shared" si="21"/>
        <v>0</v>
      </c>
      <c r="E703">
        <f t="shared" si="22"/>
        <v>0</v>
      </c>
    </row>
    <row r="704" spans="4:5" x14ac:dyDescent="0.2">
      <c r="D704">
        <f t="shared" si="21"/>
        <v>0</v>
      </c>
      <c r="E704">
        <f t="shared" si="22"/>
        <v>0</v>
      </c>
    </row>
    <row r="705" spans="4:5" x14ac:dyDescent="0.2">
      <c r="D705">
        <f t="shared" si="21"/>
        <v>0</v>
      </c>
      <c r="E705">
        <f t="shared" si="22"/>
        <v>0</v>
      </c>
    </row>
    <row r="706" spans="4:5" x14ac:dyDescent="0.2">
      <c r="D706">
        <f t="shared" si="21"/>
        <v>0</v>
      </c>
      <c r="E706">
        <f t="shared" si="22"/>
        <v>0</v>
      </c>
    </row>
    <row r="707" spans="4:5" x14ac:dyDescent="0.2">
      <c r="D707">
        <f t="shared" si="21"/>
        <v>0</v>
      </c>
      <c r="E707">
        <f t="shared" si="22"/>
        <v>0</v>
      </c>
    </row>
    <row r="708" spans="4:5" x14ac:dyDescent="0.2">
      <c r="D708">
        <f t="shared" si="21"/>
        <v>0</v>
      </c>
      <c r="E708">
        <f t="shared" si="22"/>
        <v>0</v>
      </c>
    </row>
    <row r="709" spans="4:5" x14ac:dyDescent="0.2">
      <c r="D709">
        <f t="shared" si="21"/>
        <v>0</v>
      </c>
      <c r="E709">
        <f t="shared" si="22"/>
        <v>0</v>
      </c>
    </row>
    <row r="710" spans="4:5" x14ac:dyDescent="0.2">
      <c r="D710">
        <f t="shared" si="21"/>
        <v>0</v>
      </c>
      <c r="E710">
        <f t="shared" si="22"/>
        <v>0</v>
      </c>
    </row>
    <row r="711" spans="4:5" x14ac:dyDescent="0.2">
      <c r="D711">
        <f t="shared" si="21"/>
        <v>0</v>
      </c>
      <c r="E711">
        <f t="shared" si="22"/>
        <v>0</v>
      </c>
    </row>
    <row r="712" spans="4:5" x14ac:dyDescent="0.2">
      <c r="D712">
        <f t="shared" si="21"/>
        <v>0</v>
      </c>
      <c r="E712">
        <f t="shared" si="22"/>
        <v>0</v>
      </c>
    </row>
    <row r="713" spans="4:5" x14ac:dyDescent="0.2">
      <c r="D713">
        <f t="shared" si="21"/>
        <v>0</v>
      </c>
      <c r="E713">
        <f t="shared" si="22"/>
        <v>0</v>
      </c>
    </row>
    <row r="714" spans="4:5" x14ac:dyDescent="0.2">
      <c r="D714">
        <f t="shared" si="21"/>
        <v>0</v>
      </c>
      <c r="E714">
        <f t="shared" si="22"/>
        <v>0</v>
      </c>
    </row>
    <row r="715" spans="4:5" x14ac:dyDescent="0.2">
      <c r="D715">
        <f t="shared" si="21"/>
        <v>0</v>
      </c>
      <c r="E715">
        <f t="shared" si="22"/>
        <v>0</v>
      </c>
    </row>
    <row r="716" spans="4:5" x14ac:dyDescent="0.2">
      <c r="D716">
        <f t="shared" si="21"/>
        <v>0</v>
      </c>
      <c r="E716">
        <f t="shared" si="22"/>
        <v>0</v>
      </c>
    </row>
    <row r="717" spans="4:5" x14ac:dyDescent="0.2">
      <c r="D717">
        <f t="shared" si="21"/>
        <v>0</v>
      </c>
      <c r="E717">
        <f t="shared" si="22"/>
        <v>0</v>
      </c>
    </row>
    <row r="718" spans="4:5" x14ac:dyDescent="0.2">
      <c r="D718">
        <f t="shared" si="21"/>
        <v>0</v>
      </c>
      <c r="E718">
        <f t="shared" si="22"/>
        <v>0</v>
      </c>
    </row>
    <row r="719" spans="4:5" x14ac:dyDescent="0.2">
      <c r="D719">
        <f t="shared" si="21"/>
        <v>0</v>
      </c>
      <c r="E719">
        <f t="shared" si="22"/>
        <v>0</v>
      </c>
    </row>
    <row r="720" spans="4:5" x14ac:dyDescent="0.2">
      <c r="D720">
        <f t="shared" si="21"/>
        <v>0</v>
      </c>
      <c r="E720">
        <f t="shared" si="22"/>
        <v>0</v>
      </c>
    </row>
    <row r="721" spans="4:5" x14ac:dyDescent="0.2">
      <c r="D721">
        <f t="shared" si="21"/>
        <v>0</v>
      </c>
      <c r="E721">
        <f t="shared" si="22"/>
        <v>0</v>
      </c>
    </row>
    <row r="722" spans="4:5" x14ac:dyDescent="0.2">
      <c r="D722">
        <f t="shared" si="21"/>
        <v>0</v>
      </c>
      <c r="E722">
        <f t="shared" si="22"/>
        <v>0</v>
      </c>
    </row>
    <row r="723" spans="4:5" x14ac:dyDescent="0.2">
      <c r="D723">
        <f t="shared" si="21"/>
        <v>0</v>
      </c>
      <c r="E723">
        <f t="shared" si="22"/>
        <v>0</v>
      </c>
    </row>
    <row r="724" spans="4:5" x14ac:dyDescent="0.2">
      <c r="D724">
        <f t="shared" si="21"/>
        <v>0</v>
      </c>
      <c r="E724">
        <f t="shared" si="22"/>
        <v>0</v>
      </c>
    </row>
    <row r="725" spans="4:5" x14ac:dyDescent="0.2">
      <c r="D725">
        <f t="shared" si="21"/>
        <v>0</v>
      </c>
      <c r="E725">
        <f t="shared" si="22"/>
        <v>0</v>
      </c>
    </row>
    <row r="726" spans="4:5" x14ac:dyDescent="0.2">
      <c r="D726">
        <f t="shared" si="21"/>
        <v>0</v>
      </c>
      <c r="E726">
        <f t="shared" si="22"/>
        <v>0</v>
      </c>
    </row>
    <row r="727" spans="4:5" x14ac:dyDescent="0.2">
      <c r="D727">
        <f t="shared" si="21"/>
        <v>0</v>
      </c>
      <c r="E727">
        <f t="shared" si="22"/>
        <v>0</v>
      </c>
    </row>
    <row r="728" spans="4:5" x14ac:dyDescent="0.2">
      <c r="D728">
        <f t="shared" si="21"/>
        <v>0</v>
      </c>
      <c r="E728">
        <f t="shared" si="22"/>
        <v>0</v>
      </c>
    </row>
    <row r="729" spans="4:5" x14ac:dyDescent="0.2">
      <c r="D729">
        <f t="shared" si="21"/>
        <v>0</v>
      </c>
      <c r="E729">
        <f t="shared" si="22"/>
        <v>0</v>
      </c>
    </row>
    <row r="730" spans="4:5" x14ac:dyDescent="0.2">
      <c r="D730">
        <f t="shared" si="21"/>
        <v>0</v>
      </c>
      <c r="E730">
        <f t="shared" si="22"/>
        <v>0</v>
      </c>
    </row>
    <row r="731" spans="4:5" x14ac:dyDescent="0.2">
      <c r="D731">
        <f t="shared" si="21"/>
        <v>0</v>
      </c>
      <c r="E731">
        <f t="shared" si="22"/>
        <v>0</v>
      </c>
    </row>
    <row r="732" spans="4:5" x14ac:dyDescent="0.2">
      <c r="D732">
        <f t="shared" si="21"/>
        <v>0</v>
      </c>
      <c r="E732">
        <f t="shared" si="22"/>
        <v>0</v>
      </c>
    </row>
    <row r="733" spans="4:5" x14ac:dyDescent="0.2">
      <c r="D733">
        <f t="shared" si="21"/>
        <v>0</v>
      </c>
      <c r="E733">
        <f t="shared" si="22"/>
        <v>0</v>
      </c>
    </row>
    <row r="734" spans="4:5" x14ac:dyDescent="0.2">
      <c r="D734">
        <f t="shared" ref="D734:D797" si="23">A734*0.3048</f>
        <v>0</v>
      </c>
      <c r="E734">
        <f t="shared" ref="E734:E797" si="24">B734*0.3048</f>
        <v>0</v>
      </c>
    </row>
    <row r="735" spans="4:5" x14ac:dyDescent="0.2">
      <c r="D735">
        <f t="shared" si="23"/>
        <v>0</v>
      </c>
      <c r="E735">
        <f t="shared" si="24"/>
        <v>0</v>
      </c>
    </row>
    <row r="736" spans="4:5" x14ac:dyDescent="0.2">
      <c r="D736">
        <f t="shared" si="23"/>
        <v>0</v>
      </c>
      <c r="E736">
        <f t="shared" si="24"/>
        <v>0</v>
      </c>
    </row>
    <row r="737" spans="4:5" x14ac:dyDescent="0.2">
      <c r="D737">
        <f t="shared" si="23"/>
        <v>0</v>
      </c>
      <c r="E737">
        <f t="shared" si="24"/>
        <v>0</v>
      </c>
    </row>
    <row r="738" spans="4:5" x14ac:dyDescent="0.2">
      <c r="D738">
        <f t="shared" si="23"/>
        <v>0</v>
      </c>
      <c r="E738">
        <f t="shared" si="24"/>
        <v>0</v>
      </c>
    </row>
    <row r="739" spans="4:5" x14ac:dyDescent="0.2">
      <c r="D739">
        <f t="shared" si="23"/>
        <v>0</v>
      </c>
      <c r="E739">
        <f t="shared" si="24"/>
        <v>0</v>
      </c>
    </row>
    <row r="740" spans="4:5" x14ac:dyDescent="0.2">
      <c r="D740">
        <f t="shared" si="23"/>
        <v>0</v>
      </c>
      <c r="E740">
        <f t="shared" si="24"/>
        <v>0</v>
      </c>
    </row>
    <row r="741" spans="4:5" x14ac:dyDescent="0.2">
      <c r="D741">
        <f t="shared" si="23"/>
        <v>0</v>
      </c>
      <c r="E741">
        <f t="shared" si="24"/>
        <v>0</v>
      </c>
    </row>
    <row r="742" spans="4:5" x14ac:dyDescent="0.2">
      <c r="D742">
        <f t="shared" si="23"/>
        <v>0</v>
      </c>
      <c r="E742">
        <f t="shared" si="24"/>
        <v>0</v>
      </c>
    </row>
    <row r="743" spans="4:5" x14ac:dyDescent="0.2">
      <c r="D743">
        <f t="shared" si="23"/>
        <v>0</v>
      </c>
      <c r="E743">
        <f t="shared" si="24"/>
        <v>0</v>
      </c>
    </row>
    <row r="744" spans="4:5" x14ac:dyDescent="0.2">
      <c r="D744">
        <f t="shared" si="23"/>
        <v>0</v>
      </c>
      <c r="E744">
        <f t="shared" si="24"/>
        <v>0</v>
      </c>
    </row>
    <row r="745" spans="4:5" x14ac:dyDescent="0.2">
      <c r="D745">
        <f t="shared" si="23"/>
        <v>0</v>
      </c>
      <c r="E745">
        <f t="shared" si="24"/>
        <v>0</v>
      </c>
    </row>
    <row r="746" spans="4:5" x14ac:dyDescent="0.2">
      <c r="D746">
        <f t="shared" si="23"/>
        <v>0</v>
      </c>
      <c r="E746">
        <f t="shared" si="24"/>
        <v>0</v>
      </c>
    </row>
    <row r="747" spans="4:5" x14ac:dyDescent="0.2">
      <c r="D747">
        <f t="shared" si="23"/>
        <v>0</v>
      </c>
      <c r="E747">
        <f t="shared" si="24"/>
        <v>0</v>
      </c>
    </row>
    <row r="748" spans="4:5" x14ac:dyDescent="0.2">
      <c r="D748">
        <f t="shared" si="23"/>
        <v>0</v>
      </c>
      <c r="E748">
        <f t="shared" si="24"/>
        <v>0</v>
      </c>
    </row>
    <row r="749" spans="4:5" x14ac:dyDescent="0.2">
      <c r="D749">
        <f t="shared" si="23"/>
        <v>0</v>
      </c>
      <c r="E749">
        <f t="shared" si="24"/>
        <v>0</v>
      </c>
    </row>
    <row r="750" spans="4:5" x14ac:dyDescent="0.2">
      <c r="D750">
        <f t="shared" si="23"/>
        <v>0</v>
      </c>
      <c r="E750">
        <f t="shared" si="24"/>
        <v>0</v>
      </c>
    </row>
    <row r="751" spans="4:5" x14ac:dyDescent="0.2">
      <c r="D751">
        <f t="shared" si="23"/>
        <v>0</v>
      </c>
      <c r="E751">
        <f t="shared" si="24"/>
        <v>0</v>
      </c>
    </row>
    <row r="752" spans="4:5" x14ac:dyDescent="0.2">
      <c r="D752">
        <f t="shared" si="23"/>
        <v>0</v>
      </c>
      <c r="E752">
        <f t="shared" si="24"/>
        <v>0</v>
      </c>
    </row>
    <row r="753" spans="4:5" x14ac:dyDescent="0.2">
      <c r="D753">
        <f t="shared" si="23"/>
        <v>0</v>
      </c>
      <c r="E753">
        <f t="shared" si="24"/>
        <v>0</v>
      </c>
    </row>
    <row r="754" spans="4:5" x14ac:dyDescent="0.2">
      <c r="D754">
        <f t="shared" si="23"/>
        <v>0</v>
      </c>
      <c r="E754">
        <f t="shared" si="24"/>
        <v>0</v>
      </c>
    </row>
    <row r="755" spans="4:5" x14ac:dyDescent="0.2">
      <c r="D755">
        <f t="shared" si="23"/>
        <v>0</v>
      </c>
      <c r="E755">
        <f t="shared" si="24"/>
        <v>0</v>
      </c>
    </row>
    <row r="756" spans="4:5" x14ac:dyDescent="0.2">
      <c r="D756">
        <f t="shared" si="23"/>
        <v>0</v>
      </c>
      <c r="E756">
        <f t="shared" si="24"/>
        <v>0</v>
      </c>
    </row>
    <row r="757" spans="4:5" x14ac:dyDescent="0.2">
      <c r="D757">
        <f t="shared" si="23"/>
        <v>0</v>
      </c>
      <c r="E757">
        <f t="shared" si="24"/>
        <v>0</v>
      </c>
    </row>
    <row r="758" spans="4:5" x14ac:dyDescent="0.2">
      <c r="D758">
        <f t="shared" si="23"/>
        <v>0</v>
      </c>
      <c r="E758">
        <f t="shared" si="24"/>
        <v>0</v>
      </c>
    </row>
    <row r="759" spans="4:5" x14ac:dyDescent="0.2">
      <c r="D759">
        <f t="shared" si="23"/>
        <v>0</v>
      </c>
      <c r="E759">
        <f t="shared" si="24"/>
        <v>0</v>
      </c>
    </row>
    <row r="760" spans="4:5" x14ac:dyDescent="0.2">
      <c r="D760">
        <f t="shared" si="23"/>
        <v>0</v>
      </c>
      <c r="E760">
        <f t="shared" si="24"/>
        <v>0</v>
      </c>
    </row>
    <row r="761" spans="4:5" x14ac:dyDescent="0.2">
      <c r="D761">
        <f t="shared" si="23"/>
        <v>0</v>
      </c>
      <c r="E761">
        <f t="shared" si="24"/>
        <v>0</v>
      </c>
    </row>
    <row r="762" spans="4:5" x14ac:dyDescent="0.2">
      <c r="D762">
        <f t="shared" si="23"/>
        <v>0</v>
      </c>
      <c r="E762">
        <f t="shared" si="24"/>
        <v>0</v>
      </c>
    </row>
    <row r="763" spans="4:5" x14ac:dyDescent="0.2">
      <c r="D763">
        <f t="shared" si="23"/>
        <v>0</v>
      </c>
      <c r="E763">
        <f t="shared" si="24"/>
        <v>0</v>
      </c>
    </row>
    <row r="764" spans="4:5" x14ac:dyDescent="0.2">
      <c r="D764">
        <f t="shared" si="23"/>
        <v>0</v>
      </c>
      <c r="E764">
        <f t="shared" si="24"/>
        <v>0</v>
      </c>
    </row>
    <row r="765" spans="4:5" x14ac:dyDescent="0.2">
      <c r="D765">
        <f t="shared" si="23"/>
        <v>0</v>
      </c>
      <c r="E765">
        <f t="shared" si="24"/>
        <v>0</v>
      </c>
    </row>
    <row r="766" spans="4:5" x14ac:dyDescent="0.2">
      <c r="D766">
        <f t="shared" si="23"/>
        <v>0</v>
      </c>
      <c r="E766">
        <f t="shared" si="24"/>
        <v>0</v>
      </c>
    </row>
    <row r="767" spans="4:5" x14ac:dyDescent="0.2">
      <c r="D767">
        <f t="shared" si="23"/>
        <v>0</v>
      </c>
      <c r="E767">
        <f t="shared" si="24"/>
        <v>0</v>
      </c>
    </row>
    <row r="768" spans="4:5" x14ac:dyDescent="0.2">
      <c r="D768">
        <f t="shared" si="23"/>
        <v>0</v>
      </c>
      <c r="E768">
        <f t="shared" si="24"/>
        <v>0</v>
      </c>
    </row>
    <row r="769" spans="4:5" x14ac:dyDescent="0.2">
      <c r="D769">
        <f t="shared" si="23"/>
        <v>0</v>
      </c>
      <c r="E769">
        <f t="shared" si="24"/>
        <v>0</v>
      </c>
    </row>
    <row r="770" spans="4:5" x14ac:dyDescent="0.2">
      <c r="D770">
        <f t="shared" si="23"/>
        <v>0</v>
      </c>
      <c r="E770">
        <f t="shared" si="24"/>
        <v>0</v>
      </c>
    </row>
    <row r="771" spans="4:5" x14ac:dyDescent="0.2">
      <c r="D771">
        <f t="shared" si="23"/>
        <v>0</v>
      </c>
      <c r="E771">
        <f t="shared" si="24"/>
        <v>0</v>
      </c>
    </row>
    <row r="772" spans="4:5" x14ac:dyDescent="0.2">
      <c r="D772">
        <f t="shared" si="23"/>
        <v>0</v>
      </c>
      <c r="E772">
        <f t="shared" si="24"/>
        <v>0</v>
      </c>
    </row>
    <row r="773" spans="4:5" x14ac:dyDescent="0.2">
      <c r="D773">
        <f t="shared" si="23"/>
        <v>0</v>
      </c>
      <c r="E773">
        <f t="shared" si="24"/>
        <v>0</v>
      </c>
    </row>
    <row r="774" spans="4:5" x14ac:dyDescent="0.2">
      <c r="D774">
        <f t="shared" si="23"/>
        <v>0</v>
      </c>
      <c r="E774">
        <f t="shared" si="24"/>
        <v>0</v>
      </c>
    </row>
    <row r="775" spans="4:5" x14ac:dyDescent="0.2">
      <c r="D775">
        <f t="shared" si="23"/>
        <v>0</v>
      </c>
      <c r="E775">
        <f t="shared" si="24"/>
        <v>0</v>
      </c>
    </row>
    <row r="776" spans="4:5" x14ac:dyDescent="0.2">
      <c r="D776">
        <f t="shared" si="23"/>
        <v>0</v>
      </c>
      <c r="E776">
        <f t="shared" si="24"/>
        <v>0</v>
      </c>
    </row>
    <row r="777" spans="4:5" x14ac:dyDescent="0.2">
      <c r="D777">
        <f t="shared" si="23"/>
        <v>0</v>
      </c>
      <c r="E777">
        <f t="shared" si="24"/>
        <v>0</v>
      </c>
    </row>
    <row r="778" spans="4:5" x14ac:dyDescent="0.2">
      <c r="D778">
        <f t="shared" si="23"/>
        <v>0</v>
      </c>
      <c r="E778">
        <f t="shared" si="24"/>
        <v>0</v>
      </c>
    </row>
    <row r="779" spans="4:5" x14ac:dyDescent="0.2">
      <c r="D779">
        <f t="shared" si="23"/>
        <v>0</v>
      </c>
      <c r="E779">
        <f t="shared" si="24"/>
        <v>0</v>
      </c>
    </row>
    <row r="780" spans="4:5" x14ac:dyDescent="0.2">
      <c r="D780">
        <f t="shared" si="23"/>
        <v>0</v>
      </c>
      <c r="E780">
        <f t="shared" si="24"/>
        <v>0</v>
      </c>
    </row>
    <row r="781" spans="4:5" x14ac:dyDescent="0.2">
      <c r="D781">
        <f t="shared" si="23"/>
        <v>0</v>
      </c>
      <c r="E781">
        <f t="shared" si="24"/>
        <v>0</v>
      </c>
    </row>
    <row r="782" spans="4:5" x14ac:dyDescent="0.2">
      <c r="D782">
        <f t="shared" si="23"/>
        <v>0</v>
      </c>
      <c r="E782">
        <f t="shared" si="24"/>
        <v>0</v>
      </c>
    </row>
    <row r="783" spans="4:5" x14ac:dyDescent="0.2">
      <c r="D783">
        <f t="shared" si="23"/>
        <v>0</v>
      </c>
      <c r="E783">
        <f t="shared" si="24"/>
        <v>0</v>
      </c>
    </row>
    <row r="784" spans="4:5" x14ac:dyDescent="0.2">
      <c r="D784">
        <f t="shared" si="23"/>
        <v>0</v>
      </c>
      <c r="E784">
        <f t="shared" si="24"/>
        <v>0</v>
      </c>
    </row>
    <row r="785" spans="4:5" x14ac:dyDescent="0.2">
      <c r="D785">
        <f t="shared" si="23"/>
        <v>0</v>
      </c>
      <c r="E785">
        <f t="shared" si="24"/>
        <v>0</v>
      </c>
    </row>
    <row r="786" spans="4:5" x14ac:dyDescent="0.2">
      <c r="D786">
        <f t="shared" si="23"/>
        <v>0</v>
      </c>
      <c r="E786">
        <f t="shared" si="24"/>
        <v>0</v>
      </c>
    </row>
    <row r="787" spans="4:5" x14ac:dyDescent="0.2">
      <c r="D787">
        <f t="shared" si="23"/>
        <v>0</v>
      </c>
      <c r="E787">
        <f t="shared" si="24"/>
        <v>0</v>
      </c>
    </row>
    <row r="788" spans="4:5" x14ac:dyDescent="0.2">
      <c r="D788">
        <f t="shared" si="23"/>
        <v>0</v>
      </c>
      <c r="E788">
        <f t="shared" si="24"/>
        <v>0</v>
      </c>
    </row>
    <row r="789" spans="4:5" x14ac:dyDescent="0.2">
      <c r="D789">
        <f t="shared" si="23"/>
        <v>0</v>
      </c>
      <c r="E789">
        <f t="shared" si="24"/>
        <v>0</v>
      </c>
    </row>
    <row r="790" spans="4:5" x14ac:dyDescent="0.2">
      <c r="D790">
        <f t="shared" si="23"/>
        <v>0</v>
      </c>
      <c r="E790">
        <f t="shared" si="24"/>
        <v>0</v>
      </c>
    </row>
    <row r="791" spans="4:5" x14ac:dyDescent="0.2">
      <c r="D791">
        <f t="shared" si="23"/>
        <v>0</v>
      </c>
      <c r="E791">
        <f t="shared" si="24"/>
        <v>0</v>
      </c>
    </row>
    <row r="792" spans="4:5" x14ac:dyDescent="0.2">
      <c r="D792">
        <f t="shared" si="23"/>
        <v>0</v>
      </c>
      <c r="E792">
        <f t="shared" si="24"/>
        <v>0</v>
      </c>
    </row>
    <row r="793" spans="4:5" x14ac:dyDescent="0.2">
      <c r="D793">
        <f t="shared" si="23"/>
        <v>0</v>
      </c>
      <c r="E793">
        <f t="shared" si="24"/>
        <v>0</v>
      </c>
    </row>
    <row r="794" spans="4:5" x14ac:dyDescent="0.2">
      <c r="D794">
        <f t="shared" si="23"/>
        <v>0</v>
      </c>
      <c r="E794">
        <f t="shared" si="24"/>
        <v>0</v>
      </c>
    </row>
    <row r="795" spans="4:5" x14ac:dyDescent="0.2">
      <c r="D795">
        <f t="shared" si="23"/>
        <v>0</v>
      </c>
      <c r="E795">
        <f t="shared" si="24"/>
        <v>0</v>
      </c>
    </row>
    <row r="796" spans="4:5" x14ac:dyDescent="0.2">
      <c r="D796">
        <f t="shared" si="23"/>
        <v>0</v>
      </c>
      <c r="E796">
        <f t="shared" si="24"/>
        <v>0</v>
      </c>
    </row>
    <row r="797" spans="4:5" x14ac:dyDescent="0.2">
      <c r="D797">
        <f t="shared" si="23"/>
        <v>0</v>
      </c>
      <c r="E797">
        <f t="shared" si="24"/>
        <v>0</v>
      </c>
    </row>
    <row r="798" spans="4:5" x14ac:dyDescent="0.2">
      <c r="D798">
        <f t="shared" ref="D798:D861" si="25">A798*0.3048</f>
        <v>0</v>
      </c>
      <c r="E798">
        <f t="shared" ref="E798:E861" si="26">B798*0.3048</f>
        <v>0</v>
      </c>
    </row>
    <row r="799" spans="4:5" x14ac:dyDescent="0.2">
      <c r="D799">
        <f t="shared" si="25"/>
        <v>0</v>
      </c>
      <c r="E799">
        <f t="shared" si="26"/>
        <v>0</v>
      </c>
    </row>
    <row r="800" spans="4:5" x14ac:dyDescent="0.2">
      <c r="D800">
        <f t="shared" si="25"/>
        <v>0</v>
      </c>
      <c r="E800">
        <f t="shared" si="26"/>
        <v>0</v>
      </c>
    </row>
    <row r="801" spans="4:5" x14ac:dyDescent="0.2">
      <c r="D801">
        <f t="shared" si="25"/>
        <v>0</v>
      </c>
      <c r="E801">
        <f t="shared" si="26"/>
        <v>0</v>
      </c>
    </row>
    <row r="802" spans="4:5" x14ac:dyDescent="0.2">
      <c r="D802">
        <f t="shared" si="25"/>
        <v>0</v>
      </c>
      <c r="E802">
        <f t="shared" si="26"/>
        <v>0</v>
      </c>
    </row>
    <row r="803" spans="4:5" x14ac:dyDescent="0.2">
      <c r="D803">
        <f t="shared" si="25"/>
        <v>0</v>
      </c>
      <c r="E803">
        <f t="shared" si="26"/>
        <v>0</v>
      </c>
    </row>
    <row r="804" spans="4:5" x14ac:dyDescent="0.2">
      <c r="D804">
        <f t="shared" si="25"/>
        <v>0</v>
      </c>
      <c r="E804">
        <f t="shared" si="26"/>
        <v>0</v>
      </c>
    </row>
    <row r="805" spans="4:5" x14ac:dyDescent="0.2">
      <c r="D805">
        <f t="shared" si="25"/>
        <v>0</v>
      </c>
      <c r="E805">
        <f t="shared" si="26"/>
        <v>0</v>
      </c>
    </row>
    <row r="806" spans="4:5" x14ac:dyDescent="0.2">
      <c r="D806">
        <f t="shared" si="25"/>
        <v>0</v>
      </c>
      <c r="E806">
        <f t="shared" si="26"/>
        <v>0</v>
      </c>
    </row>
    <row r="807" spans="4:5" x14ac:dyDescent="0.2">
      <c r="D807">
        <f t="shared" si="25"/>
        <v>0</v>
      </c>
      <c r="E807">
        <f t="shared" si="26"/>
        <v>0</v>
      </c>
    </row>
    <row r="808" spans="4:5" x14ac:dyDescent="0.2">
      <c r="D808">
        <f t="shared" si="25"/>
        <v>0</v>
      </c>
      <c r="E808">
        <f t="shared" si="26"/>
        <v>0</v>
      </c>
    </row>
    <row r="809" spans="4:5" x14ac:dyDescent="0.2">
      <c r="D809">
        <f t="shared" si="25"/>
        <v>0</v>
      </c>
      <c r="E809">
        <f t="shared" si="26"/>
        <v>0</v>
      </c>
    </row>
    <row r="810" spans="4:5" x14ac:dyDescent="0.2">
      <c r="D810">
        <f t="shared" si="25"/>
        <v>0</v>
      </c>
      <c r="E810">
        <f t="shared" si="26"/>
        <v>0</v>
      </c>
    </row>
    <row r="811" spans="4:5" x14ac:dyDescent="0.2">
      <c r="D811">
        <f t="shared" si="25"/>
        <v>0</v>
      </c>
      <c r="E811">
        <f t="shared" si="26"/>
        <v>0</v>
      </c>
    </row>
    <row r="812" spans="4:5" x14ac:dyDescent="0.2">
      <c r="D812">
        <f t="shared" si="25"/>
        <v>0</v>
      </c>
      <c r="E812">
        <f t="shared" si="26"/>
        <v>0</v>
      </c>
    </row>
    <row r="813" spans="4:5" x14ac:dyDescent="0.2">
      <c r="D813">
        <f t="shared" si="25"/>
        <v>0</v>
      </c>
      <c r="E813">
        <f t="shared" si="26"/>
        <v>0</v>
      </c>
    </row>
    <row r="814" spans="4:5" x14ac:dyDescent="0.2">
      <c r="D814">
        <f t="shared" si="25"/>
        <v>0</v>
      </c>
      <c r="E814">
        <f t="shared" si="26"/>
        <v>0</v>
      </c>
    </row>
    <row r="815" spans="4:5" x14ac:dyDescent="0.2">
      <c r="D815">
        <f t="shared" si="25"/>
        <v>0</v>
      </c>
      <c r="E815">
        <f t="shared" si="26"/>
        <v>0</v>
      </c>
    </row>
    <row r="816" spans="4:5" x14ac:dyDescent="0.2">
      <c r="D816">
        <f t="shared" si="25"/>
        <v>0</v>
      </c>
      <c r="E816">
        <f t="shared" si="26"/>
        <v>0</v>
      </c>
    </row>
    <row r="817" spans="4:5" x14ac:dyDescent="0.2">
      <c r="D817">
        <f t="shared" si="25"/>
        <v>0</v>
      </c>
      <c r="E817">
        <f t="shared" si="26"/>
        <v>0</v>
      </c>
    </row>
    <row r="818" spans="4:5" x14ac:dyDescent="0.2">
      <c r="D818">
        <f t="shared" si="25"/>
        <v>0</v>
      </c>
      <c r="E818">
        <f t="shared" si="26"/>
        <v>0</v>
      </c>
    </row>
    <row r="819" spans="4:5" x14ac:dyDescent="0.2">
      <c r="D819">
        <f t="shared" si="25"/>
        <v>0</v>
      </c>
      <c r="E819">
        <f t="shared" si="26"/>
        <v>0</v>
      </c>
    </row>
    <row r="820" spans="4:5" x14ac:dyDescent="0.2">
      <c r="D820">
        <f t="shared" si="25"/>
        <v>0</v>
      </c>
      <c r="E820">
        <f t="shared" si="26"/>
        <v>0</v>
      </c>
    </row>
    <row r="821" spans="4:5" x14ac:dyDescent="0.2">
      <c r="D821">
        <f t="shared" si="25"/>
        <v>0</v>
      </c>
      <c r="E821">
        <f t="shared" si="26"/>
        <v>0</v>
      </c>
    </row>
    <row r="822" spans="4:5" x14ac:dyDescent="0.2">
      <c r="D822">
        <f t="shared" si="25"/>
        <v>0</v>
      </c>
      <c r="E822">
        <f t="shared" si="26"/>
        <v>0</v>
      </c>
    </row>
    <row r="823" spans="4:5" x14ac:dyDescent="0.2">
      <c r="D823">
        <f t="shared" si="25"/>
        <v>0</v>
      </c>
      <c r="E823">
        <f t="shared" si="26"/>
        <v>0</v>
      </c>
    </row>
    <row r="824" spans="4:5" x14ac:dyDescent="0.2">
      <c r="D824">
        <f t="shared" si="25"/>
        <v>0</v>
      </c>
      <c r="E824">
        <f t="shared" si="26"/>
        <v>0</v>
      </c>
    </row>
    <row r="825" spans="4:5" x14ac:dyDescent="0.2">
      <c r="D825">
        <f t="shared" si="25"/>
        <v>0</v>
      </c>
      <c r="E825">
        <f t="shared" si="26"/>
        <v>0</v>
      </c>
    </row>
    <row r="826" spans="4:5" x14ac:dyDescent="0.2">
      <c r="D826">
        <f t="shared" si="25"/>
        <v>0</v>
      </c>
      <c r="E826">
        <f t="shared" si="26"/>
        <v>0</v>
      </c>
    </row>
    <row r="827" spans="4:5" x14ac:dyDescent="0.2">
      <c r="D827">
        <f t="shared" si="25"/>
        <v>0</v>
      </c>
      <c r="E827">
        <f t="shared" si="26"/>
        <v>0</v>
      </c>
    </row>
    <row r="828" spans="4:5" x14ac:dyDescent="0.2">
      <c r="D828">
        <f t="shared" si="25"/>
        <v>0</v>
      </c>
      <c r="E828">
        <f t="shared" si="26"/>
        <v>0</v>
      </c>
    </row>
    <row r="829" spans="4:5" x14ac:dyDescent="0.2">
      <c r="D829">
        <f t="shared" si="25"/>
        <v>0</v>
      </c>
      <c r="E829">
        <f t="shared" si="26"/>
        <v>0</v>
      </c>
    </row>
    <row r="830" spans="4:5" x14ac:dyDescent="0.2">
      <c r="D830">
        <f t="shared" si="25"/>
        <v>0</v>
      </c>
      <c r="E830">
        <f t="shared" si="26"/>
        <v>0</v>
      </c>
    </row>
    <row r="831" spans="4:5" x14ac:dyDescent="0.2">
      <c r="D831">
        <f t="shared" si="25"/>
        <v>0</v>
      </c>
      <c r="E831">
        <f t="shared" si="26"/>
        <v>0</v>
      </c>
    </row>
    <row r="832" spans="4:5" x14ac:dyDescent="0.2">
      <c r="D832">
        <f t="shared" si="25"/>
        <v>0</v>
      </c>
      <c r="E832">
        <f t="shared" si="26"/>
        <v>0</v>
      </c>
    </row>
    <row r="833" spans="4:5" x14ac:dyDescent="0.2">
      <c r="D833">
        <f t="shared" si="25"/>
        <v>0</v>
      </c>
      <c r="E833">
        <f t="shared" si="26"/>
        <v>0</v>
      </c>
    </row>
    <row r="834" spans="4:5" x14ac:dyDescent="0.2">
      <c r="D834">
        <f t="shared" si="25"/>
        <v>0</v>
      </c>
      <c r="E834">
        <f t="shared" si="26"/>
        <v>0</v>
      </c>
    </row>
    <row r="835" spans="4:5" x14ac:dyDescent="0.2">
      <c r="D835">
        <f t="shared" si="25"/>
        <v>0</v>
      </c>
      <c r="E835">
        <f t="shared" si="26"/>
        <v>0</v>
      </c>
    </row>
    <row r="836" spans="4:5" x14ac:dyDescent="0.2">
      <c r="D836">
        <f t="shared" si="25"/>
        <v>0</v>
      </c>
      <c r="E836">
        <f t="shared" si="26"/>
        <v>0</v>
      </c>
    </row>
    <row r="837" spans="4:5" x14ac:dyDescent="0.2">
      <c r="D837">
        <f t="shared" si="25"/>
        <v>0</v>
      </c>
      <c r="E837">
        <f t="shared" si="26"/>
        <v>0</v>
      </c>
    </row>
    <row r="838" spans="4:5" x14ac:dyDescent="0.2">
      <c r="D838">
        <f t="shared" si="25"/>
        <v>0</v>
      </c>
      <c r="E838">
        <f t="shared" si="26"/>
        <v>0</v>
      </c>
    </row>
    <row r="839" spans="4:5" x14ac:dyDescent="0.2">
      <c r="D839">
        <f t="shared" si="25"/>
        <v>0</v>
      </c>
      <c r="E839">
        <f t="shared" si="26"/>
        <v>0</v>
      </c>
    </row>
    <row r="840" spans="4:5" x14ac:dyDescent="0.2">
      <c r="D840">
        <f t="shared" si="25"/>
        <v>0</v>
      </c>
      <c r="E840">
        <f t="shared" si="26"/>
        <v>0</v>
      </c>
    </row>
    <row r="841" spans="4:5" x14ac:dyDescent="0.2">
      <c r="D841">
        <f t="shared" si="25"/>
        <v>0</v>
      </c>
      <c r="E841">
        <f t="shared" si="26"/>
        <v>0</v>
      </c>
    </row>
    <row r="842" spans="4:5" x14ac:dyDescent="0.2">
      <c r="D842">
        <f t="shared" si="25"/>
        <v>0</v>
      </c>
      <c r="E842">
        <f t="shared" si="26"/>
        <v>0</v>
      </c>
    </row>
    <row r="843" spans="4:5" x14ac:dyDescent="0.2">
      <c r="D843">
        <f t="shared" si="25"/>
        <v>0</v>
      </c>
      <c r="E843">
        <f t="shared" si="26"/>
        <v>0</v>
      </c>
    </row>
    <row r="844" spans="4:5" x14ac:dyDescent="0.2">
      <c r="D844">
        <f t="shared" si="25"/>
        <v>0</v>
      </c>
      <c r="E844">
        <f t="shared" si="26"/>
        <v>0</v>
      </c>
    </row>
    <row r="845" spans="4:5" x14ac:dyDescent="0.2">
      <c r="D845">
        <f t="shared" si="25"/>
        <v>0</v>
      </c>
      <c r="E845">
        <f t="shared" si="26"/>
        <v>0</v>
      </c>
    </row>
    <row r="846" spans="4:5" x14ac:dyDescent="0.2">
      <c r="D846">
        <f t="shared" si="25"/>
        <v>0</v>
      </c>
      <c r="E846">
        <f t="shared" si="26"/>
        <v>0</v>
      </c>
    </row>
    <row r="847" spans="4:5" x14ac:dyDescent="0.2">
      <c r="D847">
        <f t="shared" si="25"/>
        <v>0</v>
      </c>
      <c r="E847">
        <f t="shared" si="26"/>
        <v>0</v>
      </c>
    </row>
    <row r="848" spans="4:5" x14ac:dyDescent="0.2">
      <c r="D848">
        <f t="shared" si="25"/>
        <v>0</v>
      </c>
      <c r="E848">
        <f t="shared" si="26"/>
        <v>0</v>
      </c>
    </row>
    <row r="849" spans="4:5" x14ac:dyDescent="0.2">
      <c r="D849">
        <f t="shared" si="25"/>
        <v>0</v>
      </c>
      <c r="E849">
        <f t="shared" si="26"/>
        <v>0</v>
      </c>
    </row>
    <row r="850" spans="4:5" x14ac:dyDescent="0.2">
      <c r="D850">
        <f t="shared" si="25"/>
        <v>0</v>
      </c>
      <c r="E850">
        <f t="shared" si="26"/>
        <v>0</v>
      </c>
    </row>
    <row r="851" spans="4:5" x14ac:dyDescent="0.2">
      <c r="D851">
        <f t="shared" si="25"/>
        <v>0</v>
      </c>
      <c r="E851">
        <f t="shared" si="26"/>
        <v>0</v>
      </c>
    </row>
    <row r="852" spans="4:5" x14ac:dyDescent="0.2">
      <c r="D852">
        <f t="shared" si="25"/>
        <v>0</v>
      </c>
      <c r="E852">
        <f t="shared" si="26"/>
        <v>0</v>
      </c>
    </row>
    <row r="853" spans="4:5" x14ac:dyDescent="0.2">
      <c r="D853">
        <f t="shared" si="25"/>
        <v>0</v>
      </c>
      <c r="E853">
        <f t="shared" si="26"/>
        <v>0</v>
      </c>
    </row>
    <row r="854" spans="4:5" x14ac:dyDescent="0.2">
      <c r="D854">
        <f t="shared" si="25"/>
        <v>0</v>
      </c>
      <c r="E854">
        <f t="shared" si="26"/>
        <v>0</v>
      </c>
    </row>
    <row r="855" spans="4:5" x14ac:dyDescent="0.2">
      <c r="D855">
        <f t="shared" si="25"/>
        <v>0</v>
      </c>
      <c r="E855">
        <f t="shared" si="26"/>
        <v>0</v>
      </c>
    </row>
    <row r="856" spans="4:5" x14ac:dyDescent="0.2">
      <c r="D856">
        <f t="shared" si="25"/>
        <v>0</v>
      </c>
      <c r="E856">
        <f t="shared" si="26"/>
        <v>0</v>
      </c>
    </row>
    <row r="857" spans="4:5" x14ac:dyDescent="0.2">
      <c r="D857">
        <f t="shared" si="25"/>
        <v>0</v>
      </c>
      <c r="E857">
        <f t="shared" si="26"/>
        <v>0</v>
      </c>
    </row>
    <row r="858" spans="4:5" x14ac:dyDescent="0.2">
      <c r="D858">
        <f t="shared" si="25"/>
        <v>0</v>
      </c>
      <c r="E858">
        <f t="shared" si="26"/>
        <v>0</v>
      </c>
    </row>
    <row r="859" spans="4:5" x14ac:dyDescent="0.2">
      <c r="D859">
        <f t="shared" si="25"/>
        <v>0</v>
      </c>
      <c r="E859">
        <f t="shared" si="26"/>
        <v>0</v>
      </c>
    </row>
    <row r="860" spans="4:5" x14ac:dyDescent="0.2">
      <c r="D860">
        <f t="shared" si="25"/>
        <v>0</v>
      </c>
      <c r="E860">
        <f t="shared" si="26"/>
        <v>0</v>
      </c>
    </row>
    <row r="861" spans="4:5" x14ac:dyDescent="0.2">
      <c r="D861">
        <f t="shared" si="25"/>
        <v>0</v>
      </c>
      <c r="E861">
        <f t="shared" si="26"/>
        <v>0</v>
      </c>
    </row>
    <row r="862" spans="4:5" x14ac:dyDescent="0.2">
      <c r="D862">
        <f t="shared" ref="D862:D925" si="27">A862*0.3048</f>
        <v>0</v>
      </c>
      <c r="E862">
        <f t="shared" ref="E862:E925" si="28">B862*0.3048</f>
        <v>0</v>
      </c>
    </row>
    <row r="863" spans="4:5" x14ac:dyDescent="0.2">
      <c r="D863">
        <f t="shared" si="27"/>
        <v>0</v>
      </c>
      <c r="E863">
        <f t="shared" si="28"/>
        <v>0</v>
      </c>
    </row>
    <row r="864" spans="4:5" x14ac:dyDescent="0.2">
      <c r="D864">
        <f t="shared" si="27"/>
        <v>0</v>
      </c>
      <c r="E864">
        <f t="shared" si="28"/>
        <v>0</v>
      </c>
    </row>
    <row r="865" spans="4:5" x14ac:dyDescent="0.2">
      <c r="D865">
        <f t="shared" si="27"/>
        <v>0</v>
      </c>
      <c r="E865">
        <f t="shared" si="28"/>
        <v>0</v>
      </c>
    </row>
    <row r="866" spans="4:5" x14ac:dyDescent="0.2">
      <c r="D866">
        <f t="shared" si="27"/>
        <v>0</v>
      </c>
      <c r="E866">
        <f t="shared" si="28"/>
        <v>0</v>
      </c>
    </row>
    <row r="867" spans="4:5" x14ac:dyDescent="0.2">
      <c r="D867">
        <f t="shared" si="27"/>
        <v>0</v>
      </c>
      <c r="E867">
        <f t="shared" si="28"/>
        <v>0</v>
      </c>
    </row>
    <row r="868" spans="4:5" x14ac:dyDescent="0.2">
      <c r="D868">
        <f t="shared" si="27"/>
        <v>0</v>
      </c>
      <c r="E868">
        <f t="shared" si="28"/>
        <v>0</v>
      </c>
    </row>
    <row r="869" spans="4:5" x14ac:dyDescent="0.2">
      <c r="D869">
        <f t="shared" si="27"/>
        <v>0</v>
      </c>
      <c r="E869">
        <f t="shared" si="28"/>
        <v>0</v>
      </c>
    </row>
    <row r="870" spans="4:5" x14ac:dyDescent="0.2">
      <c r="D870">
        <f t="shared" si="27"/>
        <v>0</v>
      </c>
      <c r="E870">
        <f t="shared" si="28"/>
        <v>0</v>
      </c>
    </row>
    <row r="871" spans="4:5" x14ac:dyDescent="0.2">
      <c r="D871">
        <f t="shared" si="27"/>
        <v>0</v>
      </c>
      <c r="E871">
        <f t="shared" si="28"/>
        <v>0</v>
      </c>
    </row>
    <row r="872" spans="4:5" x14ac:dyDescent="0.2">
      <c r="D872">
        <f t="shared" si="27"/>
        <v>0</v>
      </c>
      <c r="E872">
        <f t="shared" si="28"/>
        <v>0</v>
      </c>
    </row>
    <row r="873" spans="4:5" x14ac:dyDescent="0.2">
      <c r="D873">
        <f t="shared" si="27"/>
        <v>0</v>
      </c>
      <c r="E873">
        <f t="shared" si="28"/>
        <v>0</v>
      </c>
    </row>
    <row r="874" spans="4:5" x14ac:dyDescent="0.2">
      <c r="D874">
        <f t="shared" si="27"/>
        <v>0</v>
      </c>
      <c r="E874">
        <f t="shared" si="28"/>
        <v>0</v>
      </c>
    </row>
    <row r="875" spans="4:5" x14ac:dyDescent="0.2">
      <c r="D875">
        <f t="shared" si="27"/>
        <v>0</v>
      </c>
      <c r="E875">
        <f t="shared" si="28"/>
        <v>0</v>
      </c>
    </row>
    <row r="876" spans="4:5" x14ac:dyDescent="0.2">
      <c r="D876">
        <f t="shared" si="27"/>
        <v>0</v>
      </c>
      <c r="E876">
        <f t="shared" si="28"/>
        <v>0</v>
      </c>
    </row>
    <row r="877" spans="4:5" x14ac:dyDescent="0.2">
      <c r="D877">
        <f t="shared" si="27"/>
        <v>0</v>
      </c>
      <c r="E877">
        <f t="shared" si="28"/>
        <v>0</v>
      </c>
    </row>
    <row r="878" spans="4:5" x14ac:dyDescent="0.2">
      <c r="D878">
        <f t="shared" si="27"/>
        <v>0</v>
      </c>
      <c r="E878">
        <f t="shared" si="28"/>
        <v>0</v>
      </c>
    </row>
    <row r="879" spans="4:5" x14ac:dyDescent="0.2">
      <c r="D879">
        <f t="shared" si="27"/>
        <v>0</v>
      </c>
      <c r="E879">
        <f t="shared" si="28"/>
        <v>0</v>
      </c>
    </row>
    <row r="880" spans="4:5" x14ac:dyDescent="0.2">
      <c r="D880">
        <f t="shared" si="27"/>
        <v>0</v>
      </c>
      <c r="E880">
        <f t="shared" si="28"/>
        <v>0</v>
      </c>
    </row>
    <row r="881" spans="4:5" x14ac:dyDescent="0.2">
      <c r="D881">
        <f t="shared" si="27"/>
        <v>0</v>
      </c>
      <c r="E881">
        <f t="shared" si="28"/>
        <v>0</v>
      </c>
    </row>
    <row r="882" spans="4:5" x14ac:dyDescent="0.2">
      <c r="D882">
        <f t="shared" si="27"/>
        <v>0</v>
      </c>
      <c r="E882">
        <f t="shared" si="28"/>
        <v>0</v>
      </c>
    </row>
    <row r="883" spans="4:5" x14ac:dyDescent="0.2">
      <c r="D883">
        <f t="shared" si="27"/>
        <v>0</v>
      </c>
      <c r="E883">
        <f t="shared" si="28"/>
        <v>0</v>
      </c>
    </row>
    <row r="884" spans="4:5" x14ac:dyDescent="0.2">
      <c r="D884">
        <f t="shared" si="27"/>
        <v>0</v>
      </c>
      <c r="E884">
        <f t="shared" si="28"/>
        <v>0</v>
      </c>
    </row>
    <row r="885" spans="4:5" x14ac:dyDescent="0.2">
      <c r="D885">
        <f t="shared" si="27"/>
        <v>0</v>
      </c>
      <c r="E885">
        <f t="shared" si="28"/>
        <v>0</v>
      </c>
    </row>
    <row r="886" spans="4:5" x14ac:dyDescent="0.2">
      <c r="D886">
        <f t="shared" si="27"/>
        <v>0</v>
      </c>
      <c r="E886">
        <f t="shared" si="28"/>
        <v>0</v>
      </c>
    </row>
    <row r="887" spans="4:5" x14ac:dyDescent="0.2">
      <c r="D887">
        <f t="shared" si="27"/>
        <v>0</v>
      </c>
      <c r="E887">
        <f t="shared" si="28"/>
        <v>0</v>
      </c>
    </row>
    <row r="888" spans="4:5" x14ac:dyDescent="0.2">
      <c r="D888">
        <f t="shared" si="27"/>
        <v>0</v>
      </c>
      <c r="E888">
        <f t="shared" si="28"/>
        <v>0</v>
      </c>
    </row>
    <row r="889" spans="4:5" x14ac:dyDescent="0.2">
      <c r="D889">
        <f t="shared" si="27"/>
        <v>0</v>
      </c>
      <c r="E889">
        <f t="shared" si="28"/>
        <v>0</v>
      </c>
    </row>
    <row r="890" spans="4:5" x14ac:dyDescent="0.2">
      <c r="D890">
        <f t="shared" si="27"/>
        <v>0</v>
      </c>
      <c r="E890">
        <f t="shared" si="28"/>
        <v>0</v>
      </c>
    </row>
    <row r="891" spans="4:5" x14ac:dyDescent="0.2">
      <c r="D891">
        <f t="shared" si="27"/>
        <v>0</v>
      </c>
      <c r="E891">
        <f t="shared" si="28"/>
        <v>0</v>
      </c>
    </row>
    <row r="892" spans="4:5" x14ac:dyDescent="0.2">
      <c r="D892">
        <f t="shared" si="27"/>
        <v>0</v>
      </c>
      <c r="E892">
        <f t="shared" si="28"/>
        <v>0</v>
      </c>
    </row>
    <row r="893" spans="4:5" x14ac:dyDescent="0.2">
      <c r="D893">
        <f t="shared" si="27"/>
        <v>0</v>
      </c>
      <c r="E893">
        <f t="shared" si="28"/>
        <v>0</v>
      </c>
    </row>
    <row r="894" spans="4:5" x14ac:dyDescent="0.2">
      <c r="D894">
        <f t="shared" si="27"/>
        <v>0</v>
      </c>
      <c r="E894">
        <f t="shared" si="28"/>
        <v>0</v>
      </c>
    </row>
    <row r="895" spans="4:5" x14ac:dyDescent="0.2">
      <c r="D895">
        <f t="shared" si="27"/>
        <v>0</v>
      </c>
      <c r="E895">
        <f t="shared" si="28"/>
        <v>0</v>
      </c>
    </row>
    <row r="896" spans="4:5" x14ac:dyDescent="0.2">
      <c r="D896">
        <f t="shared" si="27"/>
        <v>0</v>
      </c>
      <c r="E896">
        <f t="shared" si="28"/>
        <v>0</v>
      </c>
    </row>
    <row r="897" spans="4:5" x14ac:dyDescent="0.2">
      <c r="D897">
        <f t="shared" si="27"/>
        <v>0</v>
      </c>
      <c r="E897">
        <f t="shared" si="28"/>
        <v>0</v>
      </c>
    </row>
    <row r="898" spans="4:5" x14ac:dyDescent="0.2">
      <c r="D898">
        <f t="shared" si="27"/>
        <v>0</v>
      </c>
      <c r="E898">
        <f t="shared" si="28"/>
        <v>0</v>
      </c>
    </row>
    <row r="899" spans="4:5" x14ac:dyDescent="0.2">
      <c r="D899">
        <f t="shared" si="27"/>
        <v>0</v>
      </c>
      <c r="E899">
        <f t="shared" si="28"/>
        <v>0</v>
      </c>
    </row>
    <row r="900" spans="4:5" x14ac:dyDescent="0.2">
      <c r="D900">
        <f t="shared" si="27"/>
        <v>0</v>
      </c>
      <c r="E900">
        <f t="shared" si="28"/>
        <v>0</v>
      </c>
    </row>
    <row r="901" spans="4:5" x14ac:dyDescent="0.2">
      <c r="D901">
        <f t="shared" si="27"/>
        <v>0</v>
      </c>
      <c r="E901">
        <f t="shared" si="28"/>
        <v>0</v>
      </c>
    </row>
    <row r="902" spans="4:5" x14ac:dyDescent="0.2">
      <c r="D902">
        <f t="shared" si="27"/>
        <v>0</v>
      </c>
      <c r="E902">
        <f t="shared" si="28"/>
        <v>0</v>
      </c>
    </row>
    <row r="903" spans="4:5" x14ac:dyDescent="0.2">
      <c r="D903">
        <f t="shared" si="27"/>
        <v>0</v>
      </c>
      <c r="E903">
        <f t="shared" si="28"/>
        <v>0</v>
      </c>
    </row>
    <row r="904" spans="4:5" x14ac:dyDescent="0.2">
      <c r="D904">
        <f t="shared" si="27"/>
        <v>0</v>
      </c>
      <c r="E904">
        <f t="shared" si="28"/>
        <v>0</v>
      </c>
    </row>
    <row r="905" spans="4:5" x14ac:dyDescent="0.2">
      <c r="D905">
        <f t="shared" si="27"/>
        <v>0</v>
      </c>
      <c r="E905">
        <f t="shared" si="28"/>
        <v>0</v>
      </c>
    </row>
    <row r="906" spans="4:5" x14ac:dyDescent="0.2">
      <c r="D906">
        <f t="shared" si="27"/>
        <v>0</v>
      </c>
      <c r="E906">
        <f t="shared" si="28"/>
        <v>0</v>
      </c>
    </row>
    <row r="907" spans="4:5" x14ac:dyDescent="0.2">
      <c r="D907">
        <f t="shared" si="27"/>
        <v>0</v>
      </c>
      <c r="E907">
        <f t="shared" si="28"/>
        <v>0</v>
      </c>
    </row>
    <row r="908" spans="4:5" x14ac:dyDescent="0.2">
      <c r="D908">
        <f t="shared" si="27"/>
        <v>0</v>
      </c>
      <c r="E908">
        <f t="shared" si="28"/>
        <v>0</v>
      </c>
    </row>
    <row r="909" spans="4:5" x14ac:dyDescent="0.2">
      <c r="D909">
        <f t="shared" si="27"/>
        <v>0</v>
      </c>
      <c r="E909">
        <f t="shared" si="28"/>
        <v>0</v>
      </c>
    </row>
    <row r="910" spans="4:5" x14ac:dyDescent="0.2">
      <c r="D910">
        <f t="shared" si="27"/>
        <v>0</v>
      </c>
      <c r="E910">
        <f t="shared" si="28"/>
        <v>0</v>
      </c>
    </row>
    <row r="911" spans="4:5" x14ac:dyDescent="0.2">
      <c r="D911">
        <f t="shared" si="27"/>
        <v>0</v>
      </c>
      <c r="E911">
        <f t="shared" si="28"/>
        <v>0</v>
      </c>
    </row>
    <row r="912" spans="4:5" x14ac:dyDescent="0.2">
      <c r="D912">
        <f t="shared" si="27"/>
        <v>0</v>
      </c>
      <c r="E912">
        <f t="shared" si="28"/>
        <v>0</v>
      </c>
    </row>
    <row r="913" spans="4:5" x14ac:dyDescent="0.2">
      <c r="D913">
        <f t="shared" si="27"/>
        <v>0</v>
      </c>
      <c r="E913">
        <f t="shared" si="28"/>
        <v>0</v>
      </c>
    </row>
    <row r="914" spans="4:5" x14ac:dyDescent="0.2">
      <c r="D914">
        <f t="shared" si="27"/>
        <v>0</v>
      </c>
      <c r="E914">
        <f t="shared" si="28"/>
        <v>0</v>
      </c>
    </row>
    <row r="915" spans="4:5" x14ac:dyDescent="0.2">
      <c r="D915">
        <f t="shared" si="27"/>
        <v>0</v>
      </c>
      <c r="E915">
        <f t="shared" si="28"/>
        <v>0</v>
      </c>
    </row>
    <row r="916" spans="4:5" x14ac:dyDescent="0.2">
      <c r="D916">
        <f t="shared" si="27"/>
        <v>0</v>
      </c>
      <c r="E916">
        <f t="shared" si="28"/>
        <v>0</v>
      </c>
    </row>
    <row r="917" spans="4:5" x14ac:dyDescent="0.2">
      <c r="D917">
        <f t="shared" si="27"/>
        <v>0</v>
      </c>
      <c r="E917">
        <f t="shared" si="28"/>
        <v>0</v>
      </c>
    </row>
    <row r="918" spans="4:5" x14ac:dyDescent="0.2">
      <c r="D918">
        <f t="shared" si="27"/>
        <v>0</v>
      </c>
      <c r="E918">
        <f t="shared" si="28"/>
        <v>0</v>
      </c>
    </row>
    <row r="919" spans="4:5" x14ac:dyDescent="0.2">
      <c r="D919">
        <f t="shared" si="27"/>
        <v>0</v>
      </c>
      <c r="E919">
        <f t="shared" si="28"/>
        <v>0</v>
      </c>
    </row>
    <row r="920" spans="4:5" x14ac:dyDescent="0.2">
      <c r="D920">
        <f t="shared" si="27"/>
        <v>0</v>
      </c>
      <c r="E920">
        <f t="shared" si="28"/>
        <v>0</v>
      </c>
    </row>
    <row r="921" spans="4:5" x14ac:dyDescent="0.2">
      <c r="D921">
        <f t="shared" si="27"/>
        <v>0</v>
      </c>
      <c r="E921">
        <f t="shared" si="28"/>
        <v>0</v>
      </c>
    </row>
    <row r="922" spans="4:5" x14ac:dyDescent="0.2">
      <c r="D922">
        <f t="shared" si="27"/>
        <v>0</v>
      </c>
      <c r="E922">
        <f t="shared" si="28"/>
        <v>0</v>
      </c>
    </row>
    <row r="923" spans="4:5" x14ac:dyDescent="0.2">
      <c r="D923">
        <f t="shared" si="27"/>
        <v>0</v>
      </c>
      <c r="E923">
        <f t="shared" si="28"/>
        <v>0</v>
      </c>
    </row>
    <row r="924" spans="4:5" x14ac:dyDescent="0.2">
      <c r="D924">
        <f t="shared" si="27"/>
        <v>0</v>
      </c>
      <c r="E924">
        <f t="shared" si="28"/>
        <v>0</v>
      </c>
    </row>
    <row r="925" spans="4:5" x14ac:dyDescent="0.2">
      <c r="D925">
        <f t="shared" si="27"/>
        <v>0</v>
      </c>
      <c r="E925">
        <f t="shared" si="28"/>
        <v>0</v>
      </c>
    </row>
    <row r="926" spans="4:5" x14ac:dyDescent="0.2">
      <c r="D926">
        <f t="shared" ref="D926:D989" si="29">A926*0.3048</f>
        <v>0</v>
      </c>
      <c r="E926">
        <f t="shared" ref="E926:E989" si="30">B926*0.3048</f>
        <v>0</v>
      </c>
    </row>
    <row r="927" spans="4:5" x14ac:dyDescent="0.2">
      <c r="D927">
        <f t="shared" si="29"/>
        <v>0</v>
      </c>
      <c r="E927">
        <f t="shared" si="30"/>
        <v>0</v>
      </c>
    </row>
    <row r="928" spans="4:5" x14ac:dyDescent="0.2">
      <c r="D928">
        <f t="shared" si="29"/>
        <v>0</v>
      </c>
      <c r="E928">
        <f t="shared" si="30"/>
        <v>0</v>
      </c>
    </row>
    <row r="929" spans="4:5" x14ac:dyDescent="0.2">
      <c r="D929">
        <f t="shared" si="29"/>
        <v>0</v>
      </c>
      <c r="E929">
        <f t="shared" si="30"/>
        <v>0</v>
      </c>
    </row>
    <row r="930" spans="4:5" x14ac:dyDescent="0.2">
      <c r="D930">
        <f t="shared" si="29"/>
        <v>0</v>
      </c>
      <c r="E930">
        <f t="shared" si="30"/>
        <v>0</v>
      </c>
    </row>
    <row r="931" spans="4:5" x14ac:dyDescent="0.2">
      <c r="D931">
        <f t="shared" si="29"/>
        <v>0</v>
      </c>
      <c r="E931">
        <f t="shared" si="30"/>
        <v>0</v>
      </c>
    </row>
    <row r="932" spans="4:5" x14ac:dyDescent="0.2">
      <c r="D932">
        <f t="shared" si="29"/>
        <v>0</v>
      </c>
      <c r="E932">
        <f t="shared" si="30"/>
        <v>0</v>
      </c>
    </row>
    <row r="933" spans="4:5" x14ac:dyDescent="0.2">
      <c r="D933">
        <f t="shared" si="29"/>
        <v>0</v>
      </c>
      <c r="E933">
        <f t="shared" si="30"/>
        <v>0</v>
      </c>
    </row>
    <row r="934" spans="4:5" x14ac:dyDescent="0.2">
      <c r="D934">
        <f t="shared" si="29"/>
        <v>0</v>
      </c>
      <c r="E934">
        <f t="shared" si="30"/>
        <v>0</v>
      </c>
    </row>
    <row r="935" spans="4:5" x14ac:dyDescent="0.2">
      <c r="D935">
        <f t="shared" si="29"/>
        <v>0</v>
      </c>
      <c r="E935">
        <f t="shared" si="30"/>
        <v>0</v>
      </c>
    </row>
    <row r="936" spans="4:5" x14ac:dyDescent="0.2">
      <c r="D936">
        <f t="shared" si="29"/>
        <v>0</v>
      </c>
      <c r="E936">
        <f t="shared" si="30"/>
        <v>0</v>
      </c>
    </row>
    <row r="937" spans="4:5" x14ac:dyDescent="0.2">
      <c r="D937">
        <f t="shared" si="29"/>
        <v>0</v>
      </c>
      <c r="E937">
        <f t="shared" si="30"/>
        <v>0</v>
      </c>
    </row>
    <row r="938" spans="4:5" x14ac:dyDescent="0.2">
      <c r="D938">
        <f t="shared" si="29"/>
        <v>0</v>
      </c>
      <c r="E938">
        <f t="shared" si="30"/>
        <v>0</v>
      </c>
    </row>
    <row r="939" spans="4:5" x14ac:dyDescent="0.2">
      <c r="D939">
        <f t="shared" si="29"/>
        <v>0</v>
      </c>
      <c r="E939">
        <f t="shared" si="30"/>
        <v>0</v>
      </c>
    </row>
    <row r="940" spans="4:5" x14ac:dyDescent="0.2">
      <c r="D940">
        <f t="shared" si="29"/>
        <v>0</v>
      </c>
      <c r="E940">
        <f t="shared" si="30"/>
        <v>0</v>
      </c>
    </row>
    <row r="941" spans="4:5" x14ac:dyDescent="0.2">
      <c r="D941">
        <f t="shared" si="29"/>
        <v>0</v>
      </c>
      <c r="E941">
        <f t="shared" si="30"/>
        <v>0</v>
      </c>
    </row>
    <row r="942" spans="4:5" x14ac:dyDescent="0.2">
      <c r="D942">
        <f t="shared" si="29"/>
        <v>0</v>
      </c>
      <c r="E942">
        <f t="shared" si="30"/>
        <v>0</v>
      </c>
    </row>
    <row r="943" spans="4:5" x14ac:dyDescent="0.2">
      <c r="D943">
        <f t="shared" si="29"/>
        <v>0</v>
      </c>
      <c r="E943">
        <f t="shared" si="30"/>
        <v>0</v>
      </c>
    </row>
    <row r="944" spans="4:5" x14ac:dyDescent="0.2">
      <c r="D944">
        <f t="shared" si="29"/>
        <v>0</v>
      </c>
      <c r="E944">
        <f t="shared" si="30"/>
        <v>0</v>
      </c>
    </row>
    <row r="945" spans="4:5" x14ac:dyDescent="0.2">
      <c r="D945">
        <f t="shared" si="29"/>
        <v>0</v>
      </c>
      <c r="E945">
        <f t="shared" si="30"/>
        <v>0</v>
      </c>
    </row>
    <row r="946" spans="4:5" x14ac:dyDescent="0.2">
      <c r="D946">
        <f t="shared" si="29"/>
        <v>0</v>
      </c>
      <c r="E946">
        <f t="shared" si="30"/>
        <v>0</v>
      </c>
    </row>
    <row r="947" spans="4:5" x14ac:dyDescent="0.2">
      <c r="D947">
        <f t="shared" si="29"/>
        <v>0</v>
      </c>
      <c r="E947">
        <f t="shared" si="30"/>
        <v>0</v>
      </c>
    </row>
    <row r="948" spans="4:5" x14ac:dyDescent="0.2">
      <c r="D948">
        <f t="shared" si="29"/>
        <v>0</v>
      </c>
      <c r="E948">
        <f t="shared" si="30"/>
        <v>0</v>
      </c>
    </row>
    <row r="949" spans="4:5" x14ac:dyDescent="0.2">
      <c r="D949">
        <f t="shared" si="29"/>
        <v>0</v>
      </c>
      <c r="E949">
        <f t="shared" si="30"/>
        <v>0</v>
      </c>
    </row>
    <row r="950" spans="4:5" x14ac:dyDescent="0.2">
      <c r="D950">
        <f t="shared" si="29"/>
        <v>0</v>
      </c>
      <c r="E950">
        <f t="shared" si="30"/>
        <v>0</v>
      </c>
    </row>
    <row r="951" spans="4:5" x14ac:dyDescent="0.2">
      <c r="D951">
        <f t="shared" si="29"/>
        <v>0</v>
      </c>
      <c r="E951">
        <f t="shared" si="30"/>
        <v>0</v>
      </c>
    </row>
    <row r="952" spans="4:5" x14ac:dyDescent="0.2">
      <c r="D952">
        <f t="shared" si="29"/>
        <v>0</v>
      </c>
      <c r="E952">
        <f t="shared" si="30"/>
        <v>0</v>
      </c>
    </row>
    <row r="953" spans="4:5" x14ac:dyDescent="0.2">
      <c r="D953">
        <f t="shared" si="29"/>
        <v>0</v>
      </c>
      <c r="E953">
        <f t="shared" si="30"/>
        <v>0</v>
      </c>
    </row>
    <row r="954" spans="4:5" x14ac:dyDescent="0.2">
      <c r="D954">
        <f t="shared" si="29"/>
        <v>0</v>
      </c>
      <c r="E954">
        <f t="shared" si="30"/>
        <v>0</v>
      </c>
    </row>
    <row r="955" spans="4:5" x14ac:dyDescent="0.2">
      <c r="D955">
        <f t="shared" si="29"/>
        <v>0</v>
      </c>
      <c r="E955">
        <f t="shared" si="30"/>
        <v>0</v>
      </c>
    </row>
    <row r="956" spans="4:5" x14ac:dyDescent="0.2">
      <c r="D956">
        <f t="shared" si="29"/>
        <v>0</v>
      </c>
      <c r="E956">
        <f t="shared" si="30"/>
        <v>0</v>
      </c>
    </row>
    <row r="957" spans="4:5" x14ac:dyDescent="0.2">
      <c r="D957">
        <f t="shared" si="29"/>
        <v>0</v>
      </c>
      <c r="E957">
        <f t="shared" si="30"/>
        <v>0</v>
      </c>
    </row>
    <row r="958" spans="4:5" x14ac:dyDescent="0.2">
      <c r="D958">
        <f t="shared" si="29"/>
        <v>0</v>
      </c>
      <c r="E958">
        <f t="shared" si="30"/>
        <v>0</v>
      </c>
    </row>
    <row r="959" spans="4:5" x14ac:dyDescent="0.2">
      <c r="D959">
        <f t="shared" si="29"/>
        <v>0</v>
      </c>
      <c r="E959">
        <f t="shared" si="30"/>
        <v>0</v>
      </c>
    </row>
    <row r="960" spans="4:5" x14ac:dyDescent="0.2">
      <c r="D960">
        <f t="shared" si="29"/>
        <v>0</v>
      </c>
      <c r="E960">
        <f t="shared" si="30"/>
        <v>0</v>
      </c>
    </row>
    <row r="961" spans="4:5" x14ac:dyDescent="0.2">
      <c r="D961">
        <f t="shared" si="29"/>
        <v>0</v>
      </c>
      <c r="E961">
        <f t="shared" si="30"/>
        <v>0</v>
      </c>
    </row>
    <row r="962" spans="4:5" x14ac:dyDescent="0.2">
      <c r="D962">
        <f t="shared" si="29"/>
        <v>0</v>
      </c>
      <c r="E962">
        <f t="shared" si="30"/>
        <v>0</v>
      </c>
    </row>
    <row r="963" spans="4:5" x14ac:dyDescent="0.2">
      <c r="D963">
        <f t="shared" si="29"/>
        <v>0</v>
      </c>
      <c r="E963">
        <f t="shared" si="30"/>
        <v>0</v>
      </c>
    </row>
    <row r="964" spans="4:5" x14ac:dyDescent="0.2">
      <c r="D964">
        <f t="shared" si="29"/>
        <v>0</v>
      </c>
      <c r="E964">
        <f t="shared" si="30"/>
        <v>0</v>
      </c>
    </row>
    <row r="965" spans="4:5" x14ac:dyDescent="0.2">
      <c r="D965">
        <f t="shared" si="29"/>
        <v>0</v>
      </c>
      <c r="E965">
        <f t="shared" si="30"/>
        <v>0</v>
      </c>
    </row>
    <row r="966" spans="4:5" x14ac:dyDescent="0.2">
      <c r="D966">
        <f t="shared" si="29"/>
        <v>0</v>
      </c>
      <c r="E966">
        <f t="shared" si="30"/>
        <v>0</v>
      </c>
    </row>
    <row r="967" spans="4:5" x14ac:dyDescent="0.2">
      <c r="D967">
        <f t="shared" si="29"/>
        <v>0</v>
      </c>
      <c r="E967">
        <f t="shared" si="30"/>
        <v>0</v>
      </c>
    </row>
    <row r="968" spans="4:5" x14ac:dyDescent="0.2">
      <c r="D968">
        <f t="shared" si="29"/>
        <v>0</v>
      </c>
      <c r="E968">
        <f t="shared" si="30"/>
        <v>0</v>
      </c>
    </row>
    <row r="969" spans="4:5" x14ac:dyDescent="0.2">
      <c r="D969">
        <f t="shared" si="29"/>
        <v>0</v>
      </c>
      <c r="E969">
        <f t="shared" si="30"/>
        <v>0</v>
      </c>
    </row>
    <row r="970" spans="4:5" x14ac:dyDescent="0.2">
      <c r="D970">
        <f t="shared" si="29"/>
        <v>0</v>
      </c>
      <c r="E970">
        <f t="shared" si="30"/>
        <v>0</v>
      </c>
    </row>
    <row r="971" spans="4:5" x14ac:dyDescent="0.2">
      <c r="D971">
        <f t="shared" si="29"/>
        <v>0</v>
      </c>
      <c r="E971">
        <f t="shared" si="30"/>
        <v>0</v>
      </c>
    </row>
    <row r="972" spans="4:5" x14ac:dyDescent="0.2">
      <c r="D972">
        <f t="shared" si="29"/>
        <v>0</v>
      </c>
      <c r="E972">
        <f t="shared" si="30"/>
        <v>0</v>
      </c>
    </row>
    <row r="973" spans="4:5" x14ac:dyDescent="0.2">
      <c r="D973">
        <f t="shared" si="29"/>
        <v>0</v>
      </c>
      <c r="E973">
        <f t="shared" si="30"/>
        <v>0</v>
      </c>
    </row>
    <row r="974" spans="4:5" x14ac:dyDescent="0.2">
      <c r="D974">
        <f t="shared" si="29"/>
        <v>0</v>
      </c>
      <c r="E974">
        <f t="shared" si="30"/>
        <v>0</v>
      </c>
    </row>
    <row r="975" spans="4:5" x14ac:dyDescent="0.2">
      <c r="D975">
        <f t="shared" si="29"/>
        <v>0</v>
      </c>
      <c r="E975">
        <f t="shared" si="30"/>
        <v>0</v>
      </c>
    </row>
    <row r="976" spans="4:5" x14ac:dyDescent="0.2">
      <c r="D976">
        <f t="shared" si="29"/>
        <v>0</v>
      </c>
      <c r="E976">
        <f t="shared" si="30"/>
        <v>0</v>
      </c>
    </row>
    <row r="977" spans="4:5" x14ac:dyDescent="0.2">
      <c r="D977">
        <f t="shared" si="29"/>
        <v>0</v>
      </c>
      <c r="E977">
        <f t="shared" si="30"/>
        <v>0</v>
      </c>
    </row>
    <row r="978" spans="4:5" x14ac:dyDescent="0.2">
      <c r="D978">
        <f t="shared" si="29"/>
        <v>0</v>
      </c>
      <c r="E978">
        <f t="shared" si="30"/>
        <v>0</v>
      </c>
    </row>
    <row r="979" spans="4:5" x14ac:dyDescent="0.2">
      <c r="D979">
        <f t="shared" si="29"/>
        <v>0</v>
      </c>
      <c r="E979">
        <f t="shared" si="30"/>
        <v>0</v>
      </c>
    </row>
    <row r="980" spans="4:5" x14ac:dyDescent="0.2">
      <c r="D980">
        <f t="shared" si="29"/>
        <v>0</v>
      </c>
      <c r="E980">
        <f t="shared" si="30"/>
        <v>0</v>
      </c>
    </row>
    <row r="981" spans="4:5" x14ac:dyDescent="0.2">
      <c r="D981">
        <f t="shared" si="29"/>
        <v>0</v>
      </c>
      <c r="E981">
        <f t="shared" si="30"/>
        <v>0</v>
      </c>
    </row>
    <row r="982" spans="4:5" x14ac:dyDescent="0.2">
      <c r="D982">
        <f t="shared" si="29"/>
        <v>0</v>
      </c>
      <c r="E982">
        <f t="shared" si="30"/>
        <v>0</v>
      </c>
    </row>
    <row r="983" spans="4:5" x14ac:dyDescent="0.2">
      <c r="D983">
        <f t="shared" si="29"/>
        <v>0</v>
      </c>
      <c r="E983">
        <f t="shared" si="30"/>
        <v>0</v>
      </c>
    </row>
    <row r="984" spans="4:5" x14ac:dyDescent="0.2">
      <c r="D984">
        <f t="shared" si="29"/>
        <v>0</v>
      </c>
      <c r="E984">
        <f t="shared" si="30"/>
        <v>0</v>
      </c>
    </row>
    <row r="985" spans="4:5" x14ac:dyDescent="0.2">
      <c r="D985">
        <f t="shared" si="29"/>
        <v>0</v>
      </c>
      <c r="E985">
        <f t="shared" si="30"/>
        <v>0</v>
      </c>
    </row>
    <row r="986" spans="4:5" x14ac:dyDescent="0.2">
      <c r="D986">
        <f t="shared" si="29"/>
        <v>0</v>
      </c>
      <c r="E986">
        <f t="shared" si="30"/>
        <v>0</v>
      </c>
    </row>
    <row r="987" spans="4:5" x14ac:dyDescent="0.2">
      <c r="D987">
        <f t="shared" si="29"/>
        <v>0</v>
      </c>
      <c r="E987">
        <f t="shared" si="30"/>
        <v>0</v>
      </c>
    </row>
    <row r="988" spans="4:5" x14ac:dyDescent="0.2">
      <c r="D988">
        <f t="shared" si="29"/>
        <v>0</v>
      </c>
      <c r="E988">
        <f t="shared" si="30"/>
        <v>0</v>
      </c>
    </row>
    <row r="989" spans="4:5" x14ac:dyDescent="0.2">
      <c r="D989">
        <f t="shared" si="29"/>
        <v>0</v>
      </c>
      <c r="E989">
        <f t="shared" si="30"/>
        <v>0</v>
      </c>
    </row>
    <row r="990" spans="4:5" x14ac:dyDescent="0.2">
      <c r="D990">
        <f t="shared" ref="D990:D1053" si="31">A990*0.3048</f>
        <v>0</v>
      </c>
      <c r="E990">
        <f t="shared" ref="E990:E1053" si="32">B990*0.3048</f>
        <v>0</v>
      </c>
    </row>
    <row r="991" spans="4:5" x14ac:dyDescent="0.2">
      <c r="D991">
        <f t="shared" si="31"/>
        <v>0</v>
      </c>
      <c r="E991">
        <f t="shared" si="32"/>
        <v>0</v>
      </c>
    </row>
    <row r="992" spans="4:5" x14ac:dyDescent="0.2">
      <c r="D992">
        <f t="shared" si="31"/>
        <v>0</v>
      </c>
      <c r="E992">
        <f t="shared" si="32"/>
        <v>0</v>
      </c>
    </row>
    <row r="993" spans="4:5" x14ac:dyDescent="0.2">
      <c r="D993">
        <f t="shared" si="31"/>
        <v>0</v>
      </c>
      <c r="E993">
        <f t="shared" si="32"/>
        <v>0</v>
      </c>
    </row>
    <row r="994" spans="4:5" x14ac:dyDescent="0.2">
      <c r="D994">
        <f t="shared" si="31"/>
        <v>0</v>
      </c>
      <c r="E994">
        <f t="shared" si="32"/>
        <v>0</v>
      </c>
    </row>
    <row r="995" spans="4:5" x14ac:dyDescent="0.2">
      <c r="D995">
        <f t="shared" si="31"/>
        <v>0</v>
      </c>
      <c r="E995">
        <f t="shared" si="32"/>
        <v>0</v>
      </c>
    </row>
    <row r="996" spans="4:5" x14ac:dyDescent="0.2">
      <c r="D996">
        <f t="shared" si="31"/>
        <v>0</v>
      </c>
      <c r="E996">
        <f t="shared" si="32"/>
        <v>0</v>
      </c>
    </row>
    <row r="997" spans="4:5" x14ac:dyDescent="0.2">
      <c r="D997">
        <f t="shared" si="31"/>
        <v>0</v>
      </c>
      <c r="E997">
        <f t="shared" si="32"/>
        <v>0</v>
      </c>
    </row>
    <row r="998" spans="4:5" x14ac:dyDescent="0.2">
      <c r="D998">
        <f t="shared" si="31"/>
        <v>0</v>
      </c>
      <c r="E998">
        <f t="shared" si="32"/>
        <v>0</v>
      </c>
    </row>
    <row r="999" spans="4:5" x14ac:dyDescent="0.2">
      <c r="D999">
        <f t="shared" si="31"/>
        <v>0</v>
      </c>
      <c r="E999">
        <f t="shared" si="32"/>
        <v>0</v>
      </c>
    </row>
    <row r="1000" spans="4:5" x14ac:dyDescent="0.2">
      <c r="D1000">
        <f t="shared" si="31"/>
        <v>0</v>
      </c>
      <c r="E1000">
        <f t="shared" si="32"/>
        <v>0</v>
      </c>
    </row>
    <row r="1001" spans="4:5" x14ac:dyDescent="0.2">
      <c r="D1001">
        <f t="shared" si="31"/>
        <v>0</v>
      </c>
      <c r="E1001">
        <f t="shared" si="32"/>
        <v>0</v>
      </c>
    </row>
    <row r="1002" spans="4:5" x14ac:dyDescent="0.2">
      <c r="D1002">
        <f t="shared" si="31"/>
        <v>0</v>
      </c>
      <c r="E1002">
        <f t="shared" si="32"/>
        <v>0</v>
      </c>
    </row>
    <row r="1003" spans="4:5" x14ac:dyDescent="0.2">
      <c r="D1003">
        <f t="shared" si="31"/>
        <v>0</v>
      </c>
      <c r="E1003">
        <f t="shared" si="32"/>
        <v>0</v>
      </c>
    </row>
    <row r="1004" spans="4:5" x14ac:dyDescent="0.2">
      <c r="D1004">
        <f t="shared" si="31"/>
        <v>0</v>
      </c>
      <c r="E1004">
        <f t="shared" si="32"/>
        <v>0</v>
      </c>
    </row>
    <row r="1005" spans="4:5" x14ac:dyDescent="0.2">
      <c r="D1005">
        <f t="shared" si="31"/>
        <v>0</v>
      </c>
      <c r="E1005">
        <f t="shared" si="32"/>
        <v>0</v>
      </c>
    </row>
    <row r="1006" spans="4:5" x14ac:dyDescent="0.2">
      <c r="D1006">
        <f t="shared" si="31"/>
        <v>0</v>
      </c>
      <c r="E1006">
        <f t="shared" si="32"/>
        <v>0</v>
      </c>
    </row>
    <row r="1007" spans="4:5" x14ac:dyDescent="0.2">
      <c r="D1007">
        <f t="shared" si="31"/>
        <v>0</v>
      </c>
      <c r="E1007">
        <f t="shared" si="32"/>
        <v>0</v>
      </c>
    </row>
    <row r="1008" spans="4:5" x14ac:dyDescent="0.2">
      <c r="D1008">
        <f t="shared" si="31"/>
        <v>0</v>
      </c>
      <c r="E1008">
        <f t="shared" si="32"/>
        <v>0</v>
      </c>
    </row>
    <row r="1009" spans="4:5" x14ac:dyDescent="0.2">
      <c r="D1009">
        <f t="shared" si="31"/>
        <v>0</v>
      </c>
      <c r="E1009">
        <f t="shared" si="32"/>
        <v>0</v>
      </c>
    </row>
    <row r="1010" spans="4:5" x14ac:dyDescent="0.2">
      <c r="D1010">
        <f t="shared" si="31"/>
        <v>0</v>
      </c>
      <c r="E1010">
        <f t="shared" si="32"/>
        <v>0</v>
      </c>
    </row>
    <row r="1011" spans="4:5" x14ac:dyDescent="0.2">
      <c r="D1011">
        <f t="shared" si="31"/>
        <v>0</v>
      </c>
      <c r="E1011">
        <f t="shared" si="32"/>
        <v>0</v>
      </c>
    </row>
    <row r="1012" spans="4:5" x14ac:dyDescent="0.2">
      <c r="D1012">
        <f t="shared" si="31"/>
        <v>0</v>
      </c>
      <c r="E1012">
        <f t="shared" si="32"/>
        <v>0</v>
      </c>
    </row>
    <row r="1013" spans="4:5" x14ac:dyDescent="0.2">
      <c r="D1013">
        <f t="shared" si="31"/>
        <v>0</v>
      </c>
      <c r="E1013">
        <f t="shared" si="32"/>
        <v>0</v>
      </c>
    </row>
    <row r="1014" spans="4:5" x14ac:dyDescent="0.2">
      <c r="D1014">
        <f t="shared" si="31"/>
        <v>0</v>
      </c>
      <c r="E1014">
        <f t="shared" si="32"/>
        <v>0</v>
      </c>
    </row>
    <row r="1015" spans="4:5" x14ac:dyDescent="0.2">
      <c r="D1015">
        <f t="shared" si="31"/>
        <v>0</v>
      </c>
      <c r="E1015">
        <f t="shared" si="32"/>
        <v>0</v>
      </c>
    </row>
    <row r="1016" spans="4:5" x14ac:dyDescent="0.2">
      <c r="D1016">
        <f t="shared" si="31"/>
        <v>0</v>
      </c>
      <c r="E1016">
        <f t="shared" si="32"/>
        <v>0</v>
      </c>
    </row>
    <row r="1017" spans="4:5" x14ac:dyDescent="0.2">
      <c r="D1017">
        <f t="shared" si="31"/>
        <v>0</v>
      </c>
      <c r="E1017">
        <f t="shared" si="32"/>
        <v>0</v>
      </c>
    </row>
    <row r="1018" spans="4:5" x14ac:dyDescent="0.2">
      <c r="D1018">
        <f t="shared" si="31"/>
        <v>0</v>
      </c>
      <c r="E1018">
        <f t="shared" si="32"/>
        <v>0</v>
      </c>
    </row>
    <row r="1019" spans="4:5" x14ac:dyDescent="0.2">
      <c r="D1019">
        <f t="shared" si="31"/>
        <v>0</v>
      </c>
      <c r="E1019">
        <f t="shared" si="32"/>
        <v>0</v>
      </c>
    </row>
    <row r="1020" spans="4:5" x14ac:dyDescent="0.2">
      <c r="D1020">
        <f t="shared" si="31"/>
        <v>0</v>
      </c>
      <c r="E1020">
        <f t="shared" si="32"/>
        <v>0</v>
      </c>
    </row>
    <row r="1021" spans="4:5" x14ac:dyDescent="0.2">
      <c r="D1021">
        <f t="shared" si="31"/>
        <v>0</v>
      </c>
      <c r="E1021">
        <f t="shared" si="32"/>
        <v>0</v>
      </c>
    </row>
    <row r="1022" spans="4:5" x14ac:dyDescent="0.2">
      <c r="D1022">
        <f t="shared" si="31"/>
        <v>0</v>
      </c>
      <c r="E1022">
        <f t="shared" si="32"/>
        <v>0</v>
      </c>
    </row>
    <row r="1023" spans="4:5" x14ac:dyDescent="0.2">
      <c r="D1023">
        <f t="shared" si="31"/>
        <v>0</v>
      </c>
      <c r="E1023">
        <f t="shared" si="32"/>
        <v>0</v>
      </c>
    </row>
    <row r="1024" spans="4:5" x14ac:dyDescent="0.2">
      <c r="D1024">
        <f t="shared" si="31"/>
        <v>0</v>
      </c>
      <c r="E1024">
        <f t="shared" si="32"/>
        <v>0</v>
      </c>
    </row>
    <row r="1025" spans="4:5" x14ac:dyDescent="0.2">
      <c r="D1025">
        <f t="shared" si="31"/>
        <v>0</v>
      </c>
      <c r="E1025">
        <f t="shared" si="32"/>
        <v>0</v>
      </c>
    </row>
    <row r="1026" spans="4:5" x14ac:dyDescent="0.2">
      <c r="D1026">
        <f t="shared" si="31"/>
        <v>0</v>
      </c>
      <c r="E1026">
        <f t="shared" si="32"/>
        <v>0</v>
      </c>
    </row>
    <row r="1027" spans="4:5" x14ac:dyDescent="0.2">
      <c r="D1027">
        <f t="shared" si="31"/>
        <v>0</v>
      </c>
      <c r="E1027">
        <f t="shared" si="32"/>
        <v>0</v>
      </c>
    </row>
    <row r="1028" spans="4:5" x14ac:dyDescent="0.2">
      <c r="D1028">
        <f t="shared" si="31"/>
        <v>0</v>
      </c>
      <c r="E1028">
        <f t="shared" si="32"/>
        <v>0</v>
      </c>
    </row>
    <row r="1029" spans="4:5" x14ac:dyDescent="0.2">
      <c r="D1029">
        <f t="shared" si="31"/>
        <v>0</v>
      </c>
      <c r="E1029">
        <f t="shared" si="32"/>
        <v>0</v>
      </c>
    </row>
    <row r="1030" spans="4:5" x14ac:dyDescent="0.2">
      <c r="D1030">
        <f t="shared" si="31"/>
        <v>0</v>
      </c>
      <c r="E1030">
        <f t="shared" si="32"/>
        <v>0</v>
      </c>
    </row>
    <row r="1031" spans="4:5" x14ac:dyDescent="0.2">
      <c r="D1031">
        <f t="shared" si="31"/>
        <v>0</v>
      </c>
      <c r="E1031">
        <f t="shared" si="32"/>
        <v>0</v>
      </c>
    </row>
    <row r="1032" spans="4:5" x14ac:dyDescent="0.2">
      <c r="D1032">
        <f t="shared" si="31"/>
        <v>0</v>
      </c>
      <c r="E1032">
        <f t="shared" si="32"/>
        <v>0</v>
      </c>
    </row>
    <row r="1033" spans="4:5" x14ac:dyDescent="0.2">
      <c r="D1033">
        <f t="shared" si="31"/>
        <v>0</v>
      </c>
      <c r="E1033">
        <f t="shared" si="32"/>
        <v>0</v>
      </c>
    </row>
    <row r="1034" spans="4:5" x14ac:dyDescent="0.2">
      <c r="D1034">
        <f t="shared" si="31"/>
        <v>0</v>
      </c>
      <c r="E1034">
        <f t="shared" si="32"/>
        <v>0</v>
      </c>
    </row>
    <row r="1035" spans="4:5" x14ac:dyDescent="0.2">
      <c r="D1035">
        <f t="shared" si="31"/>
        <v>0</v>
      </c>
      <c r="E1035">
        <f t="shared" si="32"/>
        <v>0</v>
      </c>
    </row>
    <row r="1036" spans="4:5" x14ac:dyDescent="0.2">
      <c r="D1036">
        <f t="shared" si="31"/>
        <v>0</v>
      </c>
      <c r="E1036">
        <f t="shared" si="32"/>
        <v>0</v>
      </c>
    </row>
    <row r="1037" spans="4:5" x14ac:dyDescent="0.2">
      <c r="D1037">
        <f t="shared" si="31"/>
        <v>0</v>
      </c>
      <c r="E1037">
        <f t="shared" si="32"/>
        <v>0</v>
      </c>
    </row>
    <row r="1038" spans="4:5" x14ac:dyDescent="0.2">
      <c r="D1038">
        <f t="shared" si="31"/>
        <v>0</v>
      </c>
      <c r="E1038">
        <f t="shared" si="32"/>
        <v>0</v>
      </c>
    </row>
    <row r="1039" spans="4:5" x14ac:dyDescent="0.2">
      <c r="D1039">
        <f t="shared" si="31"/>
        <v>0</v>
      </c>
      <c r="E1039">
        <f t="shared" si="32"/>
        <v>0</v>
      </c>
    </row>
    <row r="1040" spans="4:5" x14ac:dyDescent="0.2">
      <c r="D1040">
        <f t="shared" si="31"/>
        <v>0</v>
      </c>
      <c r="E1040">
        <f t="shared" si="32"/>
        <v>0</v>
      </c>
    </row>
    <row r="1041" spans="4:5" x14ac:dyDescent="0.2">
      <c r="D1041">
        <f t="shared" si="31"/>
        <v>0</v>
      </c>
      <c r="E1041">
        <f t="shared" si="32"/>
        <v>0</v>
      </c>
    </row>
    <row r="1042" spans="4:5" x14ac:dyDescent="0.2">
      <c r="D1042">
        <f t="shared" si="31"/>
        <v>0</v>
      </c>
      <c r="E1042">
        <f t="shared" si="32"/>
        <v>0</v>
      </c>
    </row>
    <row r="1043" spans="4:5" x14ac:dyDescent="0.2">
      <c r="D1043">
        <f t="shared" si="31"/>
        <v>0</v>
      </c>
      <c r="E1043">
        <f t="shared" si="32"/>
        <v>0</v>
      </c>
    </row>
    <row r="1044" spans="4:5" x14ac:dyDescent="0.2">
      <c r="D1044">
        <f t="shared" si="31"/>
        <v>0</v>
      </c>
      <c r="E1044">
        <f t="shared" si="32"/>
        <v>0</v>
      </c>
    </row>
    <row r="1045" spans="4:5" x14ac:dyDescent="0.2">
      <c r="D1045">
        <f t="shared" si="31"/>
        <v>0</v>
      </c>
      <c r="E1045">
        <f t="shared" si="32"/>
        <v>0</v>
      </c>
    </row>
    <row r="1046" spans="4:5" x14ac:dyDescent="0.2">
      <c r="D1046">
        <f t="shared" si="31"/>
        <v>0</v>
      </c>
      <c r="E1046">
        <f t="shared" si="32"/>
        <v>0</v>
      </c>
    </row>
    <row r="1047" spans="4:5" x14ac:dyDescent="0.2">
      <c r="D1047">
        <f t="shared" si="31"/>
        <v>0</v>
      </c>
      <c r="E1047">
        <f t="shared" si="32"/>
        <v>0</v>
      </c>
    </row>
    <row r="1048" spans="4:5" x14ac:dyDescent="0.2">
      <c r="D1048">
        <f t="shared" si="31"/>
        <v>0</v>
      </c>
      <c r="E1048">
        <f t="shared" si="32"/>
        <v>0</v>
      </c>
    </row>
    <row r="1049" spans="4:5" x14ac:dyDescent="0.2">
      <c r="D1049">
        <f t="shared" si="31"/>
        <v>0</v>
      </c>
      <c r="E1049">
        <f t="shared" si="32"/>
        <v>0</v>
      </c>
    </row>
    <row r="1050" spans="4:5" x14ac:dyDescent="0.2">
      <c r="D1050">
        <f t="shared" si="31"/>
        <v>0</v>
      </c>
      <c r="E1050">
        <f t="shared" si="32"/>
        <v>0</v>
      </c>
    </row>
    <row r="1051" spans="4:5" x14ac:dyDescent="0.2">
      <c r="D1051">
        <f t="shared" si="31"/>
        <v>0</v>
      </c>
      <c r="E1051">
        <f t="shared" si="32"/>
        <v>0</v>
      </c>
    </row>
    <row r="1052" spans="4:5" x14ac:dyDescent="0.2">
      <c r="D1052">
        <f t="shared" si="31"/>
        <v>0</v>
      </c>
      <c r="E1052">
        <f t="shared" si="32"/>
        <v>0</v>
      </c>
    </row>
    <row r="1053" spans="4:5" x14ac:dyDescent="0.2">
      <c r="D1053">
        <f t="shared" si="31"/>
        <v>0</v>
      </c>
      <c r="E1053">
        <f t="shared" si="32"/>
        <v>0</v>
      </c>
    </row>
    <row r="1054" spans="4:5" x14ac:dyDescent="0.2">
      <c r="D1054">
        <f t="shared" ref="D1054:D1116" si="33">A1054*0.3048</f>
        <v>0</v>
      </c>
      <c r="E1054">
        <f t="shared" ref="E1054:E1116" si="34">B1054*0.3048</f>
        <v>0</v>
      </c>
    </row>
    <row r="1055" spans="4:5" x14ac:dyDescent="0.2">
      <c r="D1055">
        <f t="shared" si="33"/>
        <v>0</v>
      </c>
      <c r="E1055">
        <f t="shared" si="34"/>
        <v>0</v>
      </c>
    </row>
    <row r="1056" spans="4:5" x14ac:dyDescent="0.2">
      <c r="D1056">
        <f t="shared" si="33"/>
        <v>0</v>
      </c>
      <c r="E1056">
        <f t="shared" si="34"/>
        <v>0</v>
      </c>
    </row>
    <row r="1057" spans="4:5" x14ac:dyDescent="0.2">
      <c r="D1057">
        <f t="shared" si="33"/>
        <v>0</v>
      </c>
      <c r="E1057">
        <f t="shared" si="34"/>
        <v>0</v>
      </c>
    </row>
    <row r="1058" spans="4:5" x14ac:dyDescent="0.2">
      <c r="D1058">
        <f t="shared" si="33"/>
        <v>0</v>
      </c>
      <c r="E1058">
        <f t="shared" si="34"/>
        <v>0</v>
      </c>
    </row>
    <row r="1059" spans="4:5" x14ac:dyDescent="0.2">
      <c r="D1059">
        <f t="shared" si="33"/>
        <v>0</v>
      </c>
      <c r="E1059">
        <f t="shared" si="34"/>
        <v>0</v>
      </c>
    </row>
    <row r="1060" spans="4:5" x14ac:dyDescent="0.2">
      <c r="D1060">
        <f t="shared" si="33"/>
        <v>0</v>
      </c>
      <c r="E1060">
        <f t="shared" si="34"/>
        <v>0</v>
      </c>
    </row>
    <row r="1061" spans="4:5" x14ac:dyDescent="0.2">
      <c r="D1061">
        <f t="shared" si="33"/>
        <v>0</v>
      </c>
      <c r="E1061">
        <f t="shared" si="34"/>
        <v>0</v>
      </c>
    </row>
    <row r="1062" spans="4:5" x14ac:dyDescent="0.2">
      <c r="D1062">
        <f t="shared" si="33"/>
        <v>0</v>
      </c>
      <c r="E1062">
        <f t="shared" si="34"/>
        <v>0</v>
      </c>
    </row>
    <row r="1063" spans="4:5" x14ac:dyDescent="0.2">
      <c r="D1063">
        <f t="shared" si="33"/>
        <v>0</v>
      </c>
      <c r="E1063">
        <f t="shared" si="34"/>
        <v>0</v>
      </c>
    </row>
    <row r="1064" spans="4:5" x14ac:dyDescent="0.2">
      <c r="D1064">
        <f t="shared" si="33"/>
        <v>0</v>
      </c>
      <c r="E1064">
        <f t="shared" si="34"/>
        <v>0</v>
      </c>
    </row>
    <row r="1065" spans="4:5" x14ac:dyDescent="0.2">
      <c r="D1065">
        <f t="shared" si="33"/>
        <v>0</v>
      </c>
      <c r="E1065">
        <f t="shared" si="34"/>
        <v>0</v>
      </c>
    </row>
    <row r="1066" spans="4:5" x14ac:dyDescent="0.2">
      <c r="D1066">
        <f t="shared" si="33"/>
        <v>0</v>
      </c>
      <c r="E1066">
        <f t="shared" si="34"/>
        <v>0</v>
      </c>
    </row>
    <row r="1067" spans="4:5" x14ac:dyDescent="0.2">
      <c r="D1067">
        <f t="shared" si="33"/>
        <v>0</v>
      </c>
      <c r="E1067">
        <f t="shared" si="34"/>
        <v>0</v>
      </c>
    </row>
    <row r="1068" spans="4:5" x14ac:dyDescent="0.2">
      <c r="D1068">
        <f t="shared" si="33"/>
        <v>0</v>
      </c>
      <c r="E1068">
        <f t="shared" si="34"/>
        <v>0</v>
      </c>
    </row>
    <row r="1069" spans="4:5" x14ac:dyDescent="0.2">
      <c r="D1069">
        <f t="shared" si="33"/>
        <v>0</v>
      </c>
      <c r="E1069">
        <f t="shared" si="34"/>
        <v>0</v>
      </c>
    </row>
    <row r="1070" spans="4:5" x14ac:dyDescent="0.2">
      <c r="D1070">
        <f t="shared" si="33"/>
        <v>0</v>
      </c>
      <c r="E1070">
        <f t="shared" si="34"/>
        <v>0</v>
      </c>
    </row>
    <row r="1071" spans="4:5" x14ac:dyDescent="0.2">
      <c r="D1071">
        <f t="shared" si="33"/>
        <v>0</v>
      </c>
      <c r="E1071">
        <f t="shared" si="34"/>
        <v>0</v>
      </c>
    </row>
    <row r="1072" spans="4:5" x14ac:dyDescent="0.2">
      <c r="D1072">
        <f t="shared" si="33"/>
        <v>0</v>
      </c>
      <c r="E1072">
        <f t="shared" si="34"/>
        <v>0</v>
      </c>
    </row>
    <row r="1073" spans="4:5" x14ac:dyDescent="0.2">
      <c r="D1073">
        <f t="shared" si="33"/>
        <v>0</v>
      </c>
      <c r="E1073">
        <f t="shared" si="34"/>
        <v>0</v>
      </c>
    </row>
    <row r="1074" spans="4:5" x14ac:dyDescent="0.2">
      <c r="D1074">
        <f t="shared" si="33"/>
        <v>0</v>
      </c>
      <c r="E1074">
        <f t="shared" si="34"/>
        <v>0</v>
      </c>
    </row>
    <row r="1075" spans="4:5" x14ac:dyDescent="0.2">
      <c r="D1075">
        <f t="shared" si="33"/>
        <v>0</v>
      </c>
      <c r="E1075">
        <f t="shared" si="34"/>
        <v>0</v>
      </c>
    </row>
    <row r="1076" spans="4:5" x14ac:dyDescent="0.2">
      <c r="D1076">
        <f t="shared" si="33"/>
        <v>0</v>
      </c>
      <c r="E1076">
        <f t="shared" si="34"/>
        <v>0</v>
      </c>
    </row>
    <row r="1077" spans="4:5" x14ac:dyDescent="0.2">
      <c r="D1077">
        <f t="shared" si="33"/>
        <v>0</v>
      </c>
      <c r="E1077">
        <f t="shared" si="34"/>
        <v>0</v>
      </c>
    </row>
    <row r="1078" spans="4:5" x14ac:dyDescent="0.2">
      <c r="D1078">
        <f t="shared" si="33"/>
        <v>0</v>
      </c>
      <c r="E1078">
        <f t="shared" si="34"/>
        <v>0</v>
      </c>
    </row>
    <row r="1079" spans="4:5" x14ac:dyDescent="0.2">
      <c r="D1079">
        <f t="shared" si="33"/>
        <v>0</v>
      </c>
      <c r="E1079">
        <f t="shared" si="34"/>
        <v>0</v>
      </c>
    </row>
    <row r="1080" spans="4:5" x14ac:dyDescent="0.2">
      <c r="D1080">
        <f t="shared" si="33"/>
        <v>0</v>
      </c>
      <c r="E1080">
        <f t="shared" si="34"/>
        <v>0</v>
      </c>
    </row>
    <row r="1081" spans="4:5" x14ac:dyDescent="0.2">
      <c r="D1081">
        <f t="shared" si="33"/>
        <v>0</v>
      </c>
      <c r="E1081">
        <f t="shared" si="34"/>
        <v>0</v>
      </c>
    </row>
    <row r="1082" spans="4:5" x14ac:dyDescent="0.2">
      <c r="D1082">
        <f t="shared" si="33"/>
        <v>0</v>
      </c>
      <c r="E1082">
        <f t="shared" si="34"/>
        <v>0</v>
      </c>
    </row>
    <row r="1083" spans="4:5" x14ac:dyDescent="0.2">
      <c r="D1083">
        <f t="shared" si="33"/>
        <v>0</v>
      </c>
      <c r="E1083">
        <f t="shared" si="34"/>
        <v>0</v>
      </c>
    </row>
    <row r="1084" spans="4:5" x14ac:dyDescent="0.2">
      <c r="D1084">
        <f t="shared" si="33"/>
        <v>0</v>
      </c>
      <c r="E1084">
        <f t="shared" si="34"/>
        <v>0</v>
      </c>
    </row>
    <row r="1085" spans="4:5" x14ac:dyDescent="0.2">
      <c r="D1085">
        <f t="shared" si="33"/>
        <v>0</v>
      </c>
      <c r="E1085">
        <f t="shared" si="34"/>
        <v>0</v>
      </c>
    </row>
    <row r="1086" spans="4:5" x14ac:dyDescent="0.2">
      <c r="D1086">
        <f t="shared" si="33"/>
        <v>0</v>
      </c>
      <c r="E1086">
        <f t="shared" si="34"/>
        <v>0</v>
      </c>
    </row>
    <row r="1087" spans="4:5" x14ac:dyDescent="0.2">
      <c r="D1087">
        <f t="shared" si="33"/>
        <v>0</v>
      </c>
      <c r="E1087">
        <f t="shared" si="34"/>
        <v>0</v>
      </c>
    </row>
    <row r="1088" spans="4:5" x14ac:dyDescent="0.2">
      <c r="D1088">
        <f t="shared" si="33"/>
        <v>0</v>
      </c>
      <c r="E1088">
        <f t="shared" si="34"/>
        <v>0</v>
      </c>
    </row>
    <row r="1089" spans="4:5" x14ac:dyDescent="0.2">
      <c r="D1089">
        <f t="shared" si="33"/>
        <v>0</v>
      </c>
      <c r="E1089">
        <f t="shared" si="34"/>
        <v>0</v>
      </c>
    </row>
    <row r="1090" spans="4:5" x14ac:dyDescent="0.2">
      <c r="D1090">
        <f t="shared" si="33"/>
        <v>0</v>
      </c>
      <c r="E1090">
        <f t="shared" si="34"/>
        <v>0</v>
      </c>
    </row>
    <row r="1091" spans="4:5" x14ac:dyDescent="0.2">
      <c r="D1091">
        <f t="shared" si="33"/>
        <v>0</v>
      </c>
      <c r="E1091">
        <f t="shared" si="34"/>
        <v>0</v>
      </c>
    </row>
    <row r="1092" spans="4:5" x14ac:dyDescent="0.2">
      <c r="D1092">
        <f t="shared" si="33"/>
        <v>0</v>
      </c>
      <c r="E1092">
        <f t="shared" si="34"/>
        <v>0</v>
      </c>
    </row>
    <row r="1093" spans="4:5" x14ac:dyDescent="0.2">
      <c r="D1093">
        <f t="shared" si="33"/>
        <v>0</v>
      </c>
      <c r="E1093">
        <f t="shared" si="34"/>
        <v>0</v>
      </c>
    </row>
    <row r="1094" spans="4:5" x14ac:dyDescent="0.2">
      <c r="D1094">
        <f t="shared" si="33"/>
        <v>0</v>
      </c>
      <c r="E1094">
        <f t="shared" si="34"/>
        <v>0</v>
      </c>
    </row>
    <row r="1095" spans="4:5" x14ac:dyDescent="0.2">
      <c r="D1095">
        <f t="shared" si="33"/>
        <v>0</v>
      </c>
      <c r="E1095">
        <f t="shared" si="34"/>
        <v>0</v>
      </c>
    </row>
    <row r="1096" spans="4:5" x14ac:dyDescent="0.2">
      <c r="D1096">
        <f t="shared" si="33"/>
        <v>0</v>
      </c>
      <c r="E1096">
        <f t="shared" si="34"/>
        <v>0</v>
      </c>
    </row>
    <row r="1097" spans="4:5" x14ac:dyDescent="0.2">
      <c r="D1097">
        <f t="shared" si="33"/>
        <v>0</v>
      </c>
      <c r="E1097">
        <f t="shared" si="34"/>
        <v>0</v>
      </c>
    </row>
    <row r="1098" spans="4:5" x14ac:dyDescent="0.2">
      <c r="D1098">
        <f t="shared" si="33"/>
        <v>0</v>
      </c>
      <c r="E1098">
        <f t="shared" si="34"/>
        <v>0</v>
      </c>
    </row>
    <row r="1099" spans="4:5" x14ac:dyDescent="0.2">
      <c r="D1099">
        <f t="shared" si="33"/>
        <v>0</v>
      </c>
      <c r="E1099">
        <f t="shared" si="34"/>
        <v>0</v>
      </c>
    </row>
    <row r="1100" spans="4:5" x14ac:dyDescent="0.2">
      <c r="D1100">
        <f t="shared" si="33"/>
        <v>0</v>
      </c>
      <c r="E1100">
        <f t="shared" si="34"/>
        <v>0</v>
      </c>
    </row>
    <row r="1101" spans="4:5" x14ac:dyDescent="0.2">
      <c r="D1101">
        <f t="shared" si="33"/>
        <v>0</v>
      </c>
      <c r="E1101">
        <f t="shared" si="34"/>
        <v>0</v>
      </c>
    </row>
    <row r="1102" spans="4:5" x14ac:dyDescent="0.2">
      <c r="D1102">
        <f t="shared" si="33"/>
        <v>0</v>
      </c>
      <c r="E1102">
        <f t="shared" si="34"/>
        <v>0</v>
      </c>
    </row>
    <row r="1103" spans="4:5" x14ac:dyDescent="0.2">
      <c r="D1103">
        <f t="shared" si="33"/>
        <v>0</v>
      </c>
      <c r="E1103">
        <f t="shared" si="34"/>
        <v>0</v>
      </c>
    </row>
    <row r="1104" spans="4:5" x14ac:dyDescent="0.2">
      <c r="D1104">
        <f t="shared" si="33"/>
        <v>0</v>
      </c>
      <c r="E1104">
        <f t="shared" si="34"/>
        <v>0</v>
      </c>
    </row>
    <row r="1105" spans="4:5" x14ac:dyDescent="0.2">
      <c r="D1105">
        <f t="shared" si="33"/>
        <v>0</v>
      </c>
      <c r="E1105">
        <f t="shared" si="34"/>
        <v>0</v>
      </c>
    </row>
    <row r="1106" spans="4:5" x14ac:dyDescent="0.2">
      <c r="D1106">
        <f t="shared" si="33"/>
        <v>0</v>
      </c>
      <c r="E1106">
        <f t="shared" si="34"/>
        <v>0</v>
      </c>
    </row>
    <row r="1107" spans="4:5" x14ac:dyDescent="0.2">
      <c r="D1107">
        <f t="shared" si="33"/>
        <v>0</v>
      </c>
      <c r="E1107">
        <f t="shared" si="34"/>
        <v>0</v>
      </c>
    </row>
    <row r="1108" spans="4:5" x14ac:dyDescent="0.2">
      <c r="D1108">
        <f t="shared" si="33"/>
        <v>0</v>
      </c>
      <c r="E1108">
        <f t="shared" si="34"/>
        <v>0</v>
      </c>
    </row>
    <row r="1109" spans="4:5" x14ac:dyDescent="0.2">
      <c r="D1109">
        <f t="shared" si="33"/>
        <v>0</v>
      </c>
      <c r="E1109">
        <f t="shared" si="34"/>
        <v>0</v>
      </c>
    </row>
    <row r="1110" spans="4:5" x14ac:dyDescent="0.2">
      <c r="D1110">
        <f t="shared" si="33"/>
        <v>0</v>
      </c>
      <c r="E1110">
        <f t="shared" si="34"/>
        <v>0</v>
      </c>
    </row>
    <row r="1111" spans="4:5" x14ac:dyDescent="0.2">
      <c r="D1111">
        <f t="shared" si="33"/>
        <v>0</v>
      </c>
      <c r="E1111">
        <f t="shared" si="34"/>
        <v>0</v>
      </c>
    </row>
    <row r="1112" spans="4:5" x14ac:dyDescent="0.2">
      <c r="D1112">
        <f t="shared" si="33"/>
        <v>0</v>
      </c>
      <c r="E1112">
        <f t="shared" si="34"/>
        <v>0</v>
      </c>
    </row>
    <row r="1113" spans="4:5" x14ac:dyDescent="0.2">
      <c r="D1113">
        <f t="shared" si="33"/>
        <v>0</v>
      </c>
      <c r="E1113">
        <f t="shared" si="34"/>
        <v>0</v>
      </c>
    </row>
    <row r="1114" spans="4:5" x14ac:dyDescent="0.2">
      <c r="D1114">
        <f t="shared" si="33"/>
        <v>0</v>
      </c>
      <c r="E1114">
        <f t="shared" si="34"/>
        <v>0</v>
      </c>
    </row>
    <row r="1115" spans="4:5" x14ac:dyDescent="0.2">
      <c r="D1115">
        <f t="shared" si="33"/>
        <v>0</v>
      </c>
      <c r="E1115">
        <f t="shared" si="34"/>
        <v>0</v>
      </c>
    </row>
    <row r="1116" spans="4:5" x14ac:dyDescent="0.2">
      <c r="D1116">
        <f t="shared" si="33"/>
        <v>0</v>
      </c>
      <c r="E1116">
        <f t="shared" si="34"/>
        <v>0</v>
      </c>
    </row>
  </sheetData>
  <mergeCells count="2">
    <mergeCell ref="A2:C2"/>
    <mergeCell ref="A1:C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J85"/>
  <sheetViews>
    <sheetView zoomScale="75" workbookViewId="0">
      <selection activeCell="T20" sqref="T20"/>
    </sheetView>
  </sheetViews>
  <sheetFormatPr defaultRowHeight="12.75" x14ac:dyDescent="0.2"/>
  <cols>
    <col min="1" max="3" width="15.7109375" customWidth="1"/>
    <col min="4" max="4" width="2.140625" customWidth="1"/>
    <col min="6" max="6" width="16.7109375" customWidth="1"/>
    <col min="7" max="7" width="15.7109375" customWidth="1"/>
    <col min="8" max="8" width="18.7109375" customWidth="1"/>
    <col min="9" max="9" width="15.7109375" customWidth="1"/>
    <col min="10" max="10" width="18.7109375" customWidth="1"/>
    <col min="11" max="31" width="12.7109375" customWidth="1"/>
    <col min="33" max="33" width="12.42578125" customWidth="1"/>
    <col min="34" max="34" width="11.5703125" customWidth="1"/>
    <col min="35" max="35" width="10.28515625" customWidth="1"/>
  </cols>
  <sheetData>
    <row r="1" spans="1:36" ht="12.75" customHeight="1" x14ac:dyDescent="0.2">
      <c r="A1" s="282" t="s">
        <v>10</v>
      </c>
      <c r="B1" s="283"/>
      <c r="C1" s="283"/>
      <c r="D1" s="284"/>
      <c r="E1" s="288" t="s">
        <v>13</v>
      </c>
      <c r="F1" s="289"/>
      <c r="G1" s="292" t="str">
        <f>'User Input'!B3</f>
        <v>Noble Homer Ferrington</v>
      </c>
      <c r="H1" s="293"/>
      <c r="I1" s="293"/>
      <c r="J1" s="294"/>
      <c r="K1" s="220" t="s">
        <v>62</v>
      </c>
      <c r="L1" s="221"/>
      <c r="M1" s="221"/>
      <c r="N1" s="222"/>
      <c r="O1" s="220" t="s">
        <v>88</v>
      </c>
      <c r="P1" s="222"/>
      <c r="Q1" s="229" t="s">
        <v>151</v>
      </c>
      <c r="R1" s="230"/>
      <c r="S1" s="230"/>
      <c r="T1" s="230"/>
      <c r="U1" s="231"/>
      <c r="V1" s="215" t="s">
        <v>0</v>
      </c>
      <c r="W1" s="215" t="s">
        <v>0</v>
      </c>
    </row>
    <row r="2" spans="1:36" ht="13.5" customHeight="1" thickBot="1" x14ac:dyDescent="0.25">
      <c r="A2" s="285"/>
      <c r="B2" s="286"/>
      <c r="C2" s="286"/>
      <c r="D2" s="287"/>
      <c r="E2" s="290"/>
      <c r="F2" s="291"/>
      <c r="G2" s="295"/>
      <c r="H2" s="296"/>
      <c r="I2" s="296"/>
      <c r="J2" s="297"/>
      <c r="K2" s="235"/>
      <c r="L2" s="253"/>
      <c r="M2" s="253"/>
      <c r="N2" s="236"/>
      <c r="O2" s="235"/>
      <c r="P2" s="236"/>
      <c r="Q2" s="232"/>
      <c r="R2" s="233"/>
      <c r="S2" s="233"/>
      <c r="T2" s="233"/>
      <c r="U2" s="234"/>
      <c r="V2" s="216"/>
      <c r="W2" s="216"/>
    </row>
    <row r="3" spans="1:36" ht="12.75" customHeight="1" x14ac:dyDescent="0.2">
      <c r="A3" s="220" t="s">
        <v>11</v>
      </c>
      <c r="B3" s="222"/>
      <c r="C3" s="220" t="s">
        <v>12</v>
      </c>
      <c r="D3" s="221"/>
      <c r="E3" s="221"/>
      <c r="F3" s="221"/>
      <c r="G3" s="222"/>
      <c r="H3" s="220"/>
      <c r="I3" s="221"/>
      <c r="J3" s="222"/>
      <c r="K3" s="254" t="s">
        <v>53</v>
      </c>
      <c r="L3" s="255"/>
      <c r="M3" s="255" t="s">
        <v>54</v>
      </c>
      <c r="N3" s="258"/>
      <c r="O3" s="237">
        <f>'User Input'!B20</f>
        <v>200</v>
      </c>
      <c r="P3" s="238"/>
      <c r="Q3" s="220"/>
      <c r="R3" s="221"/>
      <c r="S3" s="221"/>
      <c r="T3" s="221"/>
      <c r="U3" s="222"/>
      <c r="V3" s="217">
        <f>'User Input'!B23</f>
        <v>10000</v>
      </c>
      <c r="W3" s="217">
        <v>7618</v>
      </c>
    </row>
    <row r="4" spans="1:36" ht="12.75" customHeight="1" x14ac:dyDescent="0.2">
      <c r="A4" s="223"/>
      <c r="B4" s="225"/>
      <c r="C4" s="223"/>
      <c r="D4" s="224"/>
      <c r="E4" s="224"/>
      <c r="F4" s="224"/>
      <c r="G4" s="225"/>
      <c r="H4" s="223"/>
      <c r="I4" s="224"/>
      <c r="J4" s="225"/>
      <c r="K4" s="256"/>
      <c r="L4" s="257"/>
      <c r="M4" s="257"/>
      <c r="N4" s="259"/>
      <c r="O4" s="237"/>
      <c r="P4" s="238"/>
      <c r="Q4" s="223"/>
      <c r="R4" s="224"/>
      <c r="S4" s="224"/>
      <c r="T4" s="224"/>
      <c r="U4" s="225"/>
      <c r="V4" s="218"/>
      <c r="W4" s="218"/>
    </row>
    <row r="5" spans="1:36" ht="21" thickBot="1" x14ac:dyDescent="0.3">
      <c r="A5" s="239">
        <f>'User Input'!B15</f>
        <v>331.5</v>
      </c>
      <c r="B5" s="240"/>
      <c r="C5" s="239" t="str">
        <f>'User Input'!B4</f>
        <v>East Breaks EB578</v>
      </c>
      <c r="D5" s="298"/>
      <c r="E5" s="298"/>
      <c r="F5" s="298"/>
      <c r="G5" s="240"/>
      <c r="H5" s="226"/>
      <c r="I5" s="227"/>
      <c r="J5" s="228"/>
      <c r="K5" s="260">
        <f>'User Input'!B17</f>
        <v>784254.49</v>
      </c>
      <c r="L5" s="261"/>
      <c r="M5" s="261">
        <f>'User Input'!B18</f>
        <v>9932232.9299999997</v>
      </c>
      <c r="N5" s="262"/>
      <c r="O5" s="239"/>
      <c r="P5" s="240"/>
      <c r="Q5" s="226"/>
      <c r="R5" s="227"/>
      <c r="S5" s="227"/>
      <c r="T5" s="227"/>
      <c r="U5" s="228"/>
      <c r="V5" s="219"/>
      <c r="W5" s="219"/>
    </row>
    <row r="6" spans="1:36" ht="13.5" thickBot="1" x14ac:dyDescent="0.25">
      <c r="A6" s="308"/>
      <c r="B6" s="308"/>
      <c r="C6" s="308"/>
      <c r="D6" s="308"/>
      <c r="E6" s="308"/>
      <c r="F6" s="308"/>
      <c r="G6" s="308"/>
      <c r="H6" s="308"/>
      <c r="I6" s="308"/>
      <c r="J6" s="308"/>
      <c r="K6" s="1"/>
      <c r="L6" s="1"/>
      <c r="M6" s="1"/>
      <c r="N6" s="1"/>
    </row>
    <row r="7" spans="1:36" ht="24" thickBot="1" x14ac:dyDescent="0.4">
      <c r="A7" s="279" t="s">
        <v>6</v>
      </c>
      <c r="B7" s="280"/>
      <c r="C7" s="281"/>
      <c r="D7" s="1"/>
      <c r="E7" s="305" t="s">
        <v>9</v>
      </c>
      <c r="F7" s="306"/>
      <c r="G7" s="306"/>
      <c r="H7" s="306"/>
      <c r="I7" s="306"/>
      <c r="J7" s="307"/>
    </row>
    <row r="8" spans="1:36" ht="33.75" customHeight="1" thickBot="1" x14ac:dyDescent="0.45">
      <c r="A8" s="299" t="s">
        <v>7</v>
      </c>
      <c r="B8" s="300"/>
      <c r="C8" s="301"/>
      <c r="D8" s="1"/>
      <c r="E8" s="92"/>
      <c r="F8" s="93"/>
      <c r="G8" s="302" t="s">
        <v>8</v>
      </c>
      <c r="H8" s="303"/>
      <c r="I8" s="304"/>
      <c r="J8" s="303"/>
      <c r="L8" s="264" t="s">
        <v>138</v>
      </c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6"/>
      <c r="Y8" s="264" t="s">
        <v>144</v>
      </c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6"/>
    </row>
    <row r="9" spans="1:36" ht="13.5" thickBot="1" x14ac:dyDescent="0.25">
      <c r="A9" s="3" t="s">
        <v>2</v>
      </c>
      <c r="B9" s="7" t="s">
        <v>3</v>
      </c>
      <c r="C9" s="4" t="s">
        <v>4</v>
      </c>
      <c r="D9" s="1"/>
      <c r="E9" s="94" t="s">
        <v>2</v>
      </c>
      <c r="F9" s="95" t="s">
        <v>133</v>
      </c>
      <c r="G9" s="94" t="s">
        <v>0</v>
      </c>
      <c r="H9" s="96" t="s">
        <v>5</v>
      </c>
      <c r="I9" s="94"/>
      <c r="J9" s="96"/>
      <c r="L9" s="263" t="s">
        <v>66</v>
      </c>
      <c r="M9" s="214"/>
      <c r="N9" s="214" t="s">
        <v>69</v>
      </c>
      <c r="O9" s="214"/>
      <c r="P9" s="214" t="s">
        <v>72</v>
      </c>
      <c r="Q9" s="214"/>
      <c r="R9" s="214" t="s">
        <v>75</v>
      </c>
      <c r="S9" s="214"/>
      <c r="T9" s="214" t="s">
        <v>78</v>
      </c>
      <c r="U9" s="214"/>
      <c r="V9" s="214" t="s">
        <v>81</v>
      </c>
      <c r="W9" s="272"/>
      <c r="Y9" s="263" t="s">
        <v>66</v>
      </c>
      <c r="Z9" s="214"/>
      <c r="AA9" s="214" t="s">
        <v>69</v>
      </c>
      <c r="AB9" s="214"/>
      <c r="AC9" s="214" t="s">
        <v>72</v>
      </c>
      <c r="AD9" s="214"/>
      <c r="AE9" s="214" t="s">
        <v>75</v>
      </c>
      <c r="AF9" s="214"/>
      <c r="AG9" s="214" t="s">
        <v>78</v>
      </c>
      <c r="AH9" s="214"/>
      <c r="AI9" s="214" t="s">
        <v>81</v>
      </c>
      <c r="AJ9" s="272"/>
    </row>
    <row r="10" spans="1:36" ht="13.5" thickTop="1" x14ac:dyDescent="0.2">
      <c r="A10" s="5">
        <v>1</v>
      </c>
      <c r="B10" s="8">
        <v>138.69999999999999</v>
      </c>
      <c r="C10" s="9">
        <v>116.9</v>
      </c>
      <c r="D10" s="1"/>
      <c r="E10" s="97">
        <v>1</v>
      </c>
      <c r="F10" s="103">
        <v>-67.5</v>
      </c>
      <c r="G10" s="104">
        <f>'User Input'!$B$23</f>
        <v>10000</v>
      </c>
      <c r="H10" s="105">
        <f>'User Input'!$B$24</f>
        <v>3728</v>
      </c>
      <c r="I10" s="106"/>
      <c r="J10" s="105"/>
      <c r="L10" s="69">
        <f>$K$5+K70</f>
        <v>784085.57435948181</v>
      </c>
      <c r="M10" s="70">
        <f>$M$5+L70</f>
        <v>9932299.0420744512</v>
      </c>
      <c r="N10" s="70">
        <f>$K$5+K73</f>
        <v>784291.04180042213</v>
      </c>
      <c r="O10" s="70">
        <f>$M$5+L73</f>
        <v>9932410.6017926</v>
      </c>
      <c r="P10" s="70">
        <f>$K$5+K76</f>
        <v>784223.86160880525</v>
      </c>
      <c r="Q10" s="70">
        <f>$M$5+L76</f>
        <v>9932056.0847805198</v>
      </c>
      <c r="R10" s="70">
        <f>$K$5+K79</f>
        <v>784091.87042994238</v>
      </c>
      <c r="S10" s="70">
        <f>$M$5+L79</f>
        <v>9932319.3013808746</v>
      </c>
      <c r="T10" s="70">
        <f>$K$5+K82</f>
        <v>784415.00764633762</v>
      </c>
      <c r="U10" s="70">
        <f>$M$5+M82</f>
        <v>9932232.9299999997</v>
      </c>
      <c r="V10" s="70">
        <f>$K$5+K85</f>
        <v>784209.54020539729</v>
      </c>
      <c r="W10" s="188">
        <f>$M$5+L85</f>
        <v>9932070.7253885828</v>
      </c>
      <c r="Y10" s="69">
        <f>L10*0.3048</f>
        <v>238989.28306477008</v>
      </c>
      <c r="Z10" s="69">
        <f t="shared" ref="Z10:AJ10" si="0">M10*0.3048</f>
        <v>3027364.7480242928</v>
      </c>
      <c r="AA10" s="69">
        <f t="shared" si="0"/>
        <v>239051.90954076868</v>
      </c>
      <c r="AB10" s="69">
        <f t="shared" si="0"/>
        <v>3027398.7514263848</v>
      </c>
      <c r="AC10" s="69">
        <f t="shared" si="0"/>
        <v>239031.43301836387</v>
      </c>
      <c r="AD10" s="69">
        <f t="shared" si="0"/>
        <v>3027290.6946411026</v>
      </c>
      <c r="AE10" s="69">
        <f t="shared" si="0"/>
        <v>238991.20210704644</v>
      </c>
      <c r="AF10" s="69">
        <f t="shared" si="0"/>
        <v>3027370.9230608908</v>
      </c>
      <c r="AG10" s="69">
        <f t="shared" si="0"/>
        <v>239089.69433060373</v>
      </c>
      <c r="AH10" s="69">
        <f t="shared" si="0"/>
        <v>3027344.5970640001</v>
      </c>
      <c r="AI10" s="69">
        <f t="shared" si="0"/>
        <v>239027.06785460512</v>
      </c>
      <c r="AJ10" s="69">
        <f t="shared" si="0"/>
        <v>3027295.15709844</v>
      </c>
    </row>
    <row r="11" spans="1:36" x14ac:dyDescent="0.2">
      <c r="A11" s="5">
        <v>2</v>
      </c>
      <c r="B11" s="8">
        <v>153.5</v>
      </c>
      <c r="C11" s="9">
        <v>101.7</v>
      </c>
      <c r="D11" s="1"/>
      <c r="E11" s="97">
        <v>2</v>
      </c>
      <c r="F11" s="103">
        <f>22.5+F10</f>
        <v>-45</v>
      </c>
      <c r="G11" s="104">
        <f>'User Input'!$B$23</f>
        <v>10000</v>
      </c>
      <c r="H11" s="105">
        <f>'User Input'!$B$24</f>
        <v>3728</v>
      </c>
      <c r="I11" s="106"/>
      <c r="J11" s="105"/>
      <c r="L11" s="46">
        <f>O50</f>
        <v>777847.93303173198</v>
      </c>
      <c r="M11" s="47">
        <f>P50</f>
        <v>9931643.4395528361</v>
      </c>
      <c r="N11" s="47">
        <f>O53</f>
        <v>781298.30205607391</v>
      </c>
      <c r="O11" s="47">
        <f>P53</f>
        <v>9937922.5427232161</v>
      </c>
      <c r="P11" s="47">
        <f>O56</f>
        <v>788170.95910146984</v>
      </c>
      <c r="Q11" s="47">
        <f>P56</f>
        <v>9936930.3442507777</v>
      </c>
      <c r="R11" s="47">
        <f>O59</f>
        <v>790105.58780703577</v>
      </c>
      <c r="S11" s="47">
        <f>P59</f>
        <v>9930537.9571388923</v>
      </c>
      <c r="T11" s="47">
        <f>O62</f>
        <v>785070.61016795237</v>
      </c>
      <c r="U11" s="47">
        <f>P62</f>
        <v>9925944.6437789816</v>
      </c>
      <c r="V11" s="47">
        <f>O65</f>
        <v>778697.59927478142</v>
      </c>
      <c r="W11" s="48">
        <f>P65</f>
        <v>9929077.9856442343</v>
      </c>
      <c r="Y11" s="69">
        <f>L11*0.3048</f>
        <v>237088.04998807193</v>
      </c>
      <c r="Z11" s="69">
        <f t="shared" ref="Z11:AJ12" si="1">M11*0.3048</f>
        <v>3027164.9203757048</v>
      </c>
      <c r="AA11" s="69">
        <f t="shared" si="1"/>
        <v>238139.72246669134</v>
      </c>
      <c r="AB11" s="69">
        <f t="shared" si="1"/>
        <v>3029078.7910220362</v>
      </c>
      <c r="AC11" s="69">
        <f t="shared" si="1"/>
        <v>240234.50833412801</v>
      </c>
      <c r="AD11" s="69">
        <f t="shared" si="1"/>
        <v>3028776.3689276371</v>
      </c>
      <c r="AE11" s="69">
        <f t="shared" si="1"/>
        <v>240824.1831635845</v>
      </c>
      <c r="AF11" s="69">
        <f t="shared" si="1"/>
        <v>3026827.9693359346</v>
      </c>
      <c r="AG11" s="69">
        <f t="shared" si="1"/>
        <v>239289.52197919189</v>
      </c>
      <c r="AH11" s="69">
        <f t="shared" si="1"/>
        <v>3025427.9274238339</v>
      </c>
      <c r="AI11" s="69">
        <f t="shared" si="1"/>
        <v>237347.02825895339</v>
      </c>
      <c r="AJ11" s="69">
        <f t="shared" si="1"/>
        <v>3026382.9700243627</v>
      </c>
    </row>
    <row r="12" spans="1:36" x14ac:dyDescent="0.2">
      <c r="A12" s="5">
        <v>3</v>
      </c>
      <c r="B12" s="8">
        <v>153.5</v>
      </c>
      <c r="C12" s="9">
        <v>-101.7</v>
      </c>
      <c r="D12" s="1"/>
      <c r="E12" s="97">
        <v>3</v>
      </c>
      <c r="F12" s="103">
        <f t="shared" ref="F12:F25" si="2">22.5+F11</f>
        <v>-22.5</v>
      </c>
      <c r="G12" s="104">
        <f>'User Input'!$B$23</f>
        <v>10000</v>
      </c>
      <c r="H12" s="105">
        <f>'User Input'!$B$24</f>
        <v>3728</v>
      </c>
      <c r="I12" s="106"/>
      <c r="J12" s="105"/>
      <c r="L12" s="46">
        <f>O30</f>
        <v>774140.35540579911</v>
      </c>
      <c r="M12" s="47">
        <f>P30</f>
        <v>9931253.7574417759</v>
      </c>
      <c r="N12" s="47">
        <f>O33</f>
        <v>779519.4541978261</v>
      </c>
      <c r="O12" s="47">
        <f>P33</f>
        <v>9941198.772919219</v>
      </c>
      <c r="P12" s="47">
        <f>O36</f>
        <v>790517.06551930367</v>
      </c>
      <c r="Q12" s="47">
        <f>P36</f>
        <v>9939827.5443950891</v>
      </c>
      <c r="R12" s="47">
        <f>O39</f>
        <v>793680.06777862436</v>
      </c>
      <c r="S12" s="47">
        <f>P39</f>
        <v>9929479.1479338352</v>
      </c>
      <c r="T12" s="47">
        <f>O42</f>
        <v>785460.29227901413</v>
      </c>
      <c r="U12" s="47">
        <f>P42</f>
        <v>9922237.0661530476</v>
      </c>
      <c r="V12" s="47">
        <f>O45</f>
        <v>775421.36907877761</v>
      </c>
      <c r="W12" s="48">
        <f>P45</f>
        <v>9927299.1377859861</v>
      </c>
      <c r="Y12" s="69">
        <f>L12*0.3048</f>
        <v>235957.98032768758</v>
      </c>
      <c r="Z12" s="69">
        <f t="shared" si="1"/>
        <v>3027046.1452682535</v>
      </c>
      <c r="AA12" s="69">
        <f t="shared" si="1"/>
        <v>237597.5296394974</v>
      </c>
      <c r="AB12" s="69">
        <f t="shared" si="1"/>
        <v>3030077.3859857782</v>
      </c>
      <c r="AC12" s="69">
        <f t="shared" si="1"/>
        <v>240949.60157028376</v>
      </c>
      <c r="AD12" s="69">
        <f t="shared" si="1"/>
        <v>3029659.4355316232</v>
      </c>
      <c r="AE12" s="69">
        <f t="shared" si="1"/>
        <v>241913.68465892473</v>
      </c>
      <c r="AF12" s="69">
        <f t="shared" si="1"/>
        <v>3026505.2442902331</v>
      </c>
      <c r="AG12" s="69">
        <f t="shared" si="1"/>
        <v>239408.29708664352</v>
      </c>
      <c r="AH12" s="69">
        <f t="shared" si="1"/>
        <v>3024297.8577634492</v>
      </c>
      <c r="AI12" s="69">
        <f t="shared" si="1"/>
        <v>236348.43329521143</v>
      </c>
      <c r="AJ12" s="69">
        <f t="shared" si="1"/>
        <v>3025840.7771971687</v>
      </c>
    </row>
    <row r="13" spans="1:36" x14ac:dyDescent="0.2">
      <c r="A13" s="5">
        <v>4</v>
      </c>
      <c r="B13" s="8">
        <v>138.69999999999999</v>
      </c>
      <c r="C13" s="9">
        <v>-116.9</v>
      </c>
      <c r="D13" s="1"/>
      <c r="E13" s="97">
        <v>4</v>
      </c>
      <c r="F13" s="103">
        <f t="shared" si="2"/>
        <v>0</v>
      </c>
      <c r="G13" s="104">
        <f>'User Input'!$B$23</f>
        <v>10000</v>
      </c>
      <c r="H13" s="105">
        <f>'User Input'!$B$24</f>
        <v>3728</v>
      </c>
      <c r="I13" s="106"/>
      <c r="J13" s="105"/>
      <c r="L13" s="49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1"/>
      <c r="Y13" s="49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1"/>
    </row>
    <row r="14" spans="1:36" x14ac:dyDescent="0.2">
      <c r="A14" s="5">
        <v>5</v>
      </c>
      <c r="B14" s="8">
        <v>-121.1</v>
      </c>
      <c r="C14" s="9">
        <v>-116.9</v>
      </c>
      <c r="D14" s="1"/>
      <c r="E14" s="112">
        <v>5</v>
      </c>
      <c r="F14" s="103">
        <f t="shared" si="2"/>
        <v>22.5</v>
      </c>
      <c r="G14" s="113">
        <f>'User Input'!$B$23</f>
        <v>10000</v>
      </c>
      <c r="H14" s="105">
        <f>'User Input'!$B$24</f>
        <v>3728</v>
      </c>
      <c r="I14" s="114"/>
      <c r="J14" s="105"/>
      <c r="L14" s="263" t="s">
        <v>67</v>
      </c>
      <c r="M14" s="214"/>
      <c r="N14" s="214" t="s">
        <v>70</v>
      </c>
      <c r="O14" s="214"/>
      <c r="P14" s="214" t="s">
        <v>73</v>
      </c>
      <c r="Q14" s="214"/>
      <c r="R14" s="214" t="s">
        <v>76</v>
      </c>
      <c r="S14" s="214"/>
      <c r="T14" s="214" t="s">
        <v>79</v>
      </c>
      <c r="U14" s="214"/>
      <c r="V14" s="50"/>
      <c r="W14" s="51"/>
      <c r="Y14" s="263" t="s">
        <v>67</v>
      </c>
      <c r="Z14" s="214"/>
      <c r="AA14" s="214" t="s">
        <v>70</v>
      </c>
      <c r="AB14" s="214"/>
      <c r="AC14" s="214" t="s">
        <v>73</v>
      </c>
      <c r="AD14" s="214"/>
      <c r="AE14" s="214" t="s">
        <v>76</v>
      </c>
      <c r="AF14" s="214"/>
      <c r="AG14" s="214" t="s">
        <v>79</v>
      </c>
      <c r="AH14" s="214"/>
      <c r="AI14" s="50"/>
      <c r="AJ14" s="51"/>
    </row>
    <row r="15" spans="1:36" x14ac:dyDescent="0.2">
      <c r="A15" s="5">
        <v>6</v>
      </c>
      <c r="B15" s="8">
        <v>-140.80000000000001</v>
      </c>
      <c r="C15" s="9">
        <v>-111.3</v>
      </c>
      <c r="D15" s="1"/>
      <c r="E15" s="97">
        <v>6</v>
      </c>
      <c r="F15" s="103">
        <f t="shared" si="2"/>
        <v>45</v>
      </c>
      <c r="G15" s="104">
        <f>'User Input'!$B$23</f>
        <v>10000</v>
      </c>
      <c r="H15" s="105">
        <f>'User Input'!$B$24</f>
        <v>3728</v>
      </c>
      <c r="I15" s="106"/>
      <c r="J15" s="105"/>
      <c r="L15" s="69">
        <f>$K$5+K71</f>
        <v>784091.87042994238</v>
      </c>
      <c r="M15" s="70">
        <f>$M$5+L71</f>
        <v>9932319.3013808746</v>
      </c>
      <c r="N15" s="70">
        <f>$K$5+K74</f>
        <v>784415.00764633762</v>
      </c>
      <c r="O15" s="70">
        <f>$M$5+L74</f>
        <v>9932182.2851067316</v>
      </c>
      <c r="P15" s="70">
        <f>$K$5+K77</f>
        <v>784209.54020539729</v>
      </c>
      <c r="Q15" s="70">
        <f>$M$5+L77</f>
        <v>9932070.7253885828</v>
      </c>
      <c r="R15" s="70">
        <f>$K$5+K80</f>
        <v>784270.62183065782</v>
      </c>
      <c r="S15" s="70">
        <f>$M$5+L80</f>
        <v>9932416.3554727118</v>
      </c>
      <c r="T15" s="70">
        <f>$K$5+K83</f>
        <v>784419.48629808379</v>
      </c>
      <c r="U15" s="70">
        <f>$M$5+L83</f>
        <v>9932162.3003205545</v>
      </c>
      <c r="V15" s="50"/>
      <c r="W15" s="51"/>
      <c r="Y15" s="69">
        <f t="shared" ref="Y15:AJ17" si="3">L15*0.3048</f>
        <v>238991.20210704644</v>
      </c>
      <c r="Z15" s="70">
        <f t="shared" si="3"/>
        <v>3027370.9230608908</v>
      </c>
      <c r="AA15" s="70">
        <f t="shared" si="3"/>
        <v>239089.69433060373</v>
      </c>
      <c r="AB15" s="70">
        <f t="shared" si="3"/>
        <v>3027329.160500532</v>
      </c>
      <c r="AC15" s="70">
        <f t="shared" si="3"/>
        <v>239027.06785460512</v>
      </c>
      <c r="AD15" s="70">
        <f t="shared" si="3"/>
        <v>3027295.15709844</v>
      </c>
      <c r="AE15" s="70">
        <f t="shared" si="3"/>
        <v>239045.68553398451</v>
      </c>
      <c r="AF15" s="70">
        <f t="shared" si="3"/>
        <v>3027400.5051480825</v>
      </c>
      <c r="AG15" s="45">
        <f t="shared" si="3"/>
        <v>239091.05942365594</v>
      </c>
      <c r="AH15" s="45">
        <f t="shared" si="3"/>
        <v>3027323.069137705</v>
      </c>
      <c r="AI15" s="50">
        <f t="shared" si="3"/>
        <v>0</v>
      </c>
      <c r="AJ15" s="51">
        <f t="shared" si="3"/>
        <v>0</v>
      </c>
    </row>
    <row r="16" spans="1:36" x14ac:dyDescent="0.2">
      <c r="A16" s="5">
        <v>7</v>
      </c>
      <c r="B16" s="8">
        <v>-140.80000000000001</v>
      </c>
      <c r="C16" s="9">
        <v>111.3</v>
      </c>
      <c r="D16" s="1"/>
      <c r="E16" s="97">
        <v>7</v>
      </c>
      <c r="F16" s="103">
        <f t="shared" si="2"/>
        <v>67.5</v>
      </c>
      <c r="G16" s="104">
        <f>'User Input'!$B$23</f>
        <v>10000</v>
      </c>
      <c r="H16" s="105">
        <f>'User Input'!$B$24</f>
        <v>3728</v>
      </c>
      <c r="I16" s="106"/>
      <c r="J16" s="105"/>
      <c r="L16" s="46">
        <f>O51</f>
        <v>778078.15305284911</v>
      </c>
      <c r="M16" s="47">
        <f>P51</f>
        <v>9934100.6456228588</v>
      </c>
      <c r="N16" s="47">
        <f>O54</f>
        <v>783759.40512472286</v>
      </c>
      <c r="O16" s="47">
        <f>P54</f>
        <v>9938419.9264344797</v>
      </c>
      <c r="P16" s="47">
        <f>O57</f>
        <v>789721.48113601306</v>
      </c>
      <c r="Q16" s="47">
        <f>P57</f>
        <v>9935063.4651329294</v>
      </c>
      <c r="R16" s="47">
        <f>O60</f>
        <v>789144.88130091596</v>
      </c>
      <c r="S16" s="47">
        <f>P60</f>
        <v>9928469.2579800468</v>
      </c>
      <c r="T16" s="47">
        <f>O63</f>
        <v>782638.14205610077</v>
      </c>
      <c r="U16" s="47">
        <f>P63</f>
        <v>9926148.58294346</v>
      </c>
      <c r="V16" s="50"/>
      <c r="W16" s="51"/>
      <c r="Y16" s="46">
        <f t="shared" si="3"/>
        <v>237158.22105050841</v>
      </c>
      <c r="Z16" s="47">
        <f t="shared" si="3"/>
        <v>3027913.8767858474</v>
      </c>
      <c r="AA16" s="47">
        <f t="shared" si="3"/>
        <v>238889.86668201553</v>
      </c>
      <c r="AB16" s="47">
        <f t="shared" si="3"/>
        <v>3029230.3935772297</v>
      </c>
      <c r="AC16" s="47">
        <f t="shared" si="3"/>
        <v>240707.10745025679</v>
      </c>
      <c r="AD16" s="47">
        <f t="shared" si="3"/>
        <v>3028207.3441725168</v>
      </c>
      <c r="AE16" s="47">
        <f t="shared" si="3"/>
        <v>240531.3598205192</v>
      </c>
      <c r="AF16" s="47">
        <f t="shared" si="3"/>
        <v>3026197.4298323183</v>
      </c>
      <c r="AG16" s="47">
        <f t="shared" si="3"/>
        <v>238548.10569869954</v>
      </c>
      <c r="AH16" s="47">
        <f t="shared" si="3"/>
        <v>3025490.0880811666</v>
      </c>
      <c r="AI16" s="50">
        <f t="shared" si="3"/>
        <v>0</v>
      </c>
      <c r="AJ16" s="51">
        <f t="shared" si="3"/>
        <v>0</v>
      </c>
    </row>
    <row r="17" spans="1:36" x14ac:dyDescent="0.2">
      <c r="A17" s="5">
        <v>8</v>
      </c>
      <c r="B17" s="8">
        <v>-121.1</v>
      </c>
      <c r="C17" s="9">
        <v>116.9</v>
      </c>
      <c r="D17" s="1"/>
      <c r="E17" s="97">
        <v>8</v>
      </c>
      <c r="F17" s="103">
        <f t="shared" si="2"/>
        <v>90</v>
      </c>
      <c r="G17" s="104">
        <f>'User Input'!$B$23</f>
        <v>10000</v>
      </c>
      <c r="H17" s="105">
        <f>H14</f>
        <v>3728</v>
      </c>
      <c r="I17" s="106"/>
      <c r="J17" s="105"/>
      <c r="L17" s="46">
        <f>O31</f>
        <v>774503.67308126052</v>
      </c>
      <c r="M17" s="47">
        <f>P31</f>
        <v>9935159.454827914</v>
      </c>
      <c r="N17" s="47">
        <f>O34</f>
        <v>783369.7230136611</v>
      </c>
      <c r="O17" s="47">
        <f>P34</f>
        <v>9942127.5040604137</v>
      </c>
      <c r="P17" s="47">
        <f>O37</f>
        <v>792997.71133201686</v>
      </c>
      <c r="Q17" s="47">
        <f>P37</f>
        <v>9936842.3129911777</v>
      </c>
      <c r="R17" s="47">
        <f>O40</f>
        <v>792042.08144522761</v>
      </c>
      <c r="S17" s="47">
        <f>P40</f>
        <v>9926123.1515622139</v>
      </c>
      <c r="T17" s="47">
        <f>O43</f>
        <v>781579.3328510446</v>
      </c>
      <c r="U17" s="47">
        <f>P43</f>
        <v>9922574.1029718723</v>
      </c>
      <c r="V17" s="50"/>
      <c r="W17" s="51"/>
      <c r="Y17" s="46">
        <f t="shared" si="3"/>
        <v>236068.71955516821</v>
      </c>
      <c r="Z17" s="47">
        <f t="shared" si="3"/>
        <v>3028236.6018315484</v>
      </c>
      <c r="AA17" s="47">
        <f t="shared" si="3"/>
        <v>238771.09157456391</v>
      </c>
      <c r="AB17" s="47">
        <f t="shared" si="3"/>
        <v>3030360.4632376144</v>
      </c>
      <c r="AC17" s="47">
        <f t="shared" si="3"/>
        <v>241705.70241399875</v>
      </c>
      <c r="AD17" s="47">
        <f t="shared" si="3"/>
        <v>3028749.5369997113</v>
      </c>
      <c r="AE17" s="47">
        <f t="shared" si="3"/>
        <v>241414.42642450539</v>
      </c>
      <c r="AF17" s="47">
        <f t="shared" si="3"/>
        <v>3025482.336596163</v>
      </c>
      <c r="AG17" s="47">
        <f t="shared" si="3"/>
        <v>238225.3806529984</v>
      </c>
      <c r="AH17" s="47">
        <f t="shared" si="3"/>
        <v>3024400.5865858267</v>
      </c>
      <c r="AI17" s="50">
        <f t="shared" si="3"/>
        <v>0</v>
      </c>
      <c r="AJ17" s="51">
        <f t="shared" si="3"/>
        <v>0</v>
      </c>
    </row>
    <row r="18" spans="1:36" x14ac:dyDescent="0.2">
      <c r="A18" s="5">
        <v>9</v>
      </c>
      <c r="B18" s="8">
        <v>138.69999999999999</v>
      </c>
      <c r="C18" s="9">
        <v>116.9</v>
      </c>
      <c r="D18" s="1"/>
      <c r="E18" s="97">
        <v>9</v>
      </c>
      <c r="F18" s="103">
        <f t="shared" si="2"/>
        <v>112.5</v>
      </c>
      <c r="G18" s="104">
        <f>'User Input'!$B$23</f>
        <v>10000</v>
      </c>
      <c r="H18" s="105">
        <f t="shared" ref="H18:H25" si="4">H15</f>
        <v>3728</v>
      </c>
      <c r="I18" s="101"/>
      <c r="J18" s="98"/>
      <c r="L18" s="49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1"/>
      <c r="Y18" s="49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1"/>
    </row>
    <row r="19" spans="1:36" x14ac:dyDescent="0.2">
      <c r="A19" s="5">
        <v>10</v>
      </c>
      <c r="B19" s="8">
        <v>153.5</v>
      </c>
      <c r="C19" s="9">
        <v>101.7</v>
      </c>
      <c r="D19" s="1"/>
      <c r="E19" s="97">
        <v>10</v>
      </c>
      <c r="F19" s="103">
        <f t="shared" si="2"/>
        <v>135</v>
      </c>
      <c r="G19" s="104">
        <f>'User Input'!$B$23</f>
        <v>10000</v>
      </c>
      <c r="H19" s="105">
        <f t="shared" si="4"/>
        <v>3728</v>
      </c>
      <c r="I19" s="101"/>
      <c r="J19" s="98"/>
      <c r="L19" s="263" t="s">
        <v>68</v>
      </c>
      <c r="M19" s="214"/>
      <c r="N19" s="214" t="s">
        <v>71</v>
      </c>
      <c r="O19" s="214"/>
      <c r="P19" s="214" t="s">
        <v>74</v>
      </c>
      <c r="Q19" s="214"/>
      <c r="R19" s="214" t="s">
        <v>77</v>
      </c>
      <c r="S19" s="214"/>
      <c r="T19" s="214" t="s">
        <v>80</v>
      </c>
      <c r="U19" s="214"/>
      <c r="V19" s="50"/>
      <c r="W19" s="51"/>
      <c r="Y19" s="263" t="s">
        <v>68</v>
      </c>
      <c r="Z19" s="214"/>
      <c r="AA19" s="214" t="s">
        <v>71</v>
      </c>
      <c r="AB19" s="214"/>
      <c r="AC19" s="214" t="s">
        <v>74</v>
      </c>
      <c r="AD19" s="214"/>
      <c r="AE19" s="214" t="s">
        <v>77</v>
      </c>
      <c r="AF19" s="214"/>
      <c r="AG19" s="214" t="s">
        <v>80</v>
      </c>
      <c r="AH19" s="214"/>
      <c r="AI19" s="50"/>
      <c r="AJ19" s="51"/>
    </row>
    <row r="20" spans="1:36" x14ac:dyDescent="0.2">
      <c r="A20" s="5">
        <v>11</v>
      </c>
      <c r="B20" s="8">
        <v>153.5</v>
      </c>
      <c r="C20" s="9">
        <v>-101.7</v>
      </c>
      <c r="D20" s="1"/>
      <c r="E20" s="97">
        <v>11</v>
      </c>
      <c r="F20" s="103">
        <f t="shared" si="2"/>
        <v>157.5</v>
      </c>
      <c r="G20" s="104">
        <f>'User Input'!$B$23</f>
        <v>10000</v>
      </c>
      <c r="H20" s="105">
        <f t="shared" si="4"/>
        <v>3728</v>
      </c>
      <c r="I20" s="101"/>
      <c r="J20" s="98"/>
      <c r="L20" s="69">
        <f>$K$5+K72</f>
        <v>784270.62183065782</v>
      </c>
      <c r="M20" s="70">
        <f>$M$5+L72</f>
        <v>9932416.3554727118</v>
      </c>
      <c r="N20" s="70">
        <f>$K$5+K75</f>
        <v>784419.48629808379</v>
      </c>
      <c r="O20" s="70">
        <f>$M$5+L75</f>
        <v>9932162.3003205545</v>
      </c>
      <c r="P20" s="70">
        <f>$K$5+K78</f>
        <v>784085.57435948181</v>
      </c>
      <c r="Q20" s="70">
        <f>$M$5+L78</f>
        <v>9932299.0420744512</v>
      </c>
      <c r="R20" s="70">
        <f>$K$5+K81</f>
        <v>784291.04180042213</v>
      </c>
      <c r="S20" s="70">
        <f>$M$5+L81</f>
        <v>9932410.6017926</v>
      </c>
      <c r="T20" s="70">
        <f>$K$5+K84</f>
        <v>784223.86160880525</v>
      </c>
      <c r="U20" s="70">
        <f>$M$5+L84</f>
        <v>9932056.0847805198</v>
      </c>
      <c r="V20" s="50"/>
      <c r="W20" s="51"/>
      <c r="Y20" s="69">
        <f t="shared" ref="Y20:AJ22" si="5">L20*0.3048</f>
        <v>239045.68553398451</v>
      </c>
      <c r="Z20" s="70">
        <f t="shared" si="5"/>
        <v>3027400.5051480825</v>
      </c>
      <c r="AA20" s="70">
        <f t="shared" si="5"/>
        <v>239091.05942365594</v>
      </c>
      <c r="AB20" s="70">
        <f t="shared" si="5"/>
        <v>3027323.069137705</v>
      </c>
      <c r="AC20" s="70">
        <f t="shared" si="5"/>
        <v>238989.28306477008</v>
      </c>
      <c r="AD20" s="70">
        <f t="shared" si="5"/>
        <v>3027364.7480242928</v>
      </c>
      <c r="AE20" s="70">
        <f t="shared" si="5"/>
        <v>239051.90954076868</v>
      </c>
      <c r="AF20" s="70">
        <f t="shared" si="5"/>
        <v>3027398.7514263848</v>
      </c>
      <c r="AG20" s="45">
        <f t="shared" si="5"/>
        <v>239031.43301836387</v>
      </c>
      <c r="AH20" s="45">
        <f t="shared" si="5"/>
        <v>3027290.6946411026</v>
      </c>
      <c r="AI20" s="50">
        <f t="shared" si="5"/>
        <v>0</v>
      </c>
      <c r="AJ20" s="51">
        <f t="shared" si="5"/>
        <v>0</v>
      </c>
    </row>
    <row r="21" spans="1:36" x14ac:dyDescent="0.2">
      <c r="A21" s="5">
        <v>12</v>
      </c>
      <c r="B21" s="8">
        <v>138.69999999999999</v>
      </c>
      <c r="C21" s="9">
        <v>-116.9</v>
      </c>
      <c r="D21" s="1"/>
      <c r="E21" s="97">
        <v>12</v>
      </c>
      <c r="F21" s="103">
        <f t="shared" si="2"/>
        <v>180</v>
      </c>
      <c r="G21" s="104">
        <f>'User Input'!$B$23</f>
        <v>10000</v>
      </c>
      <c r="H21" s="105">
        <f t="shared" si="4"/>
        <v>3728</v>
      </c>
      <c r="I21" s="101"/>
      <c r="J21" s="98"/>
      <c r="L21" s="46">
        <f>O52</f>
        <v>779396.3623603998</v>
      </c>
      <c r="M21" s="47">
        <f>P52</f>
        <v>9936363.4529653769</v>
      </c>
      <c r="N21" s="47">
        <f>O55</f>
        <v>786200.83054006682</v>
      </c>
      <c r="O21" s="47">
        <f>P55</f>
        <v>9938176.0176976472</v>
      </c>
      <c r="P21" s="47">
        <f>O58</f>
        <v>790323.21568723163</v>
      </c>
      <c r="Q21" s="47">
        <f>P58</f>
        <v>9932954.6445960663</v>
      </c>
      <c r="R21" s="47">
        <f>O61</f>
        <v>787283.78154477046</v>
      </c>
      <c r="S21" s="47">
        <f>P61</f>
        <v>9926898.6608619839</v>
      </c>
      <c r="T21" s="47">
        <f>O64</f>
        <v>780276.76411614066</v>
      </c>
      <c r="U21" s="47">
        <f>P64</f>
        <v>9927181.8253102619</v>
      </c>
      <c r="V21" s="50"/>
      <c r="W21" s="51"/>
      <c r="Y21" s="46">
        <f t="shared" si="5"/>
        <v>237560.01124744987</v>
      </c>
      <c r="Z21" s="47">
        <f t="shared" si="5"/>
        <v>3028603.5804638471</v>
      </c>
      <c r="AA21" s="47">
        <f t="shared" si="5"/>
        <v>239634.01314861237</v>
      </c>
      <c r="AB21" s="47">
        <f t="shared" si="5"/>
        <v>3029156.050194243</v>
      </c>
      <c r="AC21" s="47">
        <f t="shared" si="5"/>
        <v>240890.51614146822</v>
      </c>
      <c r="AD21" s="47">
        <f t="shared" si="5"/>
        <v>3027564.5756728812</v>
      </c>
      <c r="AE21" s="47">
        <f t="shared" si="5"/>
        <v>239964.09661484606</v>
      </c>
      <c r="AF21" s="47">
        <f t="shared" si="5"/>
        <v>3025718.7118307329</v>
      </c>
      <c r="AG21" s="47">
        <f t="shared" si="5"/>
        <v>237828.35770259969</v>
      </c>
      <c r="AH21" s="47">
        <f t="shared" si="5"/>
        <v>3025805.020354568</v>
      </c>
      <c r="AI21" s="50">
        <f t="shared" si="5"/>
        <v>0</v>
      </c>
      <c r="AJ21" s="51">
        <f t="shared" si="5"/>
        <v>0</v>
      </c>
    </row>
    <row r="22" spans="1:36" ht="13.5" thickBot="1" x14ac:dyDescent="0.25">
      <c r="A22" s="5">
        <v>13</v>
      </c>
      <c r="B22" s="8">
        <v>-121.1</v>
      </c>
      <c r="C22" s="9">
        <v>-116.9</v>
      </c>
      <c r="D22" s="1"/>
      <c r="E22" s="97">
        <v>13</v>
      </c>
      <c r="F22" s="103">
        <f t="shared" si="2"/>
        <v>202.5</v>
      </c>
      <c r="G22" s="104">
        <f>'User Input'!$B$23</f>
        <v>10000</v>
      </c>
      <c r="H22" s="105">
        <f t="shared" si="4"/>
        <v>3728</v>
      </c>
      <c r="I22" s="101"/>
      <c r="J22" s="98"/>
      <c r="L22" s="52">
        <f>O32</f>
        <v>776499.16221608815</v>
      </c>
      <c r="M22" s="53">
        <f>P32</f>
        <v>9938709.5593832098</v>
      </c>
      <c r="N22" s="53">
        <f>O35</f>
        <v>787259.63974512299</v>
      </c>
      <c r="O22" s="53">
        <f>P35</f>
        <v>9941750.4976692349</v>
      </c>
      <c r="P22" s="53">
        <f>O38</f>
        <v>794030.7933131645</v>
      </c>
      <c r="Q22" s="53">
        <f>P38</f>
        <v>9933344.3267071284</v>
      </c>
      <c r="R22" s="53">
        <f>O41</f>
        <v>789062.62940301828</v>
      </c>
      <c r="S22" s="53">
        <f>P41</f>
        <v>9923622.430665981</v>
      </c>
      <c r="T22" s="53">
        <f>O44</f>
        <v>777930.65769830684</v>
      </c>
      <c r="U22" s="53">
        <f>P44</f>
        <v>9924284.6251659505</v>
      </c>
      <c r="V22" s="54"/>
      <c r="W22" s="55"/>
      <c r="Y22" s="52">
        <f t="shared" si="5"/>
        <v>236676.94464346368</v>
      </c>
      <c r="Z22" s="53">
        <f t="shared" si="5"/>
        <v>3029318.6737000025</v>
      </c>
      <c r="AA22" s="53">
        <f t="shared" si="5"/>
        <v>239956.73819431351</v>
      </c>
      <c r="AB22" s="53">
        <f t="shared" si="5"/>
        <v>3030245.5516895829</v>
      </c>
      <c r="AC22" s="53">
        <f t="shared" si="5"/>
        <v>242020.58580185255</v>
      </c>
      <c r="AD22" s="53">
        <f t="shared" si="5"/>
        <v>3027683.3507803329</v>
      </c>
      <c r="AE22" s="53">
        <f t="shared" si="5"/>
        <v>240506.28944204</v>
      </c>
      <c r="AF22" s="53">
        <f t="shared" si="5"/>
        <v>3024720.1168669914</v>
      </c>
      <c r="AG22" s="53">
        <f t="shared" si="5"/>
        <v>237113.26446644394</v>
      </c>
      <c r="AH22" s="53">
        <f t="shared" si="5"/>
        <v>3024921.9537505819</v>
      </c>
      <c r="AI22" s="54">
        <f t="shared" si="5"/>
        <v>0</v>
      </c>
      <c r="AJ22" s="55">
        <f t="shared" si="5"/>
        <v>0</v>
      </c>
    </row>
    <row r="23" spans="1:36" x14ac:dyDescent="0.2">
      <c r="A23" s="5">
        <v>14</v>
      </c>
      <c r="B23" s="8">
        <v>-140.80000000000001</v>
      </c>
      <c r="C23" s="9">
        <v>-111.3</v>
      </c>
      <c r="D23" s="1"/>
      <c r="E23" s="97">
        <v>14</v>
      </c>
      <c r="F23" s="103">
        <f t="shared" si="2"/>
        <v>225</v>
      </c>
      <c r="G23" s="104">
        <f>'User Input'!$B$23</f>
        <v>10000</v>
      </c>
      <c r="H23" s="105">
        <f t="shared" si="4"/>
        <v>3728</v>
      </c>
      <c r="I23" s="101"/>
      <c r="J23" s="98"/>
    </row>
    <row r="24" spans="1:36" x14ac:dyDescent="0.2">
      <c r="A24" s="5">
        <v>15</v>
      </c>
      <c r="B24" s="8">
        <v>-140.80000000000001</v>
      </c>
      <c r="C24" s="9">
        <v>111.3</v>
      </c>
      <c r="D24" s="1"/>
      <c r="E24" s="97">
        <v>15</v>
      </c>
      <c r="F24" s="103">
        <f t="shared" si="2"/>
        <v>247.5</v>
      </c>
      <c r="G24" s="104">
        <f>'User Input'!$B$23</f>
        <v>10000</v>
      </c>
      <c r="H24" s="105">
        <f t="shared" si="4"/>
        <v>3728</v>
      </c>
      <c r="I24" s="101"/>
      <c r="J24" s="98"/>
    </row>
    <row r="25" spans="1:36" ht="13.5" thickBot="1" x14ac:dyDescent="0.25">
      <c r="A25" s="6">
        <v>16</v>
      </c>
      <c r="B25" s="8">
        <v>-121.1</v>
      </c>
      <c r="C25" s="9">
        <v>116.9</v>
      </c>
      <c r="D25" s="1"/>
      <c r="E25" s="99">
        <v>16</v>
      </c>
      <c r="F25" s="103">
        <f t="shared" si="2"/>
        <v>270</v>
      </c>
      <c r="G25" s="104">
        <f>'User Input'!$B$23</f>
        <v>10000</v>
      </c>
      <c r="H25" s="105">
        <f t="shared" si="4"/>
        <v>3728</v>
      </c>
      <c r="I25" s="102"/>
      <c r="J25" s="100"/>
    </row>
    <row r="26" spans="1:36" ht="13.5" thickBo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36" ht="18.75" thickBot="1" x14ac:dyDescent="0.3">
      <c r="D27" s="1"/>
      <c r="E27" s="275" t="s">
        <v>65</v>
      </c>
      <c r="F27" s="276"/>
      <c r="G27" s="250" t="s">
        <v>50</v>
      </c>
      <c r="H27" s="251"/>
      <c r="I27" s="251"/>
      <c r="J27" s="252"/>
      <c r="K27" s="251" t="s">
        <v>51</v>
      </c>
      <c r="L27" s="251"/>
      <c r="M27" s="251"/>
      <c r="N27" s="251"/>
      <c r="O27" s="250" t="s">
        <v>63</v>
      </c>
      <c r="P27" s="251"/>
      <c r="Q27" s="251"/>
      <c r="R27" s="252"/>
    </row>
    <row r="28" spans="1:36" ht="18.75" thickBot="1" x14ac:dyDescent="0.3">
      <c r="A28" s="267" t="s">
        <v>60</v>
      </c>
      <c r="B28" s="268"/>
      <c r="C28" s="10">
        <f>C29-90</f>
        <v>-331.5</v>
      </c>
      <c r="D28" s="1"/>
      <c r="E28" s="277"/>
      <c r="F28" s="278"/>
      <c r="G28" s="269" t="s">
        <v>61</v>
      </c>
      <c r="H28" s="270"/>
      <c r="I28" s="270"/>
      <c r="J28" s="271"/>
      <c r="K28" s="270" t="s">
        <v>61</v>
      </c>
      <c r="L28" s="270"/>
      <c r="M28" s="270"/>
      <c r="N28" s="270"/>
      <c r="O28" s="269" t="s">
        <v>61</v>
      </c>
      <c r="P28" s="270"/>
      <c r="Q28" s="270"/>
      <c r="R28" s="271"/>
    </row>
    <row r="29" spans="1:36" ht="18.75" thickBot="1" x14ac:dyDescent="0.3">
      <c r="A29" s="267" t="s">
        <v>14</v>
      </c>
      <c r="B29" s="268"/>
      <c r="C29" s="10">
        <f>-A5-90+180</f>
        <v>-241.5</v>
      </c>
      <c r="D29" s="1"/>
      <c r="E29" s="21"/>
      <c r="F29" s="30" t="s">
        <v>47</v>
      </c>
      <c r="G29" s="30" t="s">
        <v>48</v>
      </c>
      <c r="H29" s="31" t="s">
        <v>49</v>
      </c>
      <c r="I29" s="31"/>
      <c r="J29" s="32"/>
      <c r="K29" s="31" t="s">
        <v>48</v>
      </c>
      <c r="L29" s="31" t="s">
        <v>49</v>
      </c>
      <c r="M29" s="31"/>
      <c r="N29" s="31"/>
      <c r="O29" s="30" t="s">
        <v>48</v>
      </c>
      <c r="P29" s="31" t="s">
        <v>49</v>
      </c>
      <c r="Q29" s="31"/>
      <c r="R29" s="32"/>
    </row>
    <row r="30" spans="1:36" ht="18" x14ac:dyDescent="0.25">
      <c r="A30" s="273" t="s">
        <v>15</v>
      </c>
      <c r="B30" s="274"/>
      <c r="C30" s="11">
        <f>((B10^2)+(C10^2))^0.5</f>
        <v>181.39266798853805</v>
      </c>
      <c r="D30" s="1"/>
      <c r="E30" s="22" t="s">
        <v>31</v>
      </c>
      <c r="F30" s="24">
        <f>-F10-90+180+$C$28</f>
        <v>-174</v>
      </c>
      <c r="G30" s="33">
        <f>G10*(COS(RADIANS(F30)))</f>
        <v>-9945.2189536827336</v>
      </c>
      <c r="H30" s="25">
        <f>G10*(SIN(RADIANS(F30)))</f>
        <v>-1045.2846326765373</v>
      </c>
      <c r="I30" s="25"/>
      <c r="J30" s="26"/>
      <c r="K30" s="25">
        <f t="shared" ref="K30:K45" si="6">G30+K70</f>
        <v>-10114.134594200925</v>
      </c>
      <c r="L30" s="25">
        <f t="shared" ref="L30:L45" si="7">H30+L70</f>
        <v>-979.17255822467098</v>
      </c>
      <c r="M30" s="25"/>
      <c r="N30" s="25"/>
      <c r="O30" s="42">
        <f>K30+$K$5</f>
        <v>774140.35540579911</v>
      </c>
      <c r="P30" s="43">
        <f>L30+$M$5</f>
        <v>9931253.7574417759</v>
      </c>
      <c r="Q30" s="43"/>
      <c r="R30" s="44"/>
    </row>
    <row r="31" spans="1:36" ht="18" x14ac:dyDescent="0.25">
      <c r="A31" s="242" t="s">
        <v>16</v>
      </c>
      <c r="B31" s="243"/>
      <c r="C31" s="12">
        <f t="shared" ref="C31:C45" si="8">((B11^2)+(C11^2))^0.5</f>
        <v>184.13348419013855</v>
      </c>
      <c r="D31" s="1"/>
      <c r="E31" s="22" t="s">
        <v>32</v>
      </c>
      <c r="F31" s="24">
        <f t="shared" ref="F31:F45" si="9">-F11-90+180+$C$28</f>
        <v>-196.5</v>
      </c>
      <c r="G31" s="33">
        <f t="shared" ref="G31:G45" si="10">G11*(COS(RADIANS(F31)))</f>
        <v>-9588.1973486819297</v>
      </c>
      <c r="H31" s="25">
        <f t="shared" ref="H31:H37" si="11">G11*(SIN(RADIANS(F31)))</f>
        <v>2840.1534470392276</v>
      </c>
      <c r="I31" s="25"/>
      <c r="J31" s="26"/>
      <c r="K31" s="25">
        <f t="shared" si="6"/>
        <v>-9750.8169187395015</v>
      </c>
      <c r="L31" s="25">
        <f t="shared" si="7"/>
        <v>2926.5248279144371</v>
      </c>
      <c r="M31" s="25"/>
      <c r="N31" s="25"/>
      <c r="O31" s="33">
        <f t="shared" ref="O31:O45" si="12">K31+$K$5</f>
        <v>774503.67308126052</v>
      </c>
      <c r="P31" s="25">
        <f t="shared" ref="P31:P44" si="13">L31+$M$5</f>
        <v>9935159.454827914</v>
      </c>
      <c r="Q31" s="25"/>
      <c r="R31" s="26"/>
    </row>
    <row r="32" spans="1:36" ht="18" x14ac:dyDescent="0.25">
      <c r="A32" s="242" t="s">
        <v>17</v>
      </c>
      <c r="B32" s="243"/>
      <c r="C32" s="12">
        <f t="shared" si="8"/>
        <v>184.13348419013855</v>
      </c>
      <c r="D32" s="1"/>
      <c r="E32" s="22" t="s">
        <v>33</v>
      </c>
      <c r="F32" s="24">
        <f t="shared" si="9"/>
        <v>-219</v>
      </c>
      <c r="G32" s="33">
        <f t="shared" si="10"/>
        <v>-7771.4596145697078</v>
      </c>
      <c r="H32" s="25">
        <f t="shared" si="11"/>
        <v>6293.203910498376</v>
      </c>
      <c r="I32" s="25"/>
      <c r="J32" s="26"/>
      <c r="K32" s="25">
        <f t="shared" si="6"/>
        <v>-7755.3277839118355</v>
      </c>
      <c r="L32" s="25">
        <f t="shared" si="7"/>
        <v>6476.6293832103902</v>
      </c>
      <c r="M32" s="25"/>
      <c r="N32" s="25"/>
      <c r="O32" s="33">
        <f t="shared" si="12"/>
        <v>776499.16221608815</v>
      </c>
      <c r="P32" s="25">
        <f t="shared" si="13"/>
        <v>9938709.5593832098</v>
      </c>
      <c r="Q32" s="25"/>
      <c r="R32" s="26"/>
    </row>
    <row r="33" spans="1:18" ht="18" x14ac:dyDescent="0.25">
      <c r="A33" s="242" t="s">
        <v>18</v>
      </c>
      <c r="B33" s="243"/>
      <c r="C33" s="12">
        <f t="shared" si="8"/>
        <v>181.39266798853805</v>
      </c>
      <c r="D33" s="1"/>
      <c r="E33" s="22" t="s">
        <v>34</v>
      </c>
      <c r="F33" s="24">
        <f t="shared" si="9"/>
        <v>-241.5</v>
      </c>
      <c r="G33" s="33">
        <f t="shared" si="10"/>
        <v>-4771.587602596087</v>
      </c>
      <c r="H33" s="25">
        <f t="shared" si="11"/>
        <v>8788.1711266196526</v>
      </c>
      <c r="I33" s="25"/>
      <c r="J33" s="26"/>
      <c r="K33" s="25">
        <f t="shared" si="6"/>
        <v>-4735.0358021739112</v>
      </c>
      <c r="L33" s="25">
        <f t="shared" si="7"/>
        <v>8965.8429192202148</v>
      </c>
      <c r="M33" s="25"/>
      <c r="N33" s="25"/>
      <c r="O33" s="33">
        <f t="shared" si="12"/>
        <v>779519.4541978261</v>
      </c>
      <c r="P33" s="25">
        <f t="shared" si="13"/>
        <v>9941198.772919219</v>
      </c>
      <c r="Q33" s="25"/>
      <c r="R33" s="26"/>
    </row>
    <row r="34" spans="1:18" ht="18" x14ac:dyDescent="0.25">
      <c r="A34" s="242" t="s">
        <v>19</v>
      </c>
      <c r="B34" s="243"/>
      <c r="C34" s="12">
        <f t="shared" si="8"/>
        <v>168.31761642799009</v>
      </c>
      <c r="D34" s="1"/>
      <c r="E34" s="22" t="s">
        <v>35</v>
      </c>
      <c r="F34" s="24">
        <f t="shared" si="9"/>
        <v>-264</v>
      </c>
      <c r="G34" s="33">
        <f t="shared" si="10"/>
        <v>-1045.2846326765336</v>
      </c>
      <c r="H34" s="25">
        <f t="shared" si="11"/>
        <v>9945.2189536827336</v>
      </c>
      <c r="I34" s="25"/>
      <c r="J34" s="26"/>
      <c r="K34" s="25">
        <f t="shared" si="6"/>
        <v>-884.76698633891124</v>
      </c>
      <c r="L34" s="25">
        <f t="shared" si="7"/>
        <v>9894.5740604137172</v>
      </c>
      <c r="M34" s="25"/>
      <c r="N34" s="25"/>
      <c r="O34" s="33">
        <f t="shared" si="12"/>
        <v>783369.7230136611</v>
      </c>
      <c r="P34" s="25">
        <f t="shared" si="13"/>
        <v>9942127.5040604137</v>
      </c>
      <c r="Q34" s="25"/>
      <c r="R34" s="26"/>
    </row>
    <row r="35" spans="1:18" ht="18" x14ac:dyDescent="0.25">
      <c r="A35" s="242" t="s">
        <v>20</v>
      </c>
      <c r="B35" s="243"/>
      <c r="C35" s="12">
        <f t="shared" si="8"/>
        <v>179.47793736278564</v>
      </c>
      <c r="D35" s="1"/>
      <c r="E35" s="22" t="s">
        <v>36</v>
      </c>
      <c r="F35" s="24">
        <f t="shared" si="9"/>
        <v>-286.5</v>
      </c>
      <c r="G35" s="33">
        <f t="shared" si="10"/>
        <v>2840.153447039223</v>
      </c>
      <c r="H35" s="25">
        <f t="shared" si="11"/>
        <v>9588.1973486819315</v>
      </c>
      <c r="I35" s="25"/>
      <c r="J35" s="26"/>
      <c r="K35" s="25">
        <f t="shared" si="6"/>
        <v>3005.1497451230525</v>
      </c>
      <c r="L35" s="25">
        <f t="shared" si="7"/>
        <v>9517.5676692360212</v>
      </c>
      <c r="M35" s="25"/>
      <c r="N35" s="25"/>
      <c r="O35" s="33">
        <f t="shared" si="12"/>
        <v>787259.63974512299</v>
      </c>
      <c r="P35" s="25">
        <f t="shared" si="13"/>
        <v>9941750.4976692349</v>
      </c>
      <c r="Q35" s="25"/>
      <c r="R35" s="26"/>
    </row>
    <row r="36" spans="1:18" ht="18" x14ac:dyDescent="0.25">
      <c r="A36" s="242" t="s">
        <v>21</v>
      </c>
      <c r="B36" s="243"/>
      <c r="C36" s="12">
        <f t="shared" si="8"/>
        <v>179.47793736278564</v>
      </c>
      <c r="D36" s="1"/>
      <c r="E36" s="22" t="s">
        <v>37</v>
      </c>
      <c r="F36" s="24">
        <f t="shared" si="9"/>
        <v>-309</v>
      </c>
      <c r="G36" s="33">
        <f t="shared" si="10"/>
        <v>6293.2039104983751</v>
      </c>
      <c r="H36" s="25">
        <f t="shared" si="11"/>
        <v>7771.4596145697078</v>
      </c>
      <c r="I36" s="25"/>
      <c r="J36" s="26"/>
      <c r="K36" s="25">
        <f t="shared" si="6"/>
        <v>6262.5755193036512</v>
      </c>
      <c r="L36" s="25">
        <f t="shared" si="7"/>
        <v>7594.6143950900087</v>
      </c>
      <c r="M36" s="25"/>
      <c r="N36" s="25"/>
      <c r="O36" s="33">
        <f t="shared" si="12"/>
        <v>790517.06551930367</v>
      </c>
      <c r="P36" s="25">
        <f t="shared" si="13"/>
        <v>9939827.5443950891</v>
      </c>
      <c r="Q36" s="25"/>
      <c r="R36" s="26"/>
    </row>
    <row r="37" spans="1:18" ht="18" x14ac:dyDescent="0.25">
      <c r="A37" s="242" t="s">
        <v>22</v>
      </c>
      <c r="B37" s="243"/>
      <c r="C37" s="12">
        <f t="shared" si="8"/>
        <v>168.31761642799009</v>
      </c>
      <c r="D37" s="1"/>
      <c r="E37" s="22" t="s">
        <v>38</v>
      </c>
      <c r="F37" s="24">
        <f t="shared" si="9"/>
        <v>-331.5</v>
      </c>
      <c r="G37" s="33">
        <f t="shared" si="10"/>
        <v>8788.1711266196507</v>
      </c>
      <c r="H37" s="25">
        <f t="shared" si="11"/>
        <v>4771.587602596087</v>
      </c>
      <c r="I37" s="25"/>
      <c r="J37" s="26"/>
      <c r="K37" s="25">
        <f t="shared" si="6"/>
        <v>8743.2213320169049</v>
      </c>
      <c r="L37" s="25">
        <f t="shared" si="7"/>
        <v>4609.3829911783751</v>
      </c>
      <c r="M37" s="25"/>
      <c r="N37" s="25"/>
      <c r="O37" s="33">
        <f t="shared" si="12"/>
        <v>792997.71133201686</v>
      </c>
      <c r="P37" s="25">
        <f t="shared" si="13"/>
        <v>9936842.3129911777</v>
      </c>
      <c r="Q37" s="25"/>
      <c r="R37" s="26"/>
    </row>
    <row r="38" spans="1:18" ht="18" x14ac:dyDescent="0.25">
      <c r="A38" s="242" t="s">
        <v>23</v>
      </c>
      <c r="B38" s="243"/>
      <c r="C38" s="12">
        <f t="shared" si="8"/>
        <v>181.39266798853805</v>
      </c>
      <c r="D38" s="1"/>
      <c r="E38" s="22" t="s">
        <v>39</v>
      </c>
      <c r="F38" s="24">
        <f t="shared" si="9"/>
        <v>-354</v>
      </c>
      <c r="G38" s="33">
        <f t="shared" si="10"/>
        <v>9945.2189536827336</v>
      </c>
      <c r="H38" s="25">
        <f t="shared" ref="H38:H45" si="14">G18*(SIN(RADIANS(F38)))</f>
        <v>1045.2846326765341</v>
      </c>
      <c r="I38" s="25"/>
      <c r="J38" s="26"/>
      <c r="K38" s="25">
        <f t="shared" si="6"/>
        <v>9776.3033131645425</v>
      </c>
      <c r="L38" s="25">
        <f>H38+L78</f>
        <v>1111.3967071284005</v>
      </c>
      <c r="M38" s="25"/>
      <c r="N38" s="25"/>
      <c r="O38" s="33">
        <f t="shared" si="12"/>
        <v>794030.7933131645</v>
      </c>
      <c r="P38" s="25">
        <f>L38+$M$5</f>
        <v>9933344.3267071284</v>
      </c>
      <c r="Q38" s="25"/>
      <c r="R38" s="26"/>
    </row>
    <row r="39" spans="1:18" ht="18" x14ac:dyDescent="0.25">
      <c r="A39" s="242" t="s">
        <v>24</v>
      </c>
      <c r="B39" s="243"/>
      <c r="C39" s="12">
        <f t="shared" si="8"/>
        <v>184.13348419013855</v>
      </c>
      <c r="D39" s="1"/>
      <c r="E39" s="22" t="s">
        <v>40</v>
      </c>
      <c r="F39" s="24">
        <f t="shared" si="9"/>
        <v>-376.5</v>
      </c>
      <c r="G39" s="33">
        <f t="shared" si="10"/>
        <v>9588.1973486819315</v>
      </c>
      <c r="H39" s="25">
        <f t="shared" si="14"/>
        <v>-2840.1534470392226</v>
      </c>
      <c r="I39" s="25"/>
      <c r="J39" s="26"/>
      <c r="K39" s="25">
        <f t="shared" si="6"/>
        <v>9425.5777786243598</v>
      </c>
      <c r="L39" s="25">
        <f t="shared" si="7"/>
        <v>-2753.782066164013</v>
      </c>
      <c r="M39" s="25"/>
      <c r="N39" s="25"/>
      <c r="O39" s="33">
        <f t="shared" si="12"/>
        <v>793680.06777862436</v>
      </c>
      <c r="P39" s="25">
        <f t="shared" si="13"/>
        <v>9929479.1479338352</v>
      </c>
      <c r="Q39" s="25"/>
      <c r="R39" s="26"/>
    </row>
    <row r="40" spans="1:18" ht="18" x14ac:dyDescent="0.25">
      <c r="A40" s="242" t="s">
        <v>25</v>
      </c>
      <c r="B40" s="243"/>
      <c r="C40" s="12">
        <f t="shared" si="8"/>
        <v>184.13348419013855</v>
      </c>
      <c r="D40" s="1"/>
      <c r="E40" s="22" t="s">
        <v>41</v>
      </c>
      <c r="F40" s="24">
        <f t="shared" si="9"/>
        <v>-399</v>
      </c>
      <c r="G40" s="33">
        <f t="shared" si="10"/>
        <v>7771.4596145697087</v>
      </c>
      <c r="H40" s="25">
        <f t="shared" si="14"/>
        <v>-6293.2039104983751</v>
      </c>
      <c r="I40" s="25"/>
      <c r="J40" s="26"/>
      <c r="K40" s="25">
        <f t="shared" si="6"/>
        <v>7787.5914452275811</v>
      </c>
      <c r="L40" s="25">
        <f t="shared" si="7"/>
        <v>-6109.7784377863609</v>
      </c>
      <c r="M40" s="25"/>
      <c r="N40" s="25"/>
      <c r="O40" s="33">
        <f t="shared" si="12"/>
        <v>792042.08144522761</v>
      </c>
      <c r="P40" s="25">
        <f t="shared" si="13"/>
        <v>9926123.1515622139</v>
      </c>
      <c r="Q40" s="25"/>
      <c r="R40" s="26"/>
    </row>
    <row r="41" spans="1:18" ht="18" x14ac:dyDescent="0.25">
      <c r="A41" s="242" t="s">
        <v>26</v>
      </c>
      <c r="B41" s="243"/>
      <c r="C41" s="12">
        <f t="shared" si="8"/>
        <v>181.39266798853805</v>
      </c>
      <c r="D41" s="1"/>
      <c r="E41" s="22" t="s">
        <v>42</v>
      </c>
      <c r="F41" s="24">
        <f t="shared" si="9"/>
        <v>-421.5</v>
      </c>
      <c r="G41" s="33">
        <f t="shared" si="10"/>
        <v>4771.5876025960879</v>
      </c>
      <c r="H41" s="25">
        <f t="shared" si="14"/>
        <v>-8788.1711266196507</v>
      </c>
      <c r="I41" s="25"/>
      <c r="J41" s="26"/>
      <c r="K41" s="25">
        <f t="shared" si="6"/>
        <v>4808.1394030182637</v>
      </c>
      <c r="L41" s="25">
        <f t="shared" si="7"/>
        <v>-8610.4993340190886</v>
      </c>
      <c r="M41" s="25"/>
      <c r="N41" s="25"/>
      <c r="O41" s="33">
        <f t="shared" si="12"/>
        <v>789062.62940301828</v>
      </c>
      <c r="P41" s="25">
        <f t="shared" si="13"/>
        <v>9923622.430665981</v>
      </c>
      <c r="Q41" s="25"/>
      <c r="R41" s="26"/>
    </row>
    <row r="42" spans="1:18" ht="18" x14ac:dyDescent="0.25">
      <c r="A42" s="242" t="s">
        <v>27</v>
      </c>
      <c r="B42" s="243"/>
      <c r="C42" s="12">
        <f t="shared" si="8"/>
        <v>168.31761642799009</v>
      </c>
      <c r="D42" s="1"/>
      <c r="E42" s="22" t="s">
        <v>43</v>
      </c>
      <c r="F42" s="24">
        <f t="shared" si="9"/>
        <v>-444</v>
      </c>
      <c r="G42" s="33">
        <f t="shared" si="10"/>
        <v>1045.2846326765348</v>
      </c>
      <c r="H42" s="25">
        <f t="shared" si="14"/>
        <v>-9945.2189536827336</v>
      </c>
      <c r="I42" s="25"/>
      <c r="J42" s="26"/>
      <c r="K42" s="25">
        <f t="shared" si="6"/>
        <v>1205.8022790141572</v>
      </c>
      <c r="L42" s="25">
        <f t="shared" si="7"/>
        <v>-9995.86384695175</v>
      </c>
      <c r="M42" s="25"/>
      <c r="N42" s="25"/>
      <c r="O42" s="33">
        <f t="shared" si="12"/>
        <v>785460.29227901413</v>
      </c>
      <c r="P42" s="25">
        <f t="shared" si="13"/>
        <v>9922237.0661530476</v>
      </c>
      <c r="Q42" s="25"/>
      <c r="R42" s="26"/>
    </row>
    <row r="43" spans="1:18" ht="18" x14ac:dyDescent="0.25">
      <c r="A43" s="242" t="s">
        <v>28</v>
      </c>
      <c r="B43" s="243"/>
      <c r="C43" s="12">
        <f t="shared" si="8"/>
        <v>179.47793736278564</v>
      </c>
      <c r="D43" s="1"/>
      <c r="E43" s="22" t="s">
        <v>44</v>
      </c>
      <c r="F43" s="24">
        <f t="shared" si="9"/>
        <v>-466.5</v>
      </c>
      <c r="G43" s="33">
        <f t="shared" si="10"/>
        <v>-2840.1534470392216</v>
      </c>
      <c r="H43" s="25">
        <f t="shared" si="14"/>
        <v>-9588.1973486819315</v>
      </c>
      <c r="I43" s="25"/>
      <c r="J43" s="26"/>
      <c r="K43" s="25">
        <f t="shared" si="6"/>
        <v>-2675.1571489553921</v>
      </c>
      <c r="L43" s="25">
        <f t="shared" si="7"/>
        <v>-9658.8270281278419</v>
      </c>
      <c r="M43" s="25"/>
      <c r="N43" s="25"/>
      <c r="O43" s="33">
        <f t="shared" si="12"/>
        <v>781579.3328510446</v>
      </c>
      <c r="P43" s="25">
        <f t="shared" si="13"/>
        <v>9922574.1029718723</v>
      </c>
      <c r="Q43" s="25"/>
      <c r="R43" s="26"/>
    </row>
    <row r="44" spans="1:18" ht="18" x14ac:dyDescent="0.25">
      <c r="A44" s="242" t="s">
        <v>29</v>
      </c>
      <c r="B44" s="243"/>
      <c r="C44" s="12">
        <f t="shared" si="8"/>
        <v>179.47793736278564</v>
      </c>
      <c r="D44" s="1"/>
      <c r="E44" s="22" t="s">
        <v>45</v>
      </c>
      <c r="F44" s="24">
        <f t="shared" si="9"/>
        <v>-489</v>
      </c>
      <c r="G44" s="33">
        <f t="shared" si="10"/>
        <v>-6293.2039104983742</v>
      </c>
      <c r="H44" s="25">
        <f t="shared" si="14"/>
        <v>-7771.4596145697087</v>
      </c>
      <c r="I44" s="25"/>
      <c r="J44" s="26"/>
      <c r="K44" s="25">
        <f t="shared" si="6"/>
        <v>-6323.8323016930981</v>
      </c>
      <c r="L44" s="25">
        <f t="shared" si="7"/>
        <v>-7948.3048340494079</v>
      </c>
      <c r="M44" s="25"/>
      <c r="N44" s="25"/>
      <c r="O44" s="33">
        <f t="shared" si="12"/>
        <v>777930.65769830684</v>
      </c>
      <c r="P44" s="25">
        <f t="shared" si="13"/>
        <v>9924284.6251659505</v>
      </c>
      <c r="Q44" s="25"/>
      <c r="R44" s="26"/>
    </row>
    <row r="45" spans="1:18" ht="18.75" thickBot="1" x14ac:dyDescent="0.3">
      <c r="A45" s="248" t="s">
        <v>30</v>
      </c>
      <c r="B45" s="249"/>
      <c r="C45" s="13">
        <f t="shared" si="8"/>
        <v>168.31761642799009</v>
      </c>
      <c r="D45" s="1"/>
      <c r="E45" s="23" t="s">
        <v>46</v>
      </c>
      <c r="F45" s="27">
        <f t="shared" si="9"/>
        <v>-511.5</v>
      </c>
      <c r="G45" s="34">
        <f t="shared" si="10"/>
        <v>-8788.1711266196562</v>
      </c>
      <c r="H45" s="28">
        <f t="shared" si="14"/>
        <v>-4771.5876025960806</v>
      </c>
      <c r="I45" s="28"/>
      <c r="J45" s="29"/>
      <c r="K45" s="28">
        <f t="shared" si="6"/>
        <v>-8833.1209212224021</v>
      </c>
      <c r="L45" s="28">
        <f t="shared" si="7"/>
        <v>-4933.7922140137925</v>
      </c>
      <c r="M45" s="28"/>
      <c r="N45" s="28"/>
      <c r="O45" s="34">
        <f t="shared" si="12"/>
        <v>775421.36907877761</v>
      </c>
      <c r="P45" s="28">
        <f>L45+$M$5</f>
        <v>9927299.1377859861</v>
      </c>
      <c r="Q45" s="28"/>
      <c r="R45" s="29"/>
    </row>
    <row r="46" spans="1:18" ht="13.5" thickBot="1" x14ac:dyDescent="0.25">
      <c r="A46" s="241"/>
      <c r="B46" s="241"/>
    </row>
    <row r="47" spans="1:18" ht="18" x14ac:dyDescent="0.25">
      <c r="E47" s="275" t="s">
        <v>64</v>
      </c>
      <c r="F47" s="276"/>
      <c r="G47" s="250" t="s">
        <v>50</v>
      </c>
      <c r="H47" s="251"/>
      <c r="I47" s="251"/>
      <c r="J47" s="252"/>
      <c r="K47" s="251" t="s">
        <v>51</v>
      </c>
      <c r="L47" s="251"/>
      <c r="M47" s="251"/>
      <c r="N47" s="251"/>
      <c r="O47" s="250" t="s">
        <v>63</v>
      </c>
      <c r="P47" s="251"/>
      <c r="Q47" s="251"/>
      <c r="R47" s="252"/>
    </row>
    <row r="48" spans="1:18" ht="18.75" thickBot="1" x14ac:dyDescent="0.3">
      <c r="E48" s="277"/>
      <c r="F48" s="278"/>
      <c r="G48" s="269" t="s">
        <v>61</v>
      </c>
      <c r="H48" s="270"/>
      <c r="I48" s="270"/>
      <c r="J48" s="271"/>
      <c r="K48" s="270" t="s">
        <v>61</v>
      </c>
      <c r="L48" s="270"/>
      <c r="M48" s="270"/>
      <c r="N48" s="270"/>
      <c r="O48" s="269" t="s">
        <v>61</v>
      </c>
      <c r="P48" s="270"/>
      <c r="Q48" s="270"/>
      <c r="R48" s="271"/>
    </row>
    <row r="49" spans="5:18" ht="16.5" thickBot="1" x14ac:dyDescent="0.3">
      <c r="E49" s="41"/>
      <c r="F49" s="30" t="s">
        <v>47</v>
      </c>
      <c r="G49" s="30" t="s">
        <v>48</v>
      </c>
      <c r="H49" s="31" t="s">
        <v>49</v>
      </c>
      <c r="I49" s="31"/>
      <c r="J49" s="32"/>
      <c r="K49" s="31" t="s">
        <v>48</v>
      </c>
      <c r="L49" s="31" t="s">
        <v>49</v>
      </c>
      <c r="M49" s="31"/>
      <c r="N49" s="31"/>
      <c r="O49" s="30" t="s">
        <v>48</v>
      </c>
      <c r="P49" s="31" t="s">
        <v>49</v>
      </c>
      <c r="Q49" s="31"/>
      <c r="R49" s="32"/>
    </row>
    <row r="50" spans="5:18" ht="18" x14ac:dyDescent="0.25">
      <c r="E50" s="22" t="s">
        <v>31</v>
      </c>
      <c r="F50" s="24">
        <f>F30</f>
        <v>-174</v>
      </c>
      <c r="G50" s="33">
        <f>(G10-H10)*(COS(RADIANS(F50)))</f>
        <v>-6237.6413277498104</v>
      </c>
      <c r="H50" s="25">
        <f>(G10-H10)*(SIN(RADIANS(F50)))</f>
        <v>-655.6025216147242</v>
      </c>
      <c r="I50" s="25"/>
      <c r="J50" s="26"/>
      <c r="K50" s="42">
        <f>G50+K70</f>
        <v>-6406.5569682680016</v>
      </c>
      <c r="L50" s="43">
        <f>H50+L70</f>
        <v>-589.49044716285789</v>
      </c>
      <c r="M50" s="43"/>
      <c r="N50" s="44"/>
      <c r="O50" s="33">
        <f>K50+$K$5</f>
        <v>777847.93303173198</v>
      </c>
      <c r="P50" s="25">
        <f>L50+$M$5</f>
        <v>9931643.4395528361</v>
      </c>
      <c r="Q50" s="25"/>
      <c r="R50" s="26"/>
    </row>
    <row r="51" spans="5:18" ht="18" x14ac:dyDescent="0.25">
      <c r="E51" s="22" t="s">
        <v>32</v>
      </c>
      <c r="F51" s="24">
        <f t="shared" ref="F51:F65" si="15">F31</f>
        <v>-196.5</v>
      </c>
      <c r="G51" s="33">
        <f t="shared" ref="G51:G65" si="16">(G11-H11)*(COS(RADIANS(F51)))</f>
        <v>-6013.7173770933068</v>
      </c>
      <c r="H51" s="25">
        <f t="shared" ref="H51:H65" si="17">(G11-H11)*(SIN(RADIANS(F51)))</f>
        <v>1781.3442419830035</v>
      </c>
      <c r="I51" s="25"/>
      <c r="J51" s="26"/>
      <c r="K51" s="33">
        <f t="shared" ref="K51:K65" si="18">G51+K71</f>
        <v>-6176.3369471508786</v>
      </c>
      <c r="L51" s="25">
        <f t="shared" ref="L51:L65" si="19">H51+L71</f>
        <v>1867.715622858213</v>
      </c>
      <c r="M51" s="25"/>
      <c r="N51" s="26"/>
      <c r="O51" s="33">
        <f t="shared" ref="O51:O65" si="20">K51+$K$5</f>
        <v>778078.15305284911</v>
      </c>
      <c r="P51" s="25">
        <f t="shared" ref="P51:P65" si="21">L51+$M$5</f>
        <v>9934100.6456228588</v>
      </c>
      <c r="Q51" s="25"/>
      <c r="R51" s="26"/>
    </row>
    <row r="52" spans="5:18" ht="18" x14ac:dyDescent="0.25">
      <c r="E52" s="22" t="s">
        <v>33</v>
      </c>
      <c r="F52" s="24">
        <f t="shared" si="15"/>
        <v>-219</v>
      </c>
      <c r="G52" s="33">
        <f t="shared" si="16"/>
        <v>-4874.2594702581209</v>
      </c>
      <c r="H52" s="25">
        <f t="shared" si="17"/>
        <v>3947.0974926645813</v>
      </c>
      <c r="I52" s="25"/>
      <c r="J52" s="26"/>
      <c r="K52" s="33">
        <f t="shared" si="18"/>
        <v>-4858.1276396002486</v>
      </c>
      <c r="L52" s="25">
        <f t="shared" si="19"/>
        <v>4130.5229653765955</v>
      </c>
      <c r="M52" s="25"/>
      <c r="N52" s="26"/>
      <c r="O52" s="33">
        <f t="shared" si="20"/>
        <v>779396.3623603998</v>
      </c>
      <c r="P52" s="25">
        <f t="shared" si="21"/>
        <v>9936363.4529653769</v>
      </c>
      <c r="Q52" s="25"/>
      <c r="R52" s="26"/>
    </row>
    <row r="53" spans="5:18" ht="18" x14ac:dyDescent="0.25">
      <c r="E53" s="22" t="s">
        <v>34</v>
      </c>
      <c r="F53" s="24">
        <f t="shared" si="15"/>
        <v>-241.5</v>
      </c>
      <c r="G53" s="33">
        <f t="shared" si="16"/>
        <v>-2992.7397443482655</v>
      </c>
      <c r="H53" s="25">
        <f t="shared" si="17"/>
        <v>5511.9409306158459</v>
      </c>
      <c r="I53" s="25"/>
      <c r="J53" s="26"/>
      <c r="K53" s="33">
        <f t="shared" si="18"/>
        <v>-2956.1879439260897</v>
      </c>
      <c r="L53" s="25">
        <f t="shared" si="19"/>
        <v>5689.612723216409</v>
      </c>
      <c r="M53" s="25"/>
      <c r="N53" s="26"/>
      <c r="O53" s="33">
        <f t="shared" si="20"/>
        <v>781298.30205607391</v>
      </c>
      <c r="P53" s="25">
        <f t="shared" si="21"/>
        <v>9937922.5427232161</v>
      </c>
      <c r="Q53" s="25"/>
      <c r="R53" s="26"/>
    </row>
    <row r="54" spans="5:18" ht="18" x14ac:dyDescent="0.25">
      <c r="E54" s="22" t="s">
        <v>35</v>
      </c>
      <c r="F54" s="24">
        <f t="shared" si="15"/>
        <v>-264</v>
      </c>
      <c r="G54" s="33">
        <f t="shared" si="16"/>
        <v>-655.60252161472192</v>
      </c>
      <c r="H54" s="25">
        <f t="shared" si="17"/>
        <v>6237.6413277498104</v>
      </c>
      <c r="I54" s="25"/>
      <c r="J54" s="26"/>
      <c r="K54" s="33">
        <f t="shared" si="18"/>
        <v>-495.08487527709957</v>
      </c>
      <c r="L54" s="25">
        <f t="shared" si="19"/>
        <v>6186.996434480795</v>
      </c>
      <c r="M54" s="25"/>
      <c r="N54" s="26"/>
      <c r="O54" s="33">
        <f t="shared" si="20"/>
        <v>783759.40512472286</v>
      </c>
      <c r="P54" s="25">
        <f t="shared" si="21"/>
        <v>9938419.9264344797</v>
      </c>
      <c r="Q54" s="25"/>
      <c r="R54" s="26"/>
    </row>
    <row r="55" spans="5:18" ht="18" x14ac:dyDescent="0.25">
      <c r="E55" s="22" t="s">
        <v>36</v>
      </c>
      <c r="F55" s="24">
        <f t="shared" si="15"/>
        <v>-286.5</v>
      </c>
      <c r="G55" s="33">
        <f t="shared" si="16"/>
        <v>1781.3442419830008</v>
      </c>
      <c r="H55" s="25">
        <f t="shared" si="17"/>
        <v>6013.7173770933077</v>
      </c>
      <c r="I55" s="25"/>
      <c r="J55" s="26"/>
      <c r="K55" s="33">
        <f t="shared" si="18"/>
        <v>1946.3405400668303</v>
      </c>
      <c r="L55" s="25">
        <f t="shared" si="19"/>
        <v>5943.0876976473974</v>
      </c>
      <c r="M55" s="25"/>
      <c r="N55" s="26"/>
      <c r="O55" s="33">
        <f t="shared" si="20"/>
        <v>786200.83054006682</v>
      </c>
      <c r="P55" s="25">
        <f t="shared" si="21"/>
        <v>9938176.0176976472</v>
      </c>
      <c r="Q55" s="25"/>
      <c r="R55" s="26"/>
    </row>
    <row r="56" spans="5:18" ht="18" x14ac:dyDescent="0.25">
      <c r="E56" s="22" t="s">
        <v>37</v>
      </c>
      <c r="F56" s="24">
        <f t="shared" si="15"/>
        <v>-309</v>
      </c>
      <c r="G56" s="33">
        <f t="shared" si="16"/>
        <v>3947.0974926645808</v>
      </c>
      <c r="H56" s="25">
        <f t="shared" si="17"/>
        <v>4874.2594702581209</v>
      </c>
      <c r="I56" s="25"/>
      <c r="J56" s="26"/>
      <c r="K56" s="33">
        <f t="shared" si="18"/>
        <v>3916.4691014698569</v>
      </c>
      <c r="L56" s="25">
        <f t="shared" si="19"/>
        <v>4697.4142507784218</v>
      </c>
      <c r="M56" s="25"/>
      <c r="N56" s="26"/>
      <c r="O56" s="33">
        <f t="shared" si="20"/>
        <v>788170.95910146984</v>
      </c>
      <c r="P56" s="25">
        <f t="shared" si="21"/>
        <v>9936930.3442507777</v>
      </c>
      <c r="Q56" s="25"/>
      <c r="R56" s="26"/>
    </row>
    <row r="57" spans="5:18" ht="18" x14ac:dyDescent="0.25">
      <c r="E57" s="22" t="s">
        <v>38</v>
      </c>
      <c r="F57" s="24">
        <f t="shared" si="15"/>
        <v>-331.5</v>
      </c>
      <c r="G57" s="33">
        <f t="shared" si="16"/>
        <v>5511.9409306158459</v>
      </c>
      <c r="H57" s="25">
        <f t="shared" si="17"/>
        <v>2992.739744348266</v>
      </c>
      <c r="I57" s="25"/>
      <c r="J57" s="26"/>
      <c r="K57" s="33">
        <f t="shared" si="18"/>
        <v>5466.9911360131009</v>
      </c>
      <c r="L57" s="25">
        <f t="shared" si="19"/>
        <v>2830.5351329305536</v>
      </c>
      <c r="M57" s="25"/>
      <c r="N57" s="26"/>
      <c r="O57" s="33">
        <f t="shared" si="20"/>
        <v>789721.48113601306</v>
      </c>
      <c r="P57" s="25">
        <f t="shared" si="21"/>
        <v>9935063.4651329294</v>
      </c>
      <c r="Q57" s="25"/>
      <c r="R57" s="26"/>
    </row>
    <row r="58" spans="5:18" ht="18" x14ac:dyDescent="0.25">
      <c r="E58" s="22" t="s">
        <v>39</v>
      </c>
      <c r="F58" s="24">
        <f t="shared" si="15"/>
        <v>-354</v>
      </c>
      <c r="G58" s="33">
        <f t="shared" si="16"/>
        <v>6237.6413277498104</v>
      </c>
      <c r="H58" s="25">
        <f t="shared" si="17"/>
        <v>655.60252161472226</v>
      </c>
      <c r="I58" s="25"/>
      <c r="J58" s="26"/>
      <c r="K58" s="33">
        <f t="shared" si="18"/>
        <v>6068.7256872316193</v>
      </c>
      <c r="L58" s="25">
        <f t="shared" si="19"/>
        <v>721.71459606658857</v>
      </c>
      <c r="M58" s="25"/>
      <c r="N58" s="26"/>
      <c r="O58" s="33">
        <f t="shared" si="20"/>
        <v>790323.21568723163</v>
      </c>
      <c r="P58" s="25">
        <f t="shared" si="21"/>
        <v>9932954.6445960663</v>
      </c>
      <c r="Q58" s="25"/>
      <c r="R58" s="26"/>
    </row>
    <row r="59" spans="5:18" ht="18" x14ac:dyDescent="0.25">
      <c r="E59" s="22" t="s">
        <v>40</v>
      </c>
      <c r="F59" s="24">
        <f t="shared" si="15"/>
        <v>-376.5</v>
      </c>
      <c r="G59" s="33">
        <f t="shared" si="16"/>
        <v>6013.7173770933077</v>
      </c>
      <c r="H59" s="25">
        <f t="shared" si="17"/>
        <v>-1781.3442419830003</v>
      </c>
      <c r="I59" s="25"/>
      <c r="J59" s="26"/>
      <c r="K59" s="33">
        <f t="shared" si="18"/>
        <v>5851.097807035736</v>
      </c>
      <c r="L59" s="25">
        <f t="shared" si="19"/>
        <v>-1694.9728611077908</v>
      </c>
      <c r="M59" s="25"/>
      <c r="N59" s="26"/>
      <c r="O59" s="33">
        <f t="shared" si="20"/>
        <v>790105.58780703577</v>
      </c>
      <c r="P59" s="25">
        <f t="shared" si="21"/>
        <v>9930537.9571388923</v>
      </c>
      <c r="Q59" s="25"/>
      <c r="R59" s="26"/>
    </row>
    <row r="60" spans="5:18" ht="18" x14ac:dyDescent="0.25">
      <c r="E60" s="22" t="s">
        <v>41</v>
      </c>
      <c r="F60" s="24">
        <f t="shared" si="15"/>
        <v>-399</v>
      </c>
      <c r="G60" s="33">
        <f t="shared" si="16"/>
        <v>4874.2594702581218</v>
      </c>
      <c r="H60" s="25">
        <f t="shared" si="17"/>
        <v>-3947.0974926645808</v>
      </c>
      <c r="I60" s="25"/>
      <c r="J60" s="26"/>
      <c r="K60" s="33">
        <f t="shared" si="18"/>
        <v>4890.3913009159942</v>
      </c>
      <c r="L60" s="25">
        <f t="shared" si="19"/>
        <v>-3763.6720199525671</v>
      </c>
      <c r="M60" s="25"/>
      <c r="N60" s="26"/>
      <c r="O60" s="33">
        <f t="shared" si="20"/>
        <v>789144.88130091596</v>
      </c>
      <c r="P60" s="25">
        <f t="shared" si="21"/>
        <v>9928469.2579800468</v>
      </c>
      <c r="Q60" s="25"/>
      <c r="R60" s="26"/>
    </row>
    <row r="61" spans="5:18" ht="18" x14ac:dyDescent="0.25">
      <c r="E61" s="22" t="s">
        <v>42</v>
      </c>
      <c r="F61" s="24">
        <f t="shared" si="15"/>
        <v>-421.5</v>
      </c>
      <c r="G61" s="33">
        <f t="shared" si="16"/>
        <v>2992.7397443482664</v>
      </c>
      <c r="H61" s="25">
        <f t="shared" si="17"/>
        <v>-5511.9409306158459</v>
      </c>
      <c r="I61" s="25"/>
      <c r="J61" s="26"/>
      <c r="K61" s="33">
        <f t="shared" si="18"/>
        <v>3029.2915447704422</v>
      </c>
      <c r="L61" s="25">
        <f t="shared" si="19"/>
        <v>-5334.2691380152828</v>
      </c>
      <c r="M61" s="25"/>
      <c r="N61" s="26"/>
      <c r="O61" s="33">
        <f t="shared" si="20"/>
        <v>787283.78154477046</v>
      </c>
      <c r="P61" s="25">
        <f t="shared" si="21"/>
        <v>9926898.6608619839</v>
      </c>
      <c r="Q61" s="25"/>
      <c r="R61" s="26"/>
    </row>
    <row r="62" spans="5:18" ht="18" x14ac:dyDescent="0.25">
      <c r="E62" s="22" t="s">
        <v>43</v>
      </c>
      <c r="F62" s="24">
        <f t="shared" si="15"/>
        <v>-444</v>
      </c>
      <c r="G62" s="33">
        <f t="shared" si="16"/>
        <v>655.6025216147226</v>
      </c>
      <c r="H62" s="25">
        <f t="shared" si="17"/>
        <v>-6237.6413277498104</v>
      </c>
      <c r="I62" s="25"/>
      <c r="J62" s="26"/>
      <c r="K62" s="33">
        <f t="shared" si="18"/>
        <v>816.1201679523449</v>
      </c>
      <c r="L62" s="25">
        <f t="shared" si="19"/>
        <v>-6288.2862210188259</v>
      </c>
      <c r="M62" s="25"/>
      <c r="N62" s="26"/>
      <c r="O62" s="33">
        <f t="shared" si="20"/>
        <v>785070.61016795237</v>
      </c>
      <c r="P62" s="25">
        <f t="shared" si="21"/>
        <v>9925944.6437789816</v>
      </c>
      <c r="Q62" s="25"/>
      <c r="R62" s="26"/>
    </row>
    <row r="63" spans="5:18" ht="18" x14ac:dyDescent="0.25">
      <c r="E63" s="22" t="s">
        <v>44</v>
      </c>
      <c r="F63" s="24">
        <f t="shared" si="15"/>
        <v>-466.5</v>
      </c>
      <c r="G63" s="33">
        <f t="shared" si="16"/>
        <v>-1781.3442419829996</v>
      </c>
      <c r="H63" s="25">
        <f t="shared" si="17"/>
        <v>-6013.7173770933077</v>
      </c>
      <c r="I63" s="25"/>
      <c r="J63" s="26"/>
      <c r="K63" s="33">
        <f t="shared" si="18"/>
        <v>-1616.3479438991699</v>
      </c>
      <c r="L63" s="25">
        <f t="shared" si="19"/>
        <v>-6084.3470565392181</v>
      </c>
      <c r="M63" s="25"/>
      <c r="N63" s="26"/>
      <c r="O63" s="33">
        <f t="shared" si="20"/>
        <v>782638.14205610077</v>
      </c>
      <c r="P63" s="25">
        <f t="shared" si="21"/>
        <v>9926148.58294346</v>
      </c>
      <c r="Q63" s="25"/>
      <c r="R63" s="26"/>
    </row>
    <row r="64" spans="5:18" ht="18" x14ac:dyDescent="0.25">
      <c r="E64" s="22" t="s">
        <v>45</v>
      </c>
      <c r="F64" s="24">
        <f t="shared" si="15"/>
        <v>-489</v>
      </c>
      <c r="G64" s="33">
        <f t="shared" si="16"/>
        <v>-3947.0974926645799</v>
      </c>
      <c r="H64" s="25">
        <f t="shared" si="17"/>
        <v>-4874.2594702581218</v>
      </c>
      <c r="I64" s="25"/>
      <c r="J64" s="26"/>
      <c r="K64" s="33">
        <f t="shared" si="18"/>
        <v>-3977.7258838593038</v>
      </c>
      <c r="L64" s="25">
        <f t="shared" si="19"/>
        <v>-5051.104689737821</v>
      </c>
      <c r="M64" s="25"/>
      <c r="N64" s="26"/>
      <c r="O64" s="33">
        <f t="shared" si="20"/>
        <v>780276.76411614066</v>
      </c>
      <c r="P64" s="25">
        <f t="shared" si="21"/>
        <v>9927181.8253102619</v>
      </c>
      <c r="Q64" s="25"/>
      <c r="R64" s="26"/>
    </row>
    <row r="65" spans="1:18" ht="18.75" thickBot="1" x14ac:dyDescent="0.3">
      <c r="E65" s="23" t="s">
        <v>46</v>
      </c>
      <c r="F65" s="27">
        <f t="shared" si="15"/>
        <v>-511.5</v>
      </c>
      <c r="G65" s="34">
        <f t="shared" si="16"/>
        <v>-5511.9409306158486</v>
      </c>
      <c r="H65" s="28">
        <f t="shared" si="17"/>
        <v>-2992.7397443482619</v>
      </c>
      <c r="I65" s="28"/>
      <c r="J65" s="29"/>
      <c r="K65" s="34">
        <f t="shared" si="18"/>
        <v>-5556.8907252185936</v>
      </c>
      <c r="L65" s="28">
        <f t="shared" si="19"/>
        <v>-3154.9443557659743</v>
      </c>
      <c r="M65" s="28"/>
      <c r="N65" s="29"/>
      <c r="O65" s="34">
        <f t="shared" si="20"/>
        <v>778697.59927478142</v>
      </c>
      <c r="P65" s="28">
        <f t="shared" si="21"/>
        <v>9929077.9856442343</v>
      </c>
      <c r="Q65" s="28"/>
      <c r="R65" s="29"/>
    </row>
    <row r="67" spans="1:18" ht="13.5" thickBot="1" x14ac:dyDescent="0.25"/>
    <row r="68" spans="1:18" ht="16.5" thickBot="1" x14ac:dyDescent="0.3">
      <c r="F68" s="244" t="s">
        <v>52</v>
      </c>
      <c r="G68" s="245"/>
      <c r="H68" s="36" t="s">
        <v>56</v>
      </c>
      <c r="I68" s="35" t="s">
        <v>57</v>
      </c>
      <c r="J68" s="35" t="s">
        <v>58</v>
      </c>
      <c r="K68" s="246" t="s">
        <v>55</v>
      </c>
      <c r="L68" s="247"/>
    </row>
    <row r="69" spans="1:18" ht="16.5" thickBot="1" x14ac:dyDescent="0.3">
      <c r="A69" s="241"/>
      <c r="B69" s="241"/>
      <c r="E69" s="21"/>
      <c r="F69" s="30" t="s">
        <v>53</v>
      </c>
      <c r="G69" s="31" t="s">
        <v>54</v>
      </c>
      <c r="H69" s="31" t="s">
        <v>1</v>
      </c>
      <c r="I69" s="31" t="s">
        <v>1</v>
      </c>
      <c r="J69" s="31" t="s">
        <v>59</v>
      </c>
      <c r="K69" s="30" t="s">
        <v>53</v>
      </c>
      <c r="L69" s="32" t="s">
        <v>54</v>
      </c>
    </row>
    <row r="70" spans="1:18" ht="15.75" x14ac:dyDescent="0.25">
      <c r="E70" s="19" t="s">
        <v>31</v>
      </c>
      <c r="F70" s="14">
        <f>-C10</f>
        <v>-116.9</v>
      </c>
      <c r="G70" s="14">
        <f>B10</f>
        <v>138.69999999999999</v>
      </c>
      <c r="H70" s="15">
        <f>DEGREES(ATAN2((F70),(G70)))</f>
        <v>130.1250684922633</v>
      </c>
      <c r="I70" s="15">
        <f>90-$C$29</f>
        <v>331.5</v>
      </c>
      <c r="J70" s="15">
        <f>-I70+H70</f>
        <v>-201.3749315077367</v>
      </c>
      <c r="K70" s="37">
        <f t="shared" ref="K70:K85" si="22">C30*(COS(RADIANS(J70)))</f>
        <v>-168.91564051819145</v>
      </c>
      <c r="L70" s="38">
        <f t="shared" ref="L70:L85" si="23">C30*(SIN(RADIANS(J70)))</f>
        <v>66.112074451866306</v>
      </c>
    </row>
    <row r="71" spans="1:18" ht="15.75" x14ac:dyDescent="0.25">
      <c r="E71" s="19" t="s">
        <v>32</v>
      </c>
      <c r="F71" s="14">
        <f t="shared" ref="F71:F85" si="24">-C11</f>
        <v>-101.7</v>
      </c>
      <c r="G71" s="14">
        <f t="shared" ref="G71:G85" si="25">B11</f>
        <v>153.5</v>
      </c>
      <c r="H71" s="15">
        <f t="shared" ref="H71:H85" si="26">DEGREES(ATAN2((F71),(G71)))</f>
        <v>123.52609451216622</v>
      </c>
      <c r="I71" s="15">
        <f t="shared" ref="I71:I85" si="27">90-$C$29</f>
        <v>331.5</v>
      </c>
      <c r="J71" s="15">
        <f t="shared" ref="J71:J85" si="28">-I71+H71</f>
        <v>-207.97390548783378</v>
      </c>
      <c r="K71" s="37">
        <f t="shared" si="22"/>
        <v>-162.61957005757179</v>
      </c>
      <c r="L71" s="38">
        <f t="shared" si="23"/>
        <v>86.37138087520951</v>
      </c>
    </row>
    <row r="72" spans="1:18" ht="15.75" x14ac:dyDescent="0.25">
      <c r="E72" s="19" t="s">
        <v>33</v>
      </c>
      <c r="F72" s="14">
        <f t="shared" si="24"/>
        <v>101.7</v>
      </c>
      <c r="G72" s="14">
        <f t="shared" si="25"/>
        <v>153.5</v>
      </c>
      <c r="H72" s="15">
        <f t="shared" si="26"/>
        <v>56.473905487833761</v>
      </c>
      <c r="I72" s="15">
        <f t="shared" si="27"/>
        <v>331.5</v>
      </c>
      <c r="J72" s="15">
        <f t="shared" si="28"/>
        <v>-275.02609451216625</v>
      </c>
      <c r="K72" s="37">
        <f t="shared" si="22"/>
        <v>16.131830657872044</v>
      </c>
      <c r="L72" s="38">
        <f t="shared" si="23"/>
        <v>183.42547271201386</v>
      </c>
    </row>
    <row r="73" spans="1:18" ht="15.75" x14ac:dyDescent="0.25">
      <c r="E73" s="19" t="s">
        <v>34</v>
      </c>
      <c r="F73" s="14">
        <f t="shared" si="24"/>
        <v>116.9</v>
      </c>
      <c r="G73" s="14">
        <f t="shared" si="25"/>
        <v>138.69999999999999</v>
      </c>
      <c r="H73" s="15">
        <f t="shared" si="26"/>
        <v>49.874931507736719</v>
      </c>
      <c r="I73" s="15">
        <f t="shared" si="27"/>
        <v>331.5</v>
      </c>
      <c r="J73" s="15">
        <f t="shared" si="28"/>
        <v>-281.62506849226327</v>
      </c>
      <c r="K73" s="37">
        <f t="shared" si="22"/>
        <v>36.551800422176015</v>
      </c>
      <c r="L73" s="38">
        <f t="shared" si="23"/>
        <v>177.67179260056281</v>
      </c>
    </row>
    <row r="74" spans="1:18" ht="15.75" x14ac:dyDescent="0.25">
      <c r="E74" s="19" t="s">
        <v>35</v>
      </c>
      <c r="F74" s="14">
        <f t="shared" si="24"/>
        <v>116.9</v>
      </c>
      <c r="G74" s="14">
        <f t="shared" si="25"/>
        <v>-121.1</v>
      </c>
      <c r="H74" s="15">
        <f t="shared" si="26"/>
        <v>-46.010997052330396</v>
      </c>
      <c r="I74" s="15">
        <f t="shared" si="27"/>
        <v>331.5</v>
      </c>
      <c r="J74" s="15">
        <f t="shared" si="28"/>
        <v>-377.51099705233037</v>
      </c>
      <c r="K74" s="37">
        <f t="shared" si="22"/>
        <v>160.51764633762235</v>
      </c>
      <c r="L74" s="38">
        <f t="shared" si="23"/>
        <v>-50.644893269015682</v>
      </c>
    </row>
    <row r="75" spans="1:18" ht="15.75" x14ac:dyDescent="0.25">
      <c r="E75" s="19" t="s">
        <v>36</v>
      </c>
      <c r="F75" s="14">
        <f t="shared" si="24"/>
        <v>111.3</v>
      </c>
      <c r="G75" s="14">
        <f t="shared" si="25"/>
        <v>-140.80000000000001</v>
      </c>
      <c r="H75" s="15">
        <f t="shared" si="26"/>
        <v>-51.674230532347671</v>
      </c>
      <c r="I75" s="15">
        <f t="shared" si="27"/>
        <v>331.5</v>
      </c>
      <c r="J75" s="15">
        <f t="shared" si="28"/>
        <v>-383.17423053234768</v>
      </c>
      <c r="K75" s="37">
        <f t="shared" si="22"/>
        <v>164.99629808382963</v>
      </c>
      <c r="L75" s="38">
        <f t="shared" si="23"/>
        <v>-70.629679445910298</v>
      </c>
    </row>
    <row r="76" spans="1:18" ht="15.75" x14ac:dyDescent="0.25">
      <c r="E76" s="19" t="s">
        <v>37</v>
      </c>
      <c r="F76" s="14">
        <f t="shared" si="24"/>
        <v>-111.3</v>
      </c>
      <c r="G76" s="14">
        <f t="shared" si="25"/>
        <v>-140.80000000000001</v>
      </c>
      <c r="H76" s="15">
        <f t="shared" si="26"/>
        <v>-128.32576946765232</v>
      </c>
      <c r="I76" s="15">
        <f t="shared" si="27"/>
        <v>331.5</v>
      </c>
      <c r="J76" s="15">
        <f t="shared" si="28"/>
        <v>-459.82576946765232</v>
      </c>
      <c r="K76" s="37">
        <f t="shared" si="22"/>
        <v>-30.628391194723903</v>
      </c>
      <c r="L76" s="38">
        <f t="shared" si="23"/>
        <v>-176.84521947969915</v>
      </c>
    </row>
    <row r="77" spans="1:18" ht="15.75" x14ac:dyDescent="0.25">
      <c r="E77" s="19" t="s">
        <v>38</v>
      </c>
      <c r="F77" s="14">
        <f t="shared" si="24"/>
        <v>-116.9</v>
      </c>
      <c r="G77" s="14">
        <f t="shared" si="25"/>
        <v>-121.1</v>
      </c>
      <c r="H77" s="15">
        <f t="shared" si="26"/>
        <v>-133.9890029476696</v>
      </c>
      <c r="I77" s="15">
        <f t="shared" si="27"/>
        <v>331.5</v>
      </c>
      <c r="J77" s="15">
        <f t="shared" si="28"/>
        <v>-465.48900294766963</v>
      </c>
      <c r="K77" s="37">
        <f t="shared" si="22"/>
        <v>-44.949794602745129</v>
      </c>
      <c r="L77" s="38">
        <f t="shared" si="23"/>
        <v>-162.20461141771224</v>
      </c>
    </row>
    <row r="78" spans="1:18" ht="15.75" x14ac:dyDescent="0.25">
      <c r="E78" s="19" t="s">
        <v>39</v>
      </c>
      <c r="F78" s="14">
        <f t="shared" si="24"/>
        <v>-116.9</v>
      </c>
      <c r="G78" s="14">
        <f t="shared" si="25"/>
        <v>138.69999999999999</v>
      </c>
      <c r="H78" s="15">
        <f t="shared" si="26"/>
        <v>130.1250684922633</v>
      </c>
      <c r="I78" s="15">
        <f t="shared" si="27"/>
        <v>331.5</v>
      </c>
      <c r="J78" s="15">
        <f t="shared" si="28"/>
        <v>-201.3749315077367</v>
      </c>
      <c r="K78" s="37">
        <f t="shared" si="22"/>
        <v>-168.91564051819145</v>
      </c>
      <c r="L78" s="38">
        <f t="shared" si="23"/>
        <v>66.112074451866306</v>
      </c>
    </row>
    <row r="79" spans="1:18" ht="15.75" x14ac:dyDescent="0.25">
      <c r="E79" s="19" t="s">
        <v>40</v>
      </c>
      <c r="F79" s="14">
        <f t="shared" si="24"/>
        <v>-101.7</v>
      </c>
      <c r="G79" s="14">
        <f t="shared" si="25"/>
        <v>153.5</v>
      </c>
      <c r="H79" s="15">
        <f t="shared" si="26"/>
        <v>123.52609451216622</v>
      </c>
      <c r="I79" s="15">
        <f t="shared" si="27"/>
        <v>331.5</v>
      </c>
      <c r="J79" s="15">
        <f t="shared" si="28"/>
        <v>-207.97390548783378</v>
      </c>
      <c r="K79" s="37">
        <f t="shared" si="22"/>
        <v>-162.61957005757179</v>
      </c>
      <c r="L79" s="38">
        <f t="shared" si="23"/>
        <v>86.37138087520951</v>
      </c>
    </row>
    <row r="80" spans="1:18" ht="15.75" x14ac:dyDescent="0.25">
      <c r="E80" s="19" t="s">
        <v>41</v>
      </c>
      <c r="F80" s="14">
        <f t="shared" si="24"/>
        <v>101.7</v>
      </c>
      <c r="G80" s="14">
        <f t="shared" si="25"/>
        <v>153.5</v>
      </c>
      <c r="H80" s="15">
        <f t="shared" si="26"/>
        <v>56.473905487833761</v>
      </c>
      <c r="I80" s="15">
        <f t="shared" si="27"/>
        <v>331.5</v>
      </c>
      <c r="J80" s="15">
        <f t="shared" si="28"/>
        <v>-275.02609451216625</v>
      </c>
      <c r="K80" s="37">
        <f t="shared" si="22"/>
        <v>16.131830657872044</v>
      </c>
      <c r="L80" s="38">
        <f t="shared" si="23"/>
        <v>183.42547271201386</v>
      </c>
    </row>
    <row r="81" spans="5:12" ht="15.75" x14ac:dyDescent="0.25">
      <c r="E81" s="19" t="s">
        <v>42</v>
      </c>
      <c r="F81" s="14">
        <f t="shared" si="24"/>
        <v>116.9</v>
      </c>
      <c r="G81" s="14">
        <f t="shared" si="25"/>
        <v>138.69999999999999</v>
      </c>
      <c r="H81" s="15">
        <f t="shared" si="26"/>
        <v>49.874931507736719</v>
      </c>
      <c r="I81" s="15">
        <f t="shared" si="27"/>
        <v>331.5</v>
      </c>
      <c r="J81" s="15">
        <f t="shared" si="28"/>
        <v>-281.62506849226327</v>
      </c>
      <c r="K81" s="37">
        <f t="shared" si="22"/>
        <v>36.551800422176015</v>
      </c>
      <c r="L81" s="38">
        <f t="shared" si="23"/>
        <v>177.67179260056281</v>
      </c>
    </row>
    <row r="82" spans="5:12" ht="15.75" x14ac:dyDescent="0.25">
      <c r="E82" s="19" t="s">
        <v>43</v>
      </c>
      <c r="F82" s="14">
        <f t="shared" si="24"/>
        <v>116.9</v>
      </c>
      <c r="G82" s="14">
        <f t="shared" si="25"/>
        <v>-121.1</v>
      </c>
      <c r="H82" s="15">
        <f t="shared" si="26"/>
        <v>-46.010997052330396</v>
      </c>
      <c r="I82" s="15">
        <f t="shared" si="27"/>
        <v>331.5</v>
      </c>
      <c r="J82" s="15">
        <f t="shared" si="28"/>
        <v>-377.51099705233037</v>
      </c>
      <c r="K82" s="37">
        <f t="shared" si="22"/>
        <v>160.51764633762235</v>
      </c>
      <c r="L82" s="38">
        <f t="shared" si="23"/>
        <v>-50.644893269015682</v>
      </c>
    </row>
    <row r="83" spans="5:12" ht="15.75" x14ac:dyDescent="0.25">
      <c r="E83" s="19" t="s">
        <v>44</v>
      </c>
      <c r="F83" s="14">
        <f t="shared" si="24"/>
        <v>111.3</v>
      </c>
      <c r="G83" s="14">
        <f t="shared" si="25"/>
        <v>-140.80000000000001</v>
      </c>
      <c r="H83" s="15">
        <f t="shared" si="26"/>
        <v>-51.674230532347671</v>
      </c>
      <c r="I83" s="15">
        <f t="shared" si="27"/>
        <v>331.5</v>
      </c>
      <c r="J83" s="15">
        <f t="shared" si="28"/>
        <v>-383.17423053234768</v>
      </c>
      <c r="K83" s="37">
        <f t="shared" si="22"/>
        <v>164.99629808382963</v>
      </c>
      <c r="L83" s="38">
        <f t="shared" si="23"/>
        <v>-70.629679445910298</v>
      </c>
    </row>
    <row r="84" spans="5:12" ht="15.75" x14ac:dyDescent="0.25">
      <c r="E84" s="19" t="s">
        <v>45</v>
      </c>
      <c r="F84" s="14">
        <f t="shared" si="24"/>
        <v>-111.3</v>
      </c>
      <c r="G84" s="14">
        <f t="shared" si="25"/>
        <v>-140.80000000000001</v>
      </c>
      <c r="H84" s="15">
        <f t="shared" si="26"/>
        <v>-128.32576946765232</v>
      </c>
      <c r="I84" s="15">
        <f t="shared" si="27"/>
        <v>331.5</v>
      </c>
      <c r="J84" s="15">
        <f t="shared" si="28"/>
        <v>-459.82576946765232</v>
      </c>
      <c r="K84" s="37">
        <f t="shared" si="22"/>
        <v>-30.628391194723903</v>
      </c>
      <c r="L84" s="38">
        <f t="shared" si="23"/>
        <v>-176.84521947969915</v>
      </c>
    </row>
    <row r="85" spans="5:12" ht="16.5" thickBot="1" x14ac:dyDescent="0.3">
      <c r="E85" s="20" t="s">
        <v>46</v>
      </c>
      <c r="F85" s="14">
        <f t="shared" si="24"/>
        <v>-116.9</v>
      </c>
      <c r="G85" s="14">
        <f t="shared" si="25"/>
        <v>-121.1</v>
      </c>
      <c r="H85" s="15">
        <f t="shared" si="26"/>
        <v>-133.9890029476696</v>
      </c>
      <c r="I85" s="15">
        <f t="shared" si="27"/>
        <v>331.5</v>
      </c>
      <c r="J85" s="15">
        <f t="shared" si="28"/>
        <v>-465.48900294766963</v>
      </c>
      <c r="K85" s="39">
        <f t="shared" si="22"/>
        <v>-44.949794602745129</v>
      </c>
      <c r="L85" s="40">
        <f t="shared" si="23"/>
        <v>-162.20461141771224</v>
      </c>
    </row>
  </sheetData>
  <mergeCells count="105">
    <mergeCell ref="AE14:AF14"/>
    <mergeCell ref="AI9:AJ9"/>
    <mergeCell ref="AG14:AH14"/>
    <mergeCell ref="Y19:Z19"/>
    <mergeCell ref="AA19:AB19"/>
    <mergeCell ref="AC19:AD19"/>
    <mergeCell ref="AE19:AF19"/>
    <mergeCell ref="AG19:AH19"/>
    <mergeCell ref="Y14:Z14"/>
    <mergeCell ref="AA14:AB14"/>
    <mergeCell ref="AC14:AD14"/>
    <mergeCell ref="A1:D2"/>
    <mergeCell ref="E1:F2"/>
    <mergeCell ref="G1:J2"/>
    <mergeCell ref="A3:B4"/>
    <mergeCell ref="Y8:AJ8"/>
    <mergeCell ref="Y9:Z9"/>
    <mergeCell ref="AA9:AB9"/>
    <mergeCell ref="AC9:AD9"/>
    <mergeCell ref="AE9:AF9"/>
    <mergeCell ref="AG9:AH9"/>
    <mergeCell ref="A5:B5"/>
    <mergeCell ref="C3:G4"/>
    <mergeCell ref="C5:G5"/>
    <mergeCell ref="H3:J4"/>
    <mergeCell ref="H5:J5"/>
    <mergeCell ref="A8:C8"/>
    <mergeCell ref="G8:H8"/>
    <mergeCell ref="I8:J8"/>
    <mergeCell ref="E7:J7"/>
    <mergeCell ref="A6:J6"/>
    <mergeCell ref="A29:B29"/>
    <mergeCell ref="A30:B30"/>
    <mergeCell ref="Q48:R48"/>
    <mergeCell ref="E47:F48"/>
    <mergeCell ref="E27:F28"/>
    <mergeCell ref="N14:O14"/>
    <mergeCell ref="N19:O19"/>
    <mergeCell ref="P9:Q9"/>
    <mergeCell ref="A7:C7"/>
    <mergeCell ref="O47:R47"/>
    <mergeCell ref="I48:J48"/>
    <mergeCell ref="K48:L48"/>
    <mergeCell ref="M48:N48"/>
    <mergeCell ref="O48:P48"/>
    <mergeCell ref="M28:N28"/>
    <mergeCell ref="G47:J47"/>
    <mergeCell ref="K47:N47"/>
    <mergeCell ref="G48:H48"/>
    <mergeCell ref="A37:B37"/>
    <mergeCell ref="A38:B38"/>
    <mergeCell ref="O27:R27"/>
    <mergeCell ref="O28:P28"/>
    <mergeCell ref="Q28:R28"/>
    <mergeCell ref="A33:B33"/>
    <mergeCell ref="A34:B34"/>
    <mergeCell ref="A35:B35"/>
    <mergeCell ref="A36:B36"/>
    <mergeCell ref="G27:J27"/>
    <mergeCell ref="K27:N27"/>
    <mergeCell ref="K1:N2"/>
    <mergeCell ref="K3:L4"/>
    <mergeCell ref="M3:N4"/>
    <mergeCell ref="K5:L5"/>
    <mergeCell ref="M5:N5"/>
    <mergeCell ref="L9:M9"/>
    <mergeCell ref="L14:M14"/>
    <mergeCell ref="L19:M19"/>
    <mergeCell ref="L8:W8"/>
    <mergeCell ref="A28:B28"/>
    <mergeCell ref="G28:H28"/>
    <mergeCell ref="I28:J28"/>
    <mergeCell ref="K28:L28"/>
    <mergeCell ref="A31:B31"/>
    <mergeCell ref="A32:B32"/>
    <mergeCell ref="T14:U14"/>
    <mergeCell ref="T19:U19"/>
    <mergeCell ref="V9:W9"/>
    <mergeCell ref="P14:Q14"/>
    <mergeCell ref="A69:B69"/>
    <mergeCell ref="A39:B39"/>
    <mergeCell ref="A40:B40"/>
    <mergeCell ref="A41:B41"/>
    <mergeCell ref="A42:B42"/>
    <mergeCell ref="A43:B43"/>
    <mergeCell ref="A44:B44"/>
    <mergeCell ref="F68:G68"/>
    <mergeCell ref="K68:L68"/>
    <mergeCell ref="A45:B45"/>
    <mergeCell ref="A46:B46"/>
    <mergeCell ref="P19:Q19"/>
    <mergeCell ref="R9:S9"/>
    <mergeCell ref="R14:S14"/>
    <mergeCell ref="R19:S19"/>
    <mergeCell ref="T9:U9"/>
    <mergeCell ref="N9:O9"/>
    <mergeCell ref="W1:W2"/>
    <mergeCell ref="W3:W5"/>
    <mergeCell ref="Q3:U4"/>
    <mergeCell ref="Q5:U5"/>
    <mergeCell ref="Q1:U2"/>
    <mergeCell ref="V1:V2"/>
    <mergeCell ref="V3:V5"/>
    <mergeCell ref="O1:P2"/>
    <mergeCell ref="O3:P5"/>
  </mergeCells>
  <phoneticPr fontId="0" type="noConversion"/>
  <pageMargins left="0.75" right="0.75" top="1" bottom="1" header="0.5" footer="0.5"/>
  <pageSetup scale="9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W45"/>
  <sheetViews>
    <sheetView zoomScale="75" workbookViewId="0">
      <selection activeCell="U8" sqref="U8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2" width="11.140625" bestFit="1" customWidth="1"/>
    <col min="23" max="23" width="10.28515625" bestFit="1" customWidth="1"/>
    <col min="24" max="24" width="11.140625" bestFit="1" customWidth="1"/>
    <col min="25" max="25" width="12.140625" customWidth="1"/>
  </cols>
  <sheetData>
    <row r="1" spans="1:23" ht="26.25" x14ac:dyDescent="0.4">
      <c r="A1" s="329" t="str">
        <f>'User Input'!B3</f>
        <v>Noble Homer Ferrington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1" t="str">
        <f>'User Input'!B4</f>
        <v>East Breaks EB578</v>
      </c>
      <c r="M1" s="332"/>
      <c r="N1" s="332"/>
      <c r="O1" s="332"/>
      <c r="P1" s="332"/>
      <c r="Q1" s="332"/>
      <c r="R1" s="333"/>
    </row>
    <row r="2" spans="1:23" ht="15" customHeight="1" x14ac:dyDescent="0.2">
      <c r="A2" s="334" t="s">
        <v>209</v>
      </c>
      <c r="B2" s="335"/>
      <c r="C2" s="335"/>
      <c r="D2" s="335"/>
      <c r="E2" s="335"/>
      <c r="F2" s="335"/>
      <c r="G2" s="335"/>
      <c r="H2" s="335"/>
      <c r="I2" s="335"/>
      <c r="J2" s="335"/>
      <c r="K2" s="336"/>
      <c r="L2" s="354" t="str">
        <f>"Prepared for " &amp; 'User Input'!B2</f>
        <v>Prepared for Noble Drilling Services</v>
      </c>
      <c r="M2" s="355"/>
      <c r="N2" s="356"/>
      <c r="O2" s="313" t="s">
        <v>210</v>
      </c>
      <c r="P2" s="314"/>
      <c r="Q2" s="314" t="s">
        <v>211</v>
      </c>
      <c r="R2" s="315"/>
    </row>
    <row r="3" spans="1:23" ht="25.5" customHeight="1" thickBot="1" x14ac:dyDescent="0.25">
      <c r="A3" s="337"/>
      <c r="B3" s="338"/>
      <c r="C3" s="338"/>
      <c r="D3" s="338"/>
      <c r="E3" s="338"/>
      <c r="F3" s="338"/>
      <c r="G3" s="338"/>
      <c r="H3" s="338"/>
      <c r="I3" s="338"/>
      <c r="J3" s="338"/>
      <c r="K3" s="339"/>
      <c r="L3" s="340" t="s">
        <v>202</v>
      </c>
      <c r="M3" s="341"/>
      <c r="N3" s="341"/>
      <c r="O3" s="316" t="str">
        <f>IF(ABS('User Input'!B13-'User Input'!C13)&gt;5,ROUND('User Input'!B13,0)&amp;"-"&amp;ROUND('User Input'!C13,0),ROUND(('User Input'!B13+'User Input'!C13)/2,0))</f>
        <v>1671-0</v>
      </c>
      <c r="P3" s="317"/>
      <c r="Q3" s="317" t="str">
        <f>IF('User Input'!B14&lt;&gt;'User Input'!C14,'User Input'!B14&amp;"-"&amp;'User Input'!C14,'User Input'!B14)</f>
        <v>4000-</v>
      </c>
      <c r="R3" s="318"/>
    </row>
    <row r="4" spans="1:23" ht="12.75" customHeight="1" x14ac:dyDescent="0.2">
      <c r="A4" s="357" t="str">
        <f>'User Input'!B15&amp;" Degree Vessel Heading"</f>
        <v>331.5 Degree Vessel Heading</v>
      </c>
      <c r="B4" s="358"/>
      <c r="C4" s="358"/>
      <c r="D4" s="358"/>
      <c r="E4" s="358"/>
      <c r="F4" s="358"/>
      <c r="G4" s="358"/>
      <c r="H4" s="358"/>
      <c r="I4" s="358"/>
      <c r="J4" s="358"/>
      <c r="K4" s="359"/>
      <c r="L4" s="365" t="s">
        <v>87</v>
      </c>
      <c r="M4" s="366"/>
      <c r="N4" s="366"/>
      <c r="O4" s="366"/>
      <c r="P4" s="327">
        <f>IF('User Input'!C20="",'User Input'!B20,'User Input'!B20 &amp; " - " &amp;  'User Input'!C20)</f>
        <v>200</v>
      </c>
      <c r="Q4" s="327"/>
      <c r="R4" s="369" t="s">
        <v>203</v>
      </c>
    </row>
    <row r="5" spans="1:23" ht="12.75" customHeight="1" x14ac:dyDescent="0.2">
      <c r="A5" s="360"/>
      <c r="B5" s="361"/>
      <c r="C5" s="361"/>
      <c r="D5" s="361"/>
      <c r="E5" s="361"/>
      <c r="F5" s="361"/>
      <c r="G5" s="361"/>
      <c r="H5" s="361"/>
      <c r="I5" s="361"/>
      <c r="J5" s="361"/>
      <c r="K5" s="362"/>
      <c r="L5" s="367"/>
      <c r="M5" s="368"/>
      <c r="N5" s="368"/>
      <c r="O5" s="368"/>
      <c r="P5" s="328"/>
      <c r="Q5" s="328"/>
      <c r="R5" s="370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46" t="s">
        <v>139</v>
      </c>
      <c r="M6" s="347"/>
      <c r="N6" s="347"/>
      <c r="O6" s="350" t="s">
        <v>89</v>
      </c>
      <c r="P6" s="352">
        <f>calculations!K5</f>
        <v>784254.49</v>
      </c>
      <c r="Q6" s="350" t="s">
        <v>90</v>
      </c>
      <c r="R6" s="344">
        <f>calculations!M5</f>
        <v>9932232.9299999997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48"/>
      <c r="M7" s="349"/>
      <c r="N7" s="349"/>
      <c r="O7" s="351"/>
      <c r="P7" s="353"/>
      <c r="Q7" s="351"/>
      <c r="R7" s="345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84" t="s">
        <v>136</v>
      </c>
      <c r="M8" s="385"/>
      <c r="N8" s="385"/>
      <c r="O8" s="385"/>
      <c r="P8" s="385"/>
      <c r="Q8" s="385"/>
      <c r="R8" s="386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23" t="s">
        <v>84</v>
      </c>
      <c r="P9" s="324"/>
      <c r="Q9" s="323" t="s">
        <v>65</v>
      </c>
      <c r="R9" s="378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79" t="s">
        <v>85</v>
      </c>
      <c r="P10" s="381"/>
      <c r="Q10" s="379" t="s">
        <v>85</v>
      </c>
      <c r="R10" s="380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86</v>
      </c>
      <c r="N12" s="57" t="s">
        <v>142</v>
      </c>
      <c r="O12" s="57" t="s">
        <v>86</v>
      </c>
      <c r="P12" s="57" t="s">
        <v>86</v>
      </c>
      <c r="Q12" s="57" t="s">
        <v>86</v>
      </c>
      <c r="R12" s="66" t="s">
        <v>86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-10114.134594200877</v>
      </c>
      <c r="U13" s="118">
        <f>R13-R$6</f>
        <v>-979.17255822382867</v>
      </c>
      <c r="V13" s="190">
        <f>T13*COS(RADIANS(W$9))+U13*SIN(RADIANS(W$9))</f>
        <v>3965.5343236516132</v>
      </c>
      <c r="W13" s="190">
        <f>-T13*SIN(RADIANS(W$9))+U13*COS(RADIANS(W$9))</f>
        <v>9355.6953251124269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-9750.8169187394669</v>
      </c>
      <c r="U14" s="118">
        <f t="shared" ref="U14:U20" si="1">R14-R$6</f>
        <v>2926.5248279143125</v>
      </c>
      <c r="V14" s="190">
        <f t="shared" ref="V14:V20" si="2">T14*COS(RADIANS(W$9))+U14*SIN(RADIANS(W$9))</f>
        <v>7224.5678118653504</v>
      </c>
      <c r="W14" s="190">
        <f t="shared" ref="W14:W20" si="3">-T14*SIN(RADIANS(W$9))+U14*COS(RADIANS(W$9))</f>
        <v>7172.7678118655022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-7755.3277839118382</v>
      </c>
      <c r="U15" s="118">
        <f t="shared" si="1"/>
        <v>6476.6293832100928</v>
      </c>
      <c r="V15" s="190">
        <f t="shared" si="2"/>
        <v>9392.2953251126091</v>
      </c>
      <c r="W15" s="190">
        <f t="shared" si="3"/>
        <v>3725.1343236510402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-4735.0358021738939</v>
      </c>
      <c r="U16" s="118">
        <f t="shared" si="1"/>
        <v>8965.8429192192852</v>
      </c>
      <c r="V16" s="190">
        <f t="shared" si="2"/>
        <v>10138.699999999175</v>
      </c>
      <c r="W16" s="190">
        <f t="shared" si="3"/>
        <v>-116.89999999956854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-884.76698633888736</v>
      </c>
      <c r="U17" s="118">
        <f t="shared" si="1"/>
        <v>9894.5740604139864</v>
      </c>
      <c r="V17" s="190">
        <f t="shared" si="2"/>
        <v>9117.6953251130926</v>
      </c>
      <c r="W17" s="190">
        <f t="shared" si="3"/>
        <v>-3943.7343236510487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3005.1497451229952</v>
      </c>
      <c r="U18" s="118">
        <f t="shared" si="1"/>
        <v>9517.5676692351699</v>
      </c>
      <c r="V18" s="190">
        <f t="shared" si="2"/>
        <v>6930.2678118647573</v>
      </c>
      <c r="W18" s="190">
        <f t="shared" si="3"/>
        <v>-7182.3678118650168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6262.5755193036748</v>
      </c>
      <c r="U19" s="118">
        <f t="shared" si="1"/>
        <v>7594.6143950894475</v>
      </c>
      <c r="V19" s="190">
        <f t="shared" si="2"/>
        <v>3686.0343236503913</v>
      </c>
      <c r="W19" s="190">
        <f t="shared" si="3"/>
        <v>-9127.4953251126208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8743.2213320168667</v>
      </c>
      <c r="U20" s="118">
        <f t="shared" si="1"/>
        <v>4609.3829911779612</v>
      </c>
      <c r="V20" s="190">
        <f t="shared" si="2"/>
        <v>-121.10000000034142</v>
      </c>
      <c r="W20" s="190">
        <f t="shared" si="3"/>
        <v>-9883.0999999997675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1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9776.3033131645061</v>
      </c>
      <c r="U21" s="118">
        <f t="shared" ref="U21:U28" si="5">R21-R$6</f>
        <v>1111.3967071287334</v>
      </c>
      <c r="V21" s="190">
        <f t="shared" ref="V21:V28" si="6">T21*COS(RADIANS(W$9))+U21*SIN(RADIANS(W$9))</f>
        <v>-3688.1343236505886</v>
      </c>
      <c r="W21" s="190">
        <f t="shared" ref="W21:W28" si="7">-T21*SIN(RADIANS(W$9))+U21*COS(RADIANS(W$9))</f>
        <v>-9121.8953251129951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17">
        <v>10000</v>
      </c>
      <c r="N22" s="111">
        <v>106.5</v>
      </c>
      <c r="O22" s="59">
        <v>790105.58780703577</v>
      </c>
      <c r="P22" s="59">
        <v>9930537.9571388923</v>
      </c>
      <c r="Q22" s="59">
        <v>793680.06777862436</v>
      </c>
      <c r="R22" s="68">
        <v>9929479.1479338352</v>
      </c>
      <c r="T22" s="118">
        <f t="shared" si="4"/>
        <v>9425.5777786243707</v>
      </c>
      <c r="U22" s="118">
        <f t="shared" si="5"/>
        <v>-2753.7820661645383</v>
      </c>
      <c r="V22" s="190">
        <f t="shared" si="6"/>
        <v>-6917.5678118659398</v>
      </c>
      <c r="W22" s="190">
        <f t="shared" si="7"/>
        <v>-6969.3678118652369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17">
        <v>10000</v>
      </c>
      <c r="N23" s="111">
        <v>129</v>
      </c>
      <c r="O23" s="59">
        <v>789144.88130091596</v>
      </c>
      <c r="P23" s="59">
        <v>9928469.2579800468</v>
      </c>
      <c r="Q23" s="59">
        <v>792042.08144522761</v>
      </c>
      <c r="R23" s="68">
        <v>9926123.1515622139</v>
      </c>
      <c r="T23" s="118">
        <f t="shared" si="4"/>
        <v>7787.5914452276193</v>
      </c>
      <c r="U23" s="118">
        <f t="shared" si="5"/>
        <v>-6109.7784377858043</v>
      </c>
      <c r="V23" s="190">
        <f t="shared" si="6"/>
        <v>-9085.2953251123981</v>
      </c>
      <c r="W23" s="190">
        <f t="shared" si="7"/>
        <v>-3928.5343236511972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17">
        <v>10000</v>
      </c>
      <c r="N24" s="111">
        <v>151.5</v>
      </c>
      <c r="O24" s="59">
        <v>787283.78154477046</v>
      </c>
      <c r="P24" s="59">
        <v>9926898.6608619839</v>
      </c>
      <c r="Q24" s="59">
        <v>789062.62940301828</v>
      </c>
      <c r="R24" s="68">
        <v>9923622.430665981</v>
      </c>
      <c r="T24" s="118">
        <f t="shared" si="4"/>
        <v>4808.1394030182855</v>
      </c>
      <c r="U24" s="118">
        <f t="shared" si="5"/>
        <v>-8610.4993340186775</v>
      </c>
      <c r="V24" s="190">
        <f t="shared" si="6"/>
        <v>-9861.29999999965</v>
      </c>
      <c r="W24" s="190">
        <f t="shared" si="7"/>
        <v>-116.90000000021973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17">
        <v>10000</v>
      </c>
      <c r="N25" s="111">
        <v>174</v>
      </c>
      <c r="O25" s="59">
        <v>785070.61016795237</v>
      </c>
      <c r="P25" s="59">
        <v>9925944.6437789816</v>
      </c>
      <c r="Q25" s="59">
        <v>785460.29227901413</v>
      </c>
      <c r="R25" s="68">
        <v>9922237.0661530476</v>
      </c>
      <c r="T25" s="118">
        <f t="shared" si="4"/>
        <v>1205.8022790141404</v>
      </c>
      <c r="U25" s="118">
        <f t="shared" si="5"/>
        <v>-9995.8638469520956</v>
      </c>
      <c r="V25" s="190">
        <f t="shared" si="6"/>
        <v>-9359.8953251131643</v>
      </c>
      <c r="W25" s="190">
        <f t="shared" si="7"/>
        <v>3709.9343236510776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17">
        <v>10000</v>
      </c>
      <c r="N26" s="111">
        <v>196.5</v>
      </c>
      <c r="O26" s="59">
        <v>782638.14205610077</v>
      </c>
      <c r="P26" s="59">
        <v>9926148.58294346</v>
      </c>
      <c r="Q26" s="59">
        <v>781579.3328510446</v>
      </c>
      <c r="R26" s="68">
        <v>9922574.1029718723</v>
      </c>
      <c r="T26" s="118">
        <f t="shared" si="4"/>
        <v>-2675.1571489553899</v>
      </c>
      <c r="U26" s="118">
        <f t="shared" si="5"/>
        <v>-9658.8270281273872</v>
      </c>
      <c r="V26" s="190">
        <f t="shared" si="6"/>
        <v>-7211.8678118650805</v>
      </c>
      <c r="W26" s="190">
        <f t="shared" si="7"/>
        <v>6959.767811865253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17">
        <v>10000</v>
      </c>
      <c r="N27" s="111">
        <v>219</v>
      </c>
      <c r="O27" s="59">
        <v>780276.76411614066</v>
      </c>
      <c r="P27" s="59">
        <v>9927181.8253102619</v>
      </c>
      <c r="Q27" s="59">
        <v>777930.65769830684</v>
      </c>
      <c r="R27" s="68">
        <v>9924284.6251659505</v>
      </c>
      <c r="T27" s="118">
        <f t="shared" si="4"/>
        <v>-6323.8323016931536</v>
      </c>
      <c r="U27" s="118">
        <f t="shared" si="5"/>
        <v>-7948.3048340491951</v>
      </c>
      <c r="V27" s="190">
        <f t="shared" si="6"/>
        <v>-3967.6343236506846</v>
      </c>
      <c r="W27" s="190">
        <f t="shared" si="7"/>
        <v>9350.0953251128158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-8833.1209212223766</v>
      </c>
      <c r="U28" s="118">
        <f t="shared" si="5"/>
        <v>-4933.7922140136361</v>
      </c>
      <c r="V28" s="190">
        <f t="shared" si="6"/>
        <v>-121.0999999998694</v>
      </c>
      <c r="W28" s="190">
        <f t="shared" si="7"/>
        <v>10116.899999999903</v>
      </c>
    </row>
    <row r="29" spans="1:23" x14ac:dyDescent="0.2">
      <c r="A29" s="363" t="s">
        <v>109</v>
      </c>
      <c r="B29" s="364"/>
      <c r="C29" s="364"/>
      <c r="D29" s="371" t="s">
        <v>100</v>
      </c>
      <c r="E29" s="371"/>
      <c r="F29" s="371"/>
      <c r="G29" s="78" t="s">
        <v>102</v>
      </c>
      <c r="H29" s="90" t="s">
        <v>104</v>
      </c>
      <c r="I29" s="77"/>
      <c r="J29" s="77"/>
      <c r="K29" s="77"/>
      <c r="L29" s="372" t="s">
        <v>137</v>
      </c>
      <c r="M29" s="373"/>
      <c r="N29" s="373"/>
      <c r="O29" s="373"/>
      <c r="P29" s="373"/>
      <c r="Q29" s="373"/>
      <c r="R29" s="374"/>
    </row>
    <row r="30" spans="1:23" ht="13.5" thickBot="1" x14ac:dyDescent="0.25">
      <c r="A30" s="342" t="s">
        <v>108</v>
      </c>
      <c r="B30" s="343"/>
      <c r="C30" s="343"/>
      <c r="D30" s="371" t="s">
        <v>101</v>
      </c>
      <c r="E30" s="371"/>
      <c r="F30" s="371"/>
      <c r="G30" s="78" t="s">
        <v>103</v>
      </c>
      <c r="H30" s="90" t="s">
        <v>105</v>
      </c>
      <c r="I30" s="77"/>
      <c r="J30" s="77"/>
      <c r="K30" s="77"/>
      <c r="L30" s="375"/>
      <c r="M30" s="376"/>
      <c r="N30" s="376"/>
      <c r="O30" s="376"/>
      <c r="P30" s="376"/>
      <c r="Q30" s="376"/>
      <c r="R30" s="377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82" t="s">
        <v>111</v>
      </c>
      <c r="M32" s="383"/>
      <c r="N32" s="383"/>
      <c r="O32" s="383"/>
      <c r="P32" s="115">
        <f>'User Input'!B23</f>
        <v>10000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82" t="s">
        <v>97</v>
      </c>
      <c r="M33" s="383"/>
      <c r="N33" s="383"/>
      <c r="O33" s="383"/>
      <c r="P33" s="115">
        <f>'User Input'!B24</f>
        <v>3728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82" t="s">
        <v>98</v>
      </c>
      <c r="M34" s="383"/>
      <c r="N34" s="383"/>
      <c r="O34" s="383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82" t="s">
        <v>99</v>
      </c>
      <c r="M35" s="383"/>
      <c r="N35" s="383"/>
      <c r="O35" s="383"/>
      <c r="P35" s="79">
        <f>'User Input'!B26</f>
        <v>0</v>
      </c>
      <c r="Q35" s="325" t="s">
        <v>215</v>
      </c>
      <c r="R35" s="326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325" t="s">
        <v>216</v>
      </c>
      <c r="R36" s="326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19" t="str">
        <f>ROUND('User Input'!B7,0) &amp;"' WD"</f>
        <v>3285' WD</v>
      </c>
      <c r="P37" s="320"/>
      <c r="Q37" s="309" t="s">
        <v>214</v>
      </c>
      <c r="R37" s="310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21"/>
      <c r="P38" s="322"/>
      <c r="Q38" s="311"/>
      <c r="R38" s="312"/>
    </row>
    <row r="45" spans="1:18" ht="23.25" x14ac:dyDescent="0.35">
      <c r="O45" s="82"/>
    </row>
  </sheetData>
  <mergeCells count="36">
    <mergeCell ref="D29:F29"/>
    <mergeCell ref="L32:O32"/>
    <mergeCell ref="Q35:R35"/>
    <mergeCell ref="L35:O35"/>
    <mergeCell ref="L33:O33"/>
    <mergeCell ref="L34:O34"/>
    <mergeCell ref="A1:K1"/>
    <mergeCell ref="L1:R1"/>
    <mergeCell ref="A2:K3"/>
    <mergeCell ref="L3:N3"/>
    <mergeCell ref="A30:C30"/>
    <mergeCell ref="R6:R7"/>
    <mergeCell ref="L6:N7"/>
    <mergeCell ref="O6:O7"/>
    <mergeCell ref="Q6:Q7"/>
    <mergeCell ref="P6:P7"/>
    <mergeCell ref="L2:N2"/>
    <mergeCell ref="A4:K5"/>
    <mergeCell ref="A29:C29"/>
    <mergeCell ref="L4:O5"/>
    <mergeCell ref="R4:R5"/>
    <mergeCell ref="D30:F30"/>
    <mergeCell ref="Q37:R38"/>
    <mergeCell ref="O2:P2"/>
    <mergeCell ref="Q2:R2"/>
    <mergeCell ref="O3:P3"/>
    <mergeCell ref="Q3:R3"/>
    <mergeCell ref="O37:P38"/>
    <mergeCell ref="O9:P9"/>
    <mergeCell ref="Q36:R36"/>
    <mergeCell ref="P4:Q5"/>
    <mergeCell ref="L29:R30"/>
    <mergeCell ref="Q9:R9"/>
    <mergeCell ref="Q10:R10"/>
    <mergeCell ref="O10:P10"/>
    <mergeCell ref="L8:R8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W45"/>
  <sheetViews>
    <sheetView topLeftCell="N1" zoomScale="75" workbookViewId="0">
      <selection sqref="A1:K1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3" width="10.7109375" customWidth="1"/>
    <col min="24" max="24" width="11.140625" bestFit="1" customWidth="1"/>
  </cols>
  <sheetData>
    <row r="1" spans="1:23" ht="26.25" x14ac:dyDescent="0.4">
      <c r="A1" s="329" t="str">
        <f>'User Input'!B3</f>
        <v>Noble Homer Ferrington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1" t="str">
        <f>'User Input'!B4</f>
        <v>East Breaks EB578</v>
      </c>
      <c r="M1" s="332"/>
      <c r="N1" s="332"/>
      <c r="O1" s="332"/>
      <c r="P1" s="332"/>
      <c r="Q1" s="332"/>
      <c r="R1" s="333"/>
    </row>
    <row r="2" spans="1:23" ht="15" customHeight="1" x14ac:dyDescent="0.2">
      <c r="A2" s="334" t="s">
        <v>209</v>
      </c>
      <c r="B2" s="335"/>
      <c r="C2" s="335"/>
      <c r="D2" s="335"/>
      <c r="E2" s="335"/>
      <c r="F2" s="335"/>
      <c r="G2" s="335"/>
      <c r="H2" s="335"/>
      <c r="I2" s="335"/>
      <c r="J2" s="335"/>
      <c r="K2" s="336"/>
      <c r="L2" s="354" t="str">
        <f>"Prepared for " &amp; 'User Input'!B2</f>
        <v>Prepared for Noble Drilling Services</v>
      </c>
      <c r="M2" s="355"/>
      <c r="N2" s="356"/>
      <c r="O2" s="313" t="s">
        <v>212</v>
      </c>
      <c r="P2" s="314"/>
      <c r="Q2" s="314" t="s">
        <v>213</v>
      </c>
      <c r="R2" s="315"/>
    </row>
    <row r="3" spans="1:23" ht="25.5" customHeight="1" thickBot="1" x14ac:dyDescent="0.25">
      <c r="A3" s="337"/>
      <c r="B3" s="338"/>
      <c r="C3" s="338"/>
      <c r="D3" s="338"/>
      <c r="E3" s="338"/>
      <c r="F3" s="338"/>
      <c r="G3" s="338"/>
      <c r="H3" s="338"/>
      <c r="I3" s="338"/>
      <c r="J3" s="338"/>
      <c r="K3" s="339"/>
      <c r="L3" s="340" t="s">
        <v>202</v>
      </c>
      <c r="M3" s="341"/>
      <c r="N3" s="341"/>
      <c r="O3" s="316" t="str">
        <f>IF(ABS('User Input'!B13 - 'User Input'!C13)&gt;5,ROUND('User Input'!B13*0.3048,0)&amp;"-"&amp;ROUND('User Input'!C13*0.3048,0),ROUND((('User Input'!B13+'User Input'!C13)/2)*0.3048,0))</f>
        <v>509-0</v>
      </c>
      <c r="P3" s="317"/>
      <c r="Q3" s="317" t="str">
        <f>IF('User Input'!B14 &lt;&gt; 'User Input'!C14,ROUND('User Input'!B14*0.3048,0)&amp;"-"&amp;ROUND('User Input'!C14*0.3048,0),ROUND('User Input'!B14*0.3048,0))</f>
        <v>1219-0</v>
      </c>
      <c r="R3" s="318"/>
    </row>
    <row r="4" spans="1:23" ht="12.75" customHeight="1" x14ac:dyDescent="0.2">
      <c r="A4" s="357" t="str">
        <f>'User Input'!B15&amp;" Degree Vessel Heading"</f>
        <v>331.5 Degree Vessel Heading</v>
      </c>
      <c r="B4" s="358"/>
      <c r="C4" s="358"/>
      <c r="D4" s="358"/>
      <c r="E4" s="358"/>
      <c r="F4" s="358"/>
      <c r="G4" s="358"/>
      <c r="H4" s="358"/>
      <c r="I4" s="358"/>
      <c r="J4" s="358"/>
      <c r="K4" s="359"/>
      <c r="L4" s="365" t="s">
        <v>87</v>
      </c>
      <c r="M4" s="366"/>
      <c r="N4" s="366"/>
      <c r="O4" s="366"/>
      <c r="P4" s="388">
        <f>IF('User Input'!C20="",ROUND('User Input'!B20*4.448222,0),ROUND('User Input'!B20*4.448222,0)&amp;" - "&amp;ROUND('User Input'!C20*4.448222,0))</f>
        <v>890</v>
      </c>
      <c r="Q4" s="388"/>
      <c r="R4" s="369" t="s">
        <v>204</v>
      </c>
    </row>
    <row r="5" spans="1:23" ht="12.75" customHeight="1" x14ac:dyDescent="0.2">
      <c r="A5" s="360"/>
      <c r="B5" s="361"/>
      <c r="C5" s="361"/>
      <c r="D5" s="361"/>
      <c r="E5" s="361"/>
      <c r="F5" s="361"/>
      <c r="G5" s="361"/>
      <c r="H5" s="361"/>
      <c r="I5" s="361"/>
      <c r="J5" s="361"/>
      <c r="K5" s="362"/>
      <c r="L5" s="367"/>
      <c r="M5" s="368"/>
      <c r="N5" s="368"/>
      <c r="O5" s="368"/>
      <c r="P5" s="389"/>
      <c r="Q5" s="389"/>
      <c r="R5" s="370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46" t="s">
        <v>140</v>
      </c>
      <c r="M6" s="347"/>
      <c r="N6" s="347"/>
      <c r="O6" s="350" t="s">
        <v>89</v>
      </c>
      <c r="P6" s="394">
        <f>ROUND(calculations!K5*0.3048,2)</f>
        <v>239040.77</v>
      </c>
      <c r="Q6" s="392" t="s">
        <v>90</v>
      </c>
      <c r="R6" s="390">
        <f>ROUND(calculations!M5*0.3048,2)</f>
        <v>3027344.6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48"/>
      <c r="M7" s="349"/>
      <c r="N7" s="349"/>
      <c r="O7" s="351"/>
      <c r="P7" s="395"/>
      <c r="Q7" s="393"/>
      <c r="R7" s="391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84" t="s">
        <v>136</v>
      </c>
      <c r="M8" s="385"/>
      <c r="N8" s="385"/>
      <c r="O8" s="385"/>
      <c r="P8" s="385"/>
      <c r="Q8" s="385"/>
      <c r="R8" s="386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23" t="s">
        <v>84</v>
      </c>
      <c r="P9" s="324"/>
      <c r="Q9" s="323" t="s">
        <v>65</v>
      </c>
      <c r="R9" s="378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79" t="s">
        <v>85</v>
      </c>
      <c r="P10" s="381"/>
      <c r="Q10" s="379" t="s">
        <v>85</v>
      </c>
      <c r="R10" s="380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141</v>
      </c>
      <c r="N12" s="57" t="s">
        <v>142</v>
      </c>
      <c r="O12" s="57" t="s">
        <v>141</v>
      </c>
      <c r="P12" s="57" t="s">
        <v>141</v>
      </c>
      <c r="Q12" s="57" t="s">
        <v>141</v>
      </c>
      <c r="R12" s="66" t="s">
        <v>141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535099.58540579909</v>
      </c>
      <c r="U13" s="118">
        <f>R13-R$6</f>
        <v>6903909.1574417762</v>
      </c>
      <c r="V13" s="190">
        <f>T13*COS(RADIANS(W$9))+U13*SIN(RADIANS(W$9))</f>
        <v>5811946.0570358224</v>
      </c>
      <c r="W13" s="190">
        <f>-T13*SIN(RADIANS(W$9))+U13*COS(RADIANS(W$9))</f>
        <v>-3764515.4071428152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535462.90308126051</v>
      </c>
      <c r="U14" s="118">
        <f t="shared" ref="U14:U20" si="1">R14-R$6</f>
        <v>6907814.8548279144</v>
      </c>
      <c r="V14" s="190">
        <f t="shared" ref="V14:V20" si="2">T14*COS(RADIANS(W$9))+U14*SIN(RADIANS(W$9))</f>
        <v>5815205.0905240364</v>
      </c>
      <c r="W14" s="190">
        <f t="shared" ref="W14:W20" si="3">-T14*SIN(RADIANS(W$9))+U14*COS(RADIANS(W$9))</f>
        <v>-3766698.3346560621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537458.39221608813</v>
      </c>
      <c r="U15" s="118">
        <f t="shared" si="1"/>
        <v>6911364.9593832102</v>
      </c>
      <c r="V15" s="190">
        <f t="shared" si="2"/>
        <v>5817372.8180372827</v>
      </c>
      <c r="W15" s="190">
        <f t="shared" si="3"/>
        <v>-3770145.9681442762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540478.68419782608</v>
      </c>
      <c r="U16" s="118">
        <f t="shared" si="1"/>
        <v>6913854.1729192194</v>
      </c>
      <c r="V16" s="190">
        <f t="shared" si="2"/>
        <v>5818119.2227121694</v>
      </c>
      <c r="W16" s="190">
        <f t="shared" si="3"/>
        <v>-3773988.0024679271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544328.95301366108</v>
      </c>
      <c r="U17" s="118">
        <f t="shared" si="1"/>
        <v>6914782.9040604141</v>
      </c>
      <c r="V17" s="190">
        <f t="shared" si="2"/>
        <v>5817098.218037284</v>
      </c>
      <c r="W17" s="190">
        <f t="shared" si="3"/>
        <v>-3777814.8367915787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548218.86974512297</v>
      </c>
      <c r="U18" s="118">
        <f t="shared" si="1"/>
        <v>6914405.8976692352</v>
      </c>
      <c r="V18" s="190">
        <f t="shared" si="2"/>
        <v>5814910.7905240357</v>
      </c>
      <c r="W18" s="190">
        <f t="shared" si="3"/>
        <v>-3781053.4702797928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551476.29551930365</v>
      </c>
      <c r="U19" s="118">
        <f t="shared" si="1"/>
        <v>6912482.9443950895</v>
      </c>
      <c r="V19" s="190">
        <f t="shared" si="2"/>
        <v>5811666.5570358206</v>
      </c>
      <c r="W19" s="190">
        <f t="shared" si="3"/>
        <v>-3782998.5977930399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553956.94133201684</v>
      </c>
      <c r="U20" s="118">
        <f t="shared" si="1"/>
        <v>6909497.712991178</v>
      </c>
      <c r="V20" s="190">
        <f t="shared" si="2"/>
        <v>5807859.4227121705</v>
      </c>
      <c r="W20" s="190">
        <f t="shared" si="3"/>
        <v>-3783754.2024679272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9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554990.02331316448</v>
      </c>
      <c r="U21" s="118">
        <f t="shared" ref="U21:U28" si="5">R21-R$6</f>
        <v>6905999.7267071288</v>
      </c>
      <c r="V21" s="190">
        <f t="shared" ref="V21:V28" si="6">T21*COS(RADIANS(W$9))+U21*SIN(RADIANS(W$9))</f>
        <v>5804292.388388521</v>
      </c>
      <c r="W21" s="190">
        <f t="shared" ref="W21:W28" si="7">-T21*SIN(RADIANS(W$9))+U21*COS(RADIANS(W$9))</f>
        <v>-3782992.9977930407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70">
        <v>10000</v>
      </c>
      <c r="N22" s="192">
        <v>106.5</v>
      </c>
      <c r="O22" s="124">
        <v>790105.58780703577</v>
      </c>
      <c r="P22" s="124">
        <v>9930537.9571388923</v>
      </c>
      <c r="Q22" s="124">
        <v>793680.06777862436</v>
      </c>
      <c r="R22" s="125">
        <v>9929479.1479338352</v>
      </c>
      <c r="T22" s="118">
        <f t="shared" si="4"/>
        <v>554639.29777862434</v>
      </c>
      <c r="U22" s="118">
        <f t="shared" si="5"/>
        <v>6902134.5479338355</v>
      </c>
      <c r="V22" s="190">
        <f t="shared" si="6"/>
        <v>5801062.9549003057</v>
      </c>
      <c r="W22" s="190">
        <f t="shared" si="7"/>
        <v>-3780840.4702797928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70">
        <v>10000</v>
      </c>
      <c r="N23" s="192">
        <v>129</v>
      </c>
      <c r="O23" s="124">
        <v>789144.88130091596</v>
      </c>
      <c r="P23" s="124">
        <v>9928469.2579800468</v>
      </c>
      <c r="Q23" s="124">
        <v>792042.08144522761</v>
      </c>
      <c r="R23" s="125">
        <v>9926123.1515622139</v>
      </c>
      <c r="T23" s="118">
        <f t="shared" si="4"/>
        <v>553001.31144522759</v>
      </c>
      <c r="U23" s="118">
        <f t="shared" si="5"/>
        <v>6898778.5515622143</v>
      </c>
      <c r="V23" s="190">
        <f t="shared" si="6"/>
        <v>5798895.2273870585</v>
      </c>
      <c r="W23" s="190">
        <f t="shared" si="7"/>
        <v>-3777799.6367915785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70">
        <v>10000</v>
      </c>
      <c r="N24" s="192">
        <v>151.5</v>
      </c>
      <c r="O24" s="124">
        <v>787283.78154477046</v>
      </c>
      <c r="P24" s="124">
        <v>9926898.6608619839</v>
      </c>
      <c r="Q24" s="124">
        <v>789062.62940301828</v>
      </c>
      <c r="R24" s="125">
        <v>9923622.430665981</v>
      </c>
      <c r="T24" s="118">
        <f t="shared" si="4"/>
        <v>550021.85940301826</v>
      </c>
      <c r="U24" s="118">
        <f t="shared" si="5"/>
        <v>6896277.8306659814</v>
      </c>
      <c r="V24" s="190">
        <f t="shared" si="6"/>
        <v>5798119.2227121713</v>
      </c>
      <c r="W24" s="190">
        <f t="shared" si="7"/>
        <v>-3773988.002467928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70">
        <v>10000</v>
      </c>
      <c r="N25" s="192">
        <v>174</v>
      </c>
      <c r="O25" s="124">
        <v>785070.61016795237</v>
      </c>
      <c r="P25" s="124">
        <v>9925944.6437789816</v>
      </c>
      <c r="Q25" s="124">
        <v>785460.29227901413</v>
      </c>
      <c r="R25" s="125">
        <v>9922237.0661530476</v>
      </c>
      <c r="T25" s="118">
        <f t="shared" si="4"/>
        <v>546419.52227901411</v>
      </c>
      <c r="U25" s="118">
        <f t="shared" si="5"/>
        <v>6894892.466153048</v>
      </c>
      <c r="V25" s="190">
        <f t="shared" si="6"/>
        <v>5798620.6273870571</v>
      </c>
      <c r="W25" s="190">
        <f t="shared" si="7"/>
        <v>-3770161.1681442764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70">
        <v>10000</v>
      </c>
      <c r="N26" s="192">
        <v>196.5</v>
      </c>
      <c r="O26" s="124">
        <v>782638.14205610077</v>
      </c>
      <c r="P26" s="124">
        <v>9926148.58294346</v>
      </c>
      <c r="Q26" s="124">
        <v>781579.3328510446</v>
      </c>
      <c r="R26" s="125">
        <v>9922574.1029718723</v>
      </c>
      <c r="T26" s="118">
        <f t="shared" si="4"/>
        <v>542538.56285104458</v>
      </c>
      <c r="U26" s="118">
        <f t="shared" si="5"/>
        <v>6895229.5029718727</v>
      </c>
      <c r="V26" s="190">
        <f t="shared" si="6"/>
        <v>5800768.654900305</v>
      </c>
      <c r="W26" s="190">
        <f t="shared" si="7"/>
        <v>-3766911.3346560621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70">
        <v>10000</v>
      </c>
      <c r="N27" s="192">
        <v>219</v>
      </c>
      <c r="O27" s="124">
        <v>780276.76411614066</v>
      </c>
      <c r="P27" s="124">
        <v>9927181.8253102619</v>
      </c>
      <c r="Q27" s="124">
        <v>777930.65769830684</v>
      </c>
      <c r="R27" s="125">
        <v>9924284.6251659505</v>
      </c>
      <c r="T27" s="118">
        <f t="shared" si="4"/>
        <v>538889.88769830682</v>
      </c>
      <c r="U27" s="118">
        <f t="shared" si="5"/>
        <v>6896940.0251659509</v>
      </c>
      <c r="V27" s="190">
        <f t="shared" si="6"/>
        <v>5804012.8883885201</v>
      </c>
      <c r="W27" s="190">
        <f t="shared" si="7"/>
        <v>-3764521.0071428148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536380.5990787776</v>
      </c>
      <c r="U28" s="118">
        <f t="shared" si="5"/>
        <v>6899954.5377859864</v>
      </c>
      <c r="V28" s="190">
        <f t="shared" si="6"/>
        <v>5807859.4227121715</v>
      </c>
      <c r="W28" s="190">
        <f t="shared" si="7"/>
        <v>-3763754.2024679272</v>
      </c>
    </row>
    <row r="29" spans="1:23" x14ac:dyDescent="0.2">
      <c r="A29" s="363" t="s">
        <v>109</v>
      </c>
      <c r="B29" s="364"/>
      <c r="C29" s="364"/>
      <c r="D29" s="371" t="s">
        <v>100</v>
      </c>
      <c r="E29" s="371"/>
      <c r="F29" s="371"/>
      <c r="G29" s="78" t="s">
        <v>102</v>
      </c>
      <c r="H29" s="90" t="s">
        <v>104</v>
      </c>
      <c r="I29" s="77"/>
      <c r="J29" s="77"/>
      <c r="K29" s="77"/>
      <c r="L29" s="372" t="s">
        <v>137</v>
      </c>
      <c r="M29" s="373"/>
      <c r="N29" s="373"/>
      <c r="O29" s="373"/>
      <c r="P29" s="373"/>
      <c r="Q29" s="373"/>
      <c r="R29" s="374"/>
    </row>
    <row r="30" spans="1:23" ht="13.5" thickBot="1" x14ac:dyDescent="0.25">
      <c r="A30" s="342" t="s">
        <v>108</v>
      </c>
      <c r="B30" s="343"/>
      <c r="C30" s="343"/>
      <c r="D30" s="371" t="s">
        <v>101</v>
      </c>
      <c r="E30" s="371"/>
      <c r="F30" s="371"/>
      <c r="G30" s="78" t="s">
        <v>103</v>
      </c>
      <c r="H30" s="90" t="s">
        <v>105</v>
      </c>
      <c r="I30" s="77"/>
      <c r="J30" s="77"/>
      <c r="K30" s="77"/>
      <c r="L30" s="375"/>
      <c r="M30" s="376"/>
      <c r="N30" s="376"/>
      <c r="O30" s="376"/>
      <c r="P30" s="376"/>
      <c r="Q30" s="376"/>
      <c r="R30" s="377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82" t="s">
        <v>145</v>
      </c>
      <c r="M32" s="383"/>
      <c r="N32" s="383"/>
      <c r="O32" s="383"/>
      <c r="P32" s="115">
        <f>ROUND('User Input'!B23*0.3048,0)</f>
        <v>3048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82" t="s">
        <v>146</v>
      </c>
      <c r="M33" s="383"/>
      <c r="N33" s="383"/>
      <c r="O33" s="383"/>
      <c r="P33" s="115">
        <f>ROUND('User Input'!B24*0.3048,0)</f>
        <v>1136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82" t="s">
        <v>147</v>
      </c>
      <c r="M34" s="383"/>
      <c r="N34" s="383"/>
      <c r="O34" s="383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82" t="s">
        <v>148</v>
      </c>
      <c r="M35" s="383"/>
      <c r="N35" s="383"/>
      <c r="O35" s="383"/>
      <c r="P35" s="79">
        <f>ROUND('User Input'!B26*4.448222,0)</f>
        <v>0</v>
      </c>
      <c r="Q35" s="387" t="s">
        <v>110</v>
      </c>
      <c r="R35" s="326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73"/>
      <c r="R36" s="88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19" t="str">
        <f>ROUND('User Input'!B7*0.3048,0) &amp;"m WD"</f>
        <v>1001m WD</v>
      </c>
      <c r="P37" s="320"/>
      <c r="Q37" s="309" t="s">
        <v>201</v>
      </c>
      <c r="R37" s="310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21"/>
      <c r="P38" s="322"/>
      <c r="Q38" s="311"/>
      <c r="R38" s="312"/>
    </row>
    <row r="45" spans="1:18" ht="23.25" x14ac:dyDescent="0.35">
      <c r="O45" s="82"/>
    </row>
  </sheetData>
  <mergeCells count="35">
    <mergeCell ref="L2:N2"/>
    <mergeCell ref="O37:P38"/>
    <mergeCell ref="O9:P9"/>
    <mergeCell ref="O2:P2"/>
    <mergeCell ref="L34:O34"/>
    <mergeCell ref="L35:O35"/>
    <mergeCell ref="L33:O33"/>
    <mergeCell ref="R4:R5"/>
    <mergeCell ref="L6:N7"/>
    <mergeCell ref="R6:R7"/>
    <mergeCell ref="O6:O7"/>
    <mergeCell ref="Q6:Q7"/>
    <mergeCell ref="P6:P7"/>
    <mergeCell ref="Q37:R38"/>
    <mergeCell ref="D29:F29"/>
    <mergeCell ref="D30:F30"/>
    <mergeCell ref="L29:R30"/>
    <mergeCell ref="L32:O32"/>
    <mergeCell ref="Q35:R35"/>
    <mergeCell ref="A4:K5"/>
    <mergeCell ref="A29:C29"/>
    <mergeCell ref="A30:C30"/>
    <mergeCell ref="A1:K1"/>
    <mergeCell ref="L1:R1"/>
    <mergeCell ref="A2:K3"/>
    <mergeCell ref="L3:N3"/>
    <mergeCell ref="Q9:R9"/>
    <mergeCell ref="Q10:R10"/>
    <mergeCell ref="O10:P10"/>
    <mergeCell ref="Q2:R2"/>
    <mergeCell ref="O3:P3"/>
    <mergeCell ref="Q3:R3"/>
    <mergeCell ref="L8:R8"/>
    <mergeCell ref="P4:Q5"/>
    <mergeCell ref="L4:O5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Z24"/>
  <sheetViews>
    <sheetView workbookViewId="0">
      <selection activeCell="E27" sqref="E27"/>
    </sheetView>
  </sheetViews>
  <sheetFormatPr defaultRowHeight="12.75" x14ac:dyDescent="0.2"/>
  <cols>
    <col min="1" max="1" width="4.42578125" customWidth="1"/>
    <col min="2" max="2" width="9.42578125" customWidth="1"/>
    <col min="3" max="3" width="10.42578125" style="148" customWidth="1"/>
    <col min="4" max="4" width="10.42578125" style="149" customWidth="1"/>
    <col min="5" max="5" width="11" style="118" customWidth="1"/>
    <col min="6" max="6" width="8.28515625" style="179" hidden="1" customWidth="1"/>
    <col min="7" max="7" width="10.85546875" style="118" customWidth="1"/>
    <col min="8" max="8" width="11.7109375" style="148" customWidth="1"/>
    <col min="9" max="9" width="11.85546875" style="148" customWidth="1"/>
    <col min="10" max="11" width="11.85546875" style="118" customWidth="1"/>
    <col min="12" max="12" width="10.7109375" style="118" customWidth="1"/>
    <col min="13" max="13" width="13" style="118" customWidth="1"/>
    <col min="16" max="17" width="9.140625" style="148"/>
    <col min="18" max="18" width="12.140625" customWidth="1"/>
    <col min="19" max="19" width="0" hidden="1" customWidth="1"/>
    <col min="20" max="20" width="11.42578125" customWidth="1"/>
    <col min="21" max="21" width="12.7109375" customWidth="1"/>
    <col min="22" max="22" width="15" style="148" customWidth="1"/>
    <col min="23" max="23" width="10.85546875" customWidth="1"/>
    <col min="26" max="26" width="13.7109375" customWidth="1"/>
  </cols>
  <sheetData>
    <row r="1" spans="2:26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C1" s="153"/>
      <c r="D1" s="154"/>
      <c r="E1" s="177"/>
      <c r="F1" s="178"/>
      <c r="G1" s="177"/>
      <c r="H1" s="153"/>
      <c r="I1" s="153"/>
      <c r="J1" s="177"/>
      <c r="K1" s="177"/>
      <c r="L1" s="177"/>
      <c r="M1" s="177"/>
      <c r="O1" s="152" t="str">
        <f>B1</f>
        <v>Noble Drilling Services, Noble Homer Ferrington, East Breaks EB578</v>
      </c>
      <c r="P1" s="153"/>
      <c r="Q1" s="153"/>
      <c r="V1" s="153"/>
    </row>
    <row r="2" spans="2:26" ht="21.75" customHeight="1" thickBot="1" x14ac:dyDescent="0.25">
      <c r="B2" t="s">
        <v>165</v>
      </c>
      <c r="C2" s="148">
        <v>3650</v>
      </c>
      <c r="D2" s="149" t="s">
        <v>170</v>
      </c>
      <c r="O2" t="s">
        <v>165</v>
      </c>
      <c r="P2" s="148">
        <f>0.3048*C2</f>
        <v>1112.52</v>
      </c>
      <c r="Q2" s="148" t="s">
        <v>171</v>
      </c>
    </row>
    <row r="3" spans="2:26" ht="30.75" thickBot="1" x14ac:dyDescent="0.25">
      <c r="B3" s="132"/>
      <c r="C3" s="130"/>
      <c r="D3" s="150"/>
      <c r="E3" s="180" t="s">
        <v>152</v>
      </c>
      <c r="F3" s="181"/>
      <c r="G3" s="181"/>
      <c r="H3" s="130"/>
      <c r="I3" s="130"/>
      <c r="J3" s="181"/>
      <c r="K3" s="181"/>
      <c r="L3" s="181"/>
      <c r="M3" s="185"/>
      <c r="O3" s="132"/>
      <c r="P3" s="130"/>
      <c r="Q3" s="130"/>
      <c r="R3" s="133" t="s">
        <v>152</v>
      </c>
      <c r="S3" s="130"/>
      <c r="T3" s="130"/>
      <c r="U3" s="130"/>
      <c r="V3" s="130"/>
      <c r="W3" s="130"/>
      <c r="X3" s="130"/>
      <c r="Y3" s="130"/>
      <c r="Z3" s="131"/>
    </row>
    <row r="4" spans="2:26" ht="16.5" thickTop="1" x14ac:dyDescent="0.25">
      <c r="B4" s="64" t="s">
        <v>82</v>
      </c>
      <c r="C4" s="74" t="s">
        <v>163</v>
      </c>
      <c r="D4" s="151" t="s">
        <v>169</v>
      </c>
      <c r="E4" s="182" t="s">
        <v>155</v>
      </c>
      <c r="F4" s="183" t="s">
        <v>82</v>
      </c>
      <c r="G4" s="127" t="s">
        <v>65</v>
      </c>
      <c r="H4" s="128" t="s">
        <v>65</v>
      </c>
      <c r="I4" s="119" t="s">
        <v>163</v>
      </c>
      <c r="J4" s="186" t="s">
        <v>160</v>
      </c>
      <c r="K4" s="183" t="s">
        <v>0</v>
      </c>
      <c r="L4" s="183" t="s">
        <v>153</v>
      </c>
      <c r="M4" s="126" t="s">
        <v>158</v>
      </c>
      <c r="O4" s="64" t="s">
        <v>82</v>
      </c>
      <c r="P4" s="74" t="s">
        <v>163</v>
      </c>
      <c r="Q4" s="56" t="s">
        <v>169</v>
      </c>
      <c r="R4" s="74" t="s">
        <v>155</v>
      </c>
      <c r="S4" s="56" t="s">
        <v>82</v>
      </c>
      <c r="T4" s="127" t="s">
        <v>65</v>
      </c>
      <c r="U4" s="128" t="s">
        <v>65</v>
      </c>
      <c r="V4" s="119" t="s">
        <v>163</v>
      </c>
      <c r="W4" s="119" t="s">
        <v>160</v>
      </c>
      <c r="X4" s="56" t="s">
        <v>0</v>
      </c>
      <c r="Y4" s="56" t="s">
        <v>153</v>
      </c>
      <c r="Z4" s="126" t="s">
        <v>158</v>
      </c>
    </row>
    <row r="5" spans="2:26" ht="15.75" x14ac:dyDescent="0.25">
      <c r="B5" s="64" t="s">
        <v>162</v>
      </c>
      <c r="C5" s="74" t="s">
        <v>166</v>
      </c>
      <c r="D5" s="151" t="s">
        <v>167</v>
      </c>
      <c r="E5" s="182" t="s">
        <v>88</v>
      </c>
      <c r="F5" s="183" t="s">
        <v>157</v>
      </c>
      <c r="G5" s="127" t="s">
        <v>88</v>
      </c>
      <c r="H5" s="74" t="s">
        <v>197</v>
      </c>
      <c r="I5" s="56" t="s">
        <v>164</v>
      </c>
      <c r="J5" s="183" t="s">
        <v>83</v>
      </c>
      <c r="K5" s="183"/>
      <c r="L5" s="183"/>
      <c r="M5" s="126" t="s">
        <v>159</v>
      </c>
      <c r="O5" s="64" t="s">
        <v>162</v>
      </c>
      <c r="P5" s="74" t="s">
        <v>166</v>
      </c>
      <c r="Q5" s="56" t="s">
        <v>167</v>
      </c>
      <c r="R5" s="74" t="s">
        <v>88</v>
      </c>
      <c r="S5" s="56" t="s">
        <v>157</v>
      </c>
      <c r="T5" s="127" t="s">
        <v>88</v>
      </c>
      <c r="U5" s="74" t="s">
        <v>197</v>
      </c>
      <c r="V5" s="56" t="s">
        <v>164</v>
      </c>
      <c r="W5" s="56" t="s">
        <v>83</v>
      </c>
      <c r="X5" s="56"/>
      <c r="Y5" s="56"/>
      <c r="Z5" s="126" t="s">
        <v>159</v>
      </c>
    </row>
    <row r="6" spans="2:26" ht="15.75" x14ac:dyDescent="0.25">
      <c r="B6" s="64"/>
      <c r="C6" s="74" t="s">
        <v>154</v>
      </c>
      <c r="D6" s="151" t="s">
        <v>168</v>
      </c>
      <c r="E6" s="182" t="s">
        <v>156</v>
      </c>
      <c r="F6" s="183"/>
      <c r="G6" s="127" t="s">
        <v>156</v>
      </c>
      <c r="H6" s="56" t="s">
        <v>161</v>
      </c>
      <c r="I6" s="56" t="s">
        <v>161</v>
      </c>
      <c r="J6" s="183" t="s">
        <v>161</v>
      </c>
      <c r="K6" s="183" t="s">
        <v>154</v>
      </c>
      <c r="L6" s="183" t="s">
        <v>154</v>
      </c>
      <c r="M6" s="126" t="s">
        <v>154</v>
      </c>
      <c r="O6" s="64"/>
      <c r="P6" s="74" t="s">
        <v>141</v>
      </c>
      <c r="Q6" s="56" t="s">
        <v>168</v>
      </c>
      <c r="R6" s="74" t="s">
        <v>172</v>
      </c>
      <c r="S6" s="56"/>
      <c r="T6" s="127" t="s">
        <v>172</v>
      </c>
      <c r="U6" s="56" t="s">
        <v>161</v>
      </c>
      <c r="V6" s="56" t="s">
        <v>161</v>
      </c>
      <c r="W6" s="56" t="s">
        <v>161</v>
      </c>
      <c r="X6" s="56" t="s">
        <v>141</v>
      </c>
      <c r="Y6" s="56" t="s">
        <v>141</v>
      </c>
      <c r="Z6" s="126" t="s">
        <v>141</v>
      </c>
    </row>
    <row r="7" spans="2:26" x14ac:dyDescent="0.2">
      <c r="B7" s="134">
        <v>1</v>
      </c>
      <c r="C7" s="116">
        <v>3650</v>
      </c>
      <c r="D7" s="145">
        <v>0</v>
      </c>
      <c r="E7" s="171">
        <v>286.8</v>
      </c>
      <c r="F7" s="116">
        <v>5.5</v>
      </c>
      <c r="G7" s="171">
        <v>214.2</v>
      </c>
      <c r="H7" s="145">
        <v>0</v>
      </c>
      <c r="I7" s="110">
        <v>0.3</v>
      </c>
      <c r="J7" s="173">
        <v>313.89999999999998</v>
      </c>
      <c r="K7" s="173">
        <v>6968.5</v>
      </c>
      <c r="L7" s="173">
        <v>2672</v>
      </c>
      <c r="M7" s="174">
        <v>0</v>
      </c>
      <c r="O7" s="134">
        <f>B7</f>
        <v>1</v>
      </c>
      <c r="P7" s="116">
        <f>0.3048*C7</f>
        <v>1112.52</v>
      </c>
      <c r="Q7" s="110">
        <f>D7</f>
        <v>0</v>
      </c>
      <c r="R7" s="137">
        <f>4.448222*E7</f>
        <v>1275.7500696000002</v>
      </c>
      <c r="S7" s="145">
        <f t="shared" ref="S7:S22" si="0">F7</f>
        <v>5.5</v>
      </c>
      <c r="T7" s="137">
        <f t="shared" ref="T7:T22" si="1">4.448222*G7</f>
        <v>952.80915240000002</v>
      </c>
      <c r="U7" s="145">
        <f t="shared" ref="U7:U22" si="2">H7</f>
        <v>0</v>
      </c>
      <c r="V7" s="110">
        <f t="shared" ref="V7:V22" si="3">I7</f>
        <v>0.3</v>
      </c>
      <c r="W7" s="139">
        <f t="shared" ref="W7:W22" si="4">J7</f>
        <v>313.89999999999998</v>
      </c>
      <c r="X7" s="139">
        <f>0.3048*K7</f>
        <v>2123.9988000000003</v>
      </c>
      <c r="Y7" s="139">
        <f t="shared" ref="Y7:Y22" si="5">0.3048*L7</f>
        <v>814.42560000000003</v>
      </c>
      <c r="Z7" s="141">
        <f t="shared" ref="Z7:Z22" si="6">0.3048*M7</f>
        <v>0</v>
      </c>
    </row>
    <row r="8" spans="2:26" x14ac:dyDescent="0.2">
      <c r="B8" s="135">
        <v>2</v>
      </c>
      <c r="C8" s="117">
        <v>3650</v>
      </c>
      <c r="D8" s="146">
        <v>0</v>
      </c>
      <c r="E8" s="172">
        <v>289.89999999999998</v>
      </c>
      <c r="F8" s="117">
        <v>3.9</v>
      </c>
      <c r="G8" s="172">
        <v>29.5</v>
      </c>
      <c r="H8" s="146">
        <v>0</v>
      </c>
      <c r="I8" s="111">
        <v>0</v>
      </c>
      <c r="J8" s="175">
        <v>14</v>
      </c>
      <c r="K8" s="175">
        <v>10003.700000000001</v>
      </c>
      <c r="L8" s="175">
        <v>6694</v>
      </c>
      <c r="M8" s="176">
        <v>2960.8</v>
      </c>
      <c r="O8" s="135">
        <f t="shared" ref="O8:O22" si="7">B8</f>
        <v>2</v>
      </c>
      <c r="P8" s="117">
        <f t="shared" ref="P8:P22" si="8">0.3048*C8</f>
        <v>1112.52</v>
      </c>
      <c r="Q8" s="111">
        <f t="shared" ref="Q8:Q22" si="9">D8</f>
        <v>0</v>
      </c>
      <c r="R8" s="138">
        <f t="shared" ref="R8:R22" si="10">4.448222*E8</f>
        <v>1289.5395578</v>
      </c>
      <c r="S8" s="146">
        <f t="shared" si="0"/>
        <v>3.9</v>
      </c>
      <c r="T8" s="138">
        <f t="shared" si="1"/>
        <v>131.22254900000001</v>
      </c>
      <c r="U8" s="146">
        <f t="shared" si="2"/>
        <v>0</v>
      </c>
      <c r="V8" s="111">
        <f t="shared" si="3"/>
        <v>0</v>
      </c>
      <c r="W8" s="140">
        <f t="shared" si="4"/>
        <v>14</v>
      </c>
      <c r="X8" s="140">
        <f t="shared" ref="X8:X22" si="11">0.3048*K8</f>
        <v>3049.1277600000003</v>
      </c>
      <c r="Y8" s="140">
        <f t="shared" si="5"/>
        <v>2040.3312000000001</v>
      </c>
      <c r="Z8" s="142">
        <f t="shared" si="6"/>
        <v>902.45184000000006</v>
      </c>
    </row>
    <row r="9" spans="2:26" x14ac:dyDescent="0.2">
      <c r="B9" s="135">
        <v>3</v>
      </c>
      <c r="C9" s="117">
        <v>3650</v>
      </c>
      <c r="D9" s="146">
        <v>0</v>
      </c>
      <c r="E9" s="172">
        <v>301.60000000000002</v>
      </c>
      <c r="F9" s="117">
        <v>3.8</v>
      </c>
      <c r="G9" s="172">
        <v>45.5</v>
      </c>
      <c r="H9" s="146">
        <v>0</v>
      </c>
      <c r="I9" s="111">
        <v>0</v>
      </c>
      <c r="J9" s="175">
        <v>34</v>
      </c>
      <c r="K9" s="175">
        <v>10015.5</v>
      </c>
      <c r="L9" s="175">
        <v>6694</v>
      </c>
      <c r="M9" s="176">
        <v>2883</v>
      </c>
      <c r="O9" s="135">
        <f t="shared" si="7"/>
        <v>3</v>
      </c>
      <c r="P9" s="117">
        <f t="shared" si="8"/>
        <v>1112.52</v>
      </c>
      <c r="Q9" s="111">
        <f t="shared" si="9"/>
        <v>0</v>
      </c>
      <c r="R9" s="138">
        <f t="shared" si="10"/>
        <v>1341.5837552000003</v>
      </c>
      <c r="S9" s="146">
        <f t="shared" si="0"/>
        <v>3.8</v>
      </c>
      <c r="T9" s="138">
        <f t="shared" si="1"/>
        <v>202.39410100000001</v>
      </c>
      <c r="U9" s="146">
        <f t="shared" si="2"/>
        <v>0</v>
      </c>
      <c r="V9" s="111">
        <f t="shared" si="3"/>
        <v>0</v>
      </c>
      <c r="W9" s="140">
        <f t="shared" si="4"/>
        <v>34</v>
      </c>
      <c r="X9" s="140">
        <f t="shared" si="11"/>
        <v>3052.7244000000001</v>
      </c>
      <c r="Y9" s="140">
        <f t="shared" si="5"/>
        <v>2040.3312000000001</v>
      </c>
      <c r="Z9" s="142">
        <f t="shared" si="6"/>
        <v>878.73840000000007</v>
      </c>
    </row>
    <row r="10" spans="2:26" x14ac:dyDescent="0.2">
      <c r="B10" s="135">
        <v>4</v>
      </c>
      <c r="C10" s="117">
        <v>3650</v>
      </c>
      <c r="D10" s="146">
        <v>0</v>
      </c>
      <c r="E10" s="172">
        <v>226.3</v>
      </c>
      <c r="F10" s="117">
        <v>5.0999999999999996</v>
      </c>
      <c r="G10" s="172">
        <v>0</v>
      </c>
      <c r="H10" s="146">
        <v>0</v>
      </c>
      <c r="I10" s="111">
        <v>0</v>
      </c>
      <c r="J10" s="175">
        <v>73.900000000000006</v>
      </c>
      <c r="K10" s="175">
        <v>9965.2000000000007</v>
      </c>
      <c r="L10" s="175">
        <v>6730</v>
      </c>
      <c r="M10" s="176">
        <v>3409.9</v>
      </c>
      <c r="O10" s="135">
        <f t="shared" si="7"/>
        <v>4</v>
      </c>
      <c r="P10" s="117">
        <f t="shared" si="8"/>
        <v>1112.52</v>
      </c>
      <c r="Q10" s="111">
        <f t="shared" si="9"/>
        <v>0</v>
      </c>
      <c r="R10" s="138">
        <f t="shared" si="10"/>
        <v>1006.6326386000002</v>
      </c>
      <c r="S10" s="146">
        <f t="shared" si="0"/>
        <v>5.0999999999999996</v>
      </c>
      <c r="T10" s="138">
        <f t="shared" si="1"/>
        <v>0</v>
      </c>
      <c r="U10" s="146">
        <f t="shared" si="2"/>
        <v>0</v>
      </c>
      <c r="V10" s="111">
        <f t="shared" si="3"/>
        <v>0</v>
      </c>
      <c r="W10" s="140">
        <f t="shared" si="4"/>
        <v>73.900000000000006</v>
      </c>
      <c r="X10" s="140">
        <f t="shared" si="11"/>
        <v>3037.3929600000006</v>
      </c>
      <c r="Y10" s="140">
        <f t="shared" si="5"/>
        <v>2051.3040000000001</v>
      </c>
      <c r="Z10" s="142">
        <f t="shared" si="6"/>
        <v>1039.33752</v>
      </c>
    </row>
    <row r="11" spans="2:26" x14ac:dyDescent="0.2">
      <c r="B11" s="135">
        <v>5</v>
      </c>
      <c r="C11" s="117">
        <v>3650</v>
      </c>
      <c r="D11" s="146">
        <v>0</v>
      </c>
      <c r="E11" s="172">
        <v>207.6</v>
      </c>
      <c r="F11" s="117">
        <v>5.5</v>
      </c>
      <c r="G11" s="172">
        <v>191.3</v>
      </c>
      <c r="H11" s="146">
        <v>0</v>
      </c>
      <c r="I11" s="111">
        <v>0</v>
      </c>
      <c r="J11" s="175">
        <v>114</v>
      </c>
      <c r="K11" s="175">
        <v>9990.9</v>
      </c>
      <c r="L11" s="175">
        <v>1101</v>
      </c>
      <c r="M11" s="176">
        <v>635.29999999999995</v>
      </c>
      <c r="O11" s="135">
        <f t="shared" si="7"/>
        <v>5</v>
      </c>
      <c r="P11" s="117">
        <f t="shared" si="8"/>
        <v>1112.52</v>
      </c>
      <c r="Q11" s="111">
        <f t="shared" si="9"/>
        <v>0</v>
      </c>
      <c r="R11" s="138">
        <f t="shared" si="10"/>
        <v>923.45088720000001</v>
      </c>
      <c r="S11" s="146">
        <f t="shared" si="0"/>
        <v>5.5</v>
      </c>
      <c r="T11" s="138">
        <f t="shared" si="1"/>
        <v>850.94486860000006</v>
      </c>
      <c r="U11" s="146">
        <f t="shared" si="2"/>
        <v>0</v>
      </c>
      <c r="V11" s="111">
        <f t="shared" si="3"/>
        <v>0</v>
      </c>
      <c r="W11" s="140">
        <f t="shared" si="4"/>
        <v>114</v>
      </c>
      <c r="X11" s="140">
        <f t="shared" si="11"/>
        <v>3045.2263200000002</v>
      </c>
      <c r="Y11" s="140">
        <f t="shared" si="5"/>
        <v>335.58480000000003</v>
      </c>
      <c r="Z11" s="142">
        <f t="shared" si="6"/>
        <v>193.63944000000001</v>
      </c>
    </row>
    <row r="12" spans="2:26" x14ac:dyDescent="0.2">
      <c r="B12" s="135">
        <v>6</v>
      </c>
      <c r="C12" s="117">
        <v>3650</v>
      </c>
      <c r="D12" s="146">
        <v>0</v>
      </c>
      <c r="E12" s="172">
        <v>244.2</v>
      </c>
      <c r="F12" s="117">
        <v>4.7</v>
      </c>
      <c r="G12" s="172">
        <v>233.3</v>
      </c>
      <c r="H12" s="146">
        <v>0</v>
      </c>
      <c r="I12" s="111">
        <v>0</v>
      </c>
      <c r="J12" s="175">
        <v>153.9</v>
      </c>
      <c r="K12" s="175">
        <v>10019.200000000001</v>
      </c>
      <c r="L12" s="175">
        <v>1065</v>
      </c>
      <c r="M12" s="176">
        <v>55</v>
      </c>
      <c r="O12" s="135">
        <f t="shared" si="7"/>
        <v>6</v>
      </c>
      <c r="P12" s="117">
        <f t="shared" si="8"/>
        <v>1112.52</v>
      </c>
      <c r="Q12" s="111">
        <f t="shared" si="9"/>
        <v>0</v>
      </c>
      <c r="R12" s="138">
        <f t="shared" si="10"/>
        <v>1086.2558124</v>
      </c>
      <c r="S12" s="146">
        <f t="shared" si="0"/>
        <v>4.7</v>
      </c>
      <c r="T12" s="138">
        <f t="shared" si="1"/>
        <v>1037.7701926000002</v>
      </c>
      <c r="U12" s="146">
        <f t="shared" si="2"/>
        <v>0</v>
      </c>
      <c r="V12" s="111">
        <f t="shared" si="3"/>
        <v>0</v>
      </c>
      <c r="W12" s="140">
        <f t="shared" si="4"/>
        <v>153.9</v>
      </c>
      <c r="X12" s="140">
        <f t="shared" si="11"/>
        <v>3053.8521600000004</v>
      </c>
      <c r="Y12" s="140">
        <f t="shared" si="5"/>
        <v>324.61200000000002</v>
      </c>
      <c r="Z12" s="142">
        <f t="shared" si="6"/>
        <v>16.763999999999999</v>
      </c>
    </row>
    <row r="13" spans="2:26" x14ac:dyDescent="0.2">
      <c r="B13" s="135">
        <v>7</v>
      </c>
      <c r="C13" s="117">
        <v>3650</v>
      </c>
      <c r="D13" s="146">
        <v>0</v>
      </c>
      <c r="E13" s="172">
        <v>225.2</v>
      </c>
      <c r="F13" s="117">
        <v>5.6</v>
      </c>
      <c r="G13" s="172">
        <v>194.2</v>
      </c>
      <c r="H13" s="146">
        <v>0</v>
      </c>
      <c r="I13" s="111">
        <v>0</v>
      </c>
      <c r="J13" s="175">
        <v>193.9</v>
      </c>
      <c r="K13" s="175">
        <v>9972.1</v>
      </c>
      <c r="L13" s="175">
        <v>618</v>
      </c>
      <c r="M13" s="176">
        <v>1184.5</v>
      </c>
      <c r="O13" s="135">
        <f t="shared" si="7"/>
        <v>7</v>
      </c>
      <c r="P13" s="117">
        <f t="shared" si="8"/>
        <v>1112.52</v>
      </c>
      <c r="Q13" s="111">
        <f t="shared" si="9"/>
        <v>0</v>
      </c>
      <c r="R13" s="138">
        <f t="shared" si="10"/>
        <v>1001.7395944</v>
      </c>
      <c r="S13" s="146">
        <f t="shared" si="0"/>
        <v>5.6</v>
      </c>
      <c r="T13" s="138">
        <f t="shared" si="1"/>
        <v>863.84471240000005</v>
      </c>
      <c r="U13" s="146">
        <f t="shared" si="2"/>
        <v>0</v>
      </c>
      <c r="V13" s="111">
        <f t="shared" si="3"/>
        <v>0</v>
      </c>
      <c r="W13" s="140">
        <f t="shared" si="4"/>
        <v>193.9</v>
      </c>
      <c r="X13" s="140">
        <f t="shared" si="11"/>
        <v>3039.4960800000003</v>
      </c>
      <c r="Y13" s="140">
        <f t="shared" si="5"/>
        <v>188.3664</v>
      </c>
      <c r="Z13" s="142">
        <f t="shared" si="6"/>
        <v>361.03560000000004</v>
      </c>
    </row>
    <row r="14" spans="2:26" x14ac:dyDescent="0.2">
      <c r="B14" s="135">
        <v>8</v>
      </c>
      <c r="C14" s="117">
        <v>3650</v>
      </c>
      <c r="D14" s="146">
        <v>0</v>
      </c>
      <c r="E14" s="172">
        <v>236.4</v>
      </c>
      <c r="F14" s="117">
        <v>5.4</v>
      </c>
      <c r="G14" s="172">
        <v>207.1</v>
      </c>
      <c r="H14" s="146">
        <v>0</v>
      </c>
      <c r="I14" s="111">
        <v>0</v>
      </c>
      <c r="J14" s="175">
        <v>233.9</v>
      </c>
      <c r="K14" s="175">
        <v>9993</v>
      </c>
      <c r="L14" s="175">
        <v>618</v>
      </c>
      <c r="M14" s="176">
        <v>999</v>
      </c>
      <c r="O14" s="135">
        <f t="shared" si="7"/>
        <v>8</v>
      </c>
      <c r="P14" s="117">
        <f t="shared" si="8"/>
        <v>1112.52</v>
      </c>
      <c r="Q14" s="111">
        <f t="shared" si="9"/>
        <v>0</v>
      </c>
      <c r="R14" s="138">
        <f t="shared" si="10"/>
        <v>1051.5596808</v>
      </c>
      <c r="S14" s="146">
        <f t="shared" si="0"/>
        <v>5.4</v>
      </c>
      <c r="T14" s="138">
        <f t="shared" si="1"/>
        <v>921.22677620000002</v>
      </c>
      <c r="U14" s="146">
        <f t="shared" si="2"/>
        <v>0</v>
      </c>
      <c r="V14" s="111">
        <f t="shared" si="3"/>
        <v>0</v>
      </c>
      <c r="W14" s="140">
        <f t="shared" si="4"/>
        <v>233.9</v>
      </c>
      <c r="X14" s="140">
        <f t="shared" si="11"/>
        <v>3045.8664000000003</v>
      </c>
      <c r="Y14" s="140">
        <f t="shared" si="5"/>
        <v>188.3664</v>
      </c>
      <c r="Z14" s="142">
        <f t="shared" si="6"/>
        <v>304.49520000000001</v>
      </c>
    </row>
    <row r="15" spans="2:26" x14ac:dyDescent="0.2">
      <c r="B15" s="135">
        <v>9</v>
      </c>
      <c r="C15" s="117">
        <v>3650</v>
      </c>
      <c r="D15" s="146">
        <v>0</v>
      </c>
      <c r="E15" s="172">
        <v>281.3</v>
      </c>
      <c r="F15" s="117">
        <v>4.7</v>
      </c>
      <c r="G15" s="172">
        <v>262.8</v>
      </c>
      <c r="H15" s="146">
        <v>0</v>
      </c>
      <c r="I15" s="111">
        <v>0.1</v>
      </c>
      <c r="J15" s="175">
        <v>274</v>
      </c>
      <c r="K15" s="175">
        <v>9020.6</v>
      </c>
      <c r="L15" s="175">
        <v>584</v>
      </c>
      <c r="M15" s="176">
        <v>0</v>
      </c>
      <c r="O15" s="135">
        <f t="shared" si="7"/>
        <v>9</v>
      </c>
      <c r="P15" s="117">
        <f t="shared" si="8"/>
        <v>1112.52</v>
      </c>
      <c r="Q15" s="111">
        <f t="shared" si="9"/>
        <v>0</v>
      </c>
      <c r="R15" s="138">
        <f t="shared" si="10"/>
        <v>1251.2848486000003</v>
      </c>
      <c r="S15" s="146">
        <f t="shared" si="0"/>
        <v>4.7</v>
      </c>
      <c r="T15" s="138">
        <f t="shared" si="1"/>
        <v>1168.9927416</v>
      </c>
      <c r="U15" s="146">
        <f t="shared" si="2"/>
        <v>0</v>
      </c>
      <c r="V15" s="111">
        <f t="shared" si="3"/>
        <v>0.1</v>
      </c>
      <c r="W15" s="140">
        <f t="shared" si="4"/>
        <v>274</v>
      </c>
      <c r="X15" s="140">
        <f t="shared" si="11"/>
        <v>2749.4788800000001</v>
      </c>
      <c r="Y15" s="140">
        <f t="shared" si="5"/>
        <v>178.00320000000002</v>
      </c>
      <c r="Z15" s="142">
        <f t="shared" si="6"/>
        <v>0</v>
      </c>
    </row>
    <row r="16" spans="2:26" x14ac:dyDescent="0.2">
      <c r="B16" s="135"/>
      <c r="C16" s="117"/>
      <c r="D16" s="146"/>
      <c r="E16" s="172"/>
      <c r="F16" s="117"/>
      <c r="G16" s="172"/>
      <c r="H16" s="146"/>
      <c r="I16" s="111"/>
      <c r="J16" s="175"/>
      <c r="K16" s="175"/>
      <c r="L16" s="175"/>
      <c r="M16" s="176"/>
      <c r="O16" s="135">
        <f t="shared" si="7"/>
        <v>0</v>
      </c>
      <c r="P16" s="117">
        <f t="shared" si="8"/>
        <v>0</v>
      </c>
      <c r="Q16" s="111">
        <f t="shared" si="9"/>
        <v>0</v>
      </c>
      <c r="R16" s="138">
        <f t="shared" si="10"/>
        <v>0</v>
      </c>
      <c r="S16" s="146">
        <f t="shared" si="0"/>
        <v>0</v>
      </c>
      <c r="T16" s="138">
        <f t="shared" si="1"/>
        <v>0</v>
      </c>
      <c r="U16" s="146">
        <f t="shared" si="2"/>
        <v>0</v>
      </c>
      <c r="V16" s="111">
        <f t="shared" si="3"/>
        <v>0</v>
      </c>
      <c r="W16" s="140">
        <f t="shared" si="4"/>
        <v>0</v>
      </c>
      <c r="X16" s="140">
        <f t="shared" si="11"/>
        <v>0</v>
      </c>
      <c r="Y16" s="140">
        <f t="shared" si="5"/>
        <v>0</v>
      </c>
      <c r="Z16" s="142">
        <f t="shared" si="6"/>
        <v>0</v>
      </c>
    </row>
    <row r="17" spans="2:26" x14ac:dyDescent="0.2">
      <c r="B17" s="135"/>
      <c r="C17" s="117"/>
      <c r="D17" s="146"/>
      <c r="E17" s="172"/>
      <c r="F17" s="117"/>
      <c r="G17" s="172"/>
      <c r="H17" s="146"/>
      <c r="I17" s="111"/>
      <c r="J17" s="175"/>
      <c r="K17" s="175"/>
      <c r="L17" s="175"/>
      <c r="M17" s="176"/>
      <c r="O17" s="135">
        <f t="shared" si="7"/>
        <v>0</v>
      </c>
      <c r="P17" s="117">
        <f t="shared" si="8"/>
        <v>0</v>
      </c>
      <c r="Q17" s="111">
        <f t="shared" si="9"/>
        <v>0</v>
      </c>
      <c r="R17" s="138">
        <f t="shared" si="10"/>
        <v>0</v>
      </c>
      <c r="S17" s="146">
        <f t="shared" si="0"/>
        <v>0</v>
      </c>
      <c r="T17" s="138">
        <f t="shared" si="1"/>
        <v>0</v>
      </c>
      <c r="U17" s="146">
        <f t="shared" si="2"/>
        <v>0</v>
      </c>
      <c r="V17" s="111">
        <f t="shared" si="3"/>
        <v>0</v>
      </c>
      <c r="W17" s="140">
        <f t="shared" si="4"/>
        <v>0</v>
      </c>
      <c r="X17" s="140">
        <f t="shared" si="11"/>
        <v>0</v>
      </c>
      <c r="Y17" s="140">
        <f t="shared" si="5"/>
        <v>0</v>
      </c>
      <c r="Z17" s="142">
        <f t="shared" si="6"/>
        <v>0</v>
      </c>
    </row>
    <row r="18" spans="2:26" x14ac:dyDescent="0.2">
      <c r="B18" s="135"/>
      <c r="C18" s="117"/>
      <c r="D18" s="146"/>
      <c r="E18" s="172"/>
      <c r="F18" s="117"/>
      <c r="G18" s="172"/>
      <c r="H18" s="146"/>
      <c r="I18" s="111"/>
      <c r="J18" s="175"/>
      <c r="K18" s="175"/>
      <c r="L18" s="175"/>
      <c r="M18" s="176"/>
      <c r="O18" s="135">
        <f t="shared" si="7"/>
        <v>0</v>
      </c>
      <c r="P18" s="117">
        <f t="shared" si="8"/>
        <v>0</v>
      </c>
      <c r="Q18" s="111">
        <f t="shared" si="9"/>
        <v>0</v>
      </c>
      <c r="R18" s="138">
        <f t="shared" si="10"/>
        <v>0</v>
      </c>
      <c r="S18" s="146">
        <f t="shared" si="0"/>
        <v>0</v>
      </c>
      <c r="T18" s="138">
        <f t="shared" si="1"/>
        <v>0</v>
      </c>
      <c r="U18" s="146">
        <f t="shared" si="2"/>
        <v>0</v>
      </c>
      <c r="V18" s="111">
        <f t="shared" si="3"/>
        <v>0</v>
      </c>
      <c r="W18" s="140">
        <f t="shared" si="4"/>
        <v>0</v>
      </c>
      <c r="X18" s="140">
        <f t="shared" si="11"/>
        <v>0</v>
      </c>
      <c r="Y18" s="140">
        <f t="shared" si="5"/>
        <v>0</v>
      </c>
      <c r="Z18" s="142">
        <f t="shared" si="6"/>
        <v>0</v>
      </c>
    </row>
    <row r="19" spans="2:26" x14ac:dyDescent="0.2">
      <c r="B19" s="135"/>
      <c r="C19" s="117"/>
      <c r="D19" s="146"/>
      <c r="E19" s="172"/>
      <c r="F19" s="117"/>
      <c r="G19" s="172"/>
      <c r="H19" s="146"/>
      <c r="I19" s="111"/>
      <c r="J19" s="172"/>
      <c r="K19" s="172"/>
      <c r="L19" s="175"/>
      <c r="M19" s="176"/>
      <c r="O19" s="135">
        <f t="shared" si="7"/>
        <v>0</v>
      </c>
      <c r="P19" s="117">
        <f t="shared" si="8"/>
        <v>0</v>
      </c>
      <c r="Q19" s="111">
        <f t="shared" si="9"/>
        <v>0</v>
      </c>
      <c r="R19" s="138">
        <f t="shared" si="10"/>
        <v>0</v>
      </c>
      <c r="S19" s="146">
        <f t="shared" si="0"/>
        <v>0</v>
      </c>
      <c r="T19" s="138">
        <f t="shared" si="1"/>
        <v>0</v>
      </c>
      <c r="U19" s="146">
        <f t="shared" si="2"/>
        <v>0</v>
      </c>
      <c r="V19" s="111">
        <f t="shared" si="3"/>
        <v>0</v>
      </c>
      <c r="W19" s="138">
        <f t="shared" si="4"/>
        <v>0</v>
      </c>
      <c r="X19" s="138">
        <f t="shared" si="11"/>
        <v>0</v>
      </c>
      <c r="Y19" s="140">
        <f t="shared" si="5"/>
        <v>0</v>
      </c>
      <c r="Z19" s="142">
        <f t="shared" si="6"/>
        <v>0</v>
      </c>
    </row>
    <row r="20" spans="2:26" x14ac:dyDescent="0.2">
      <c r="B20" s="135"/>
      <c r="C20" s="117"/>
      <c r="D20" s="146"/>
      <c r="E20" s="172"/>
      <c r="F20" s="117"/>
      <c r="G20" s="172"/>
      <c r="H20" s="146"/>
      <c r="I20" s="111"/>
      <c r="J20" s="175"/>
      <c r="K20" s="175"/>
      <c r="L20" s="175"/>
      <c r="M20" s="176"/>
      <c r="O20" s="135">
        <f t="shared" si="7"/>
        <v>0</v>
      </c>
      <c r="P20" s="117">
        <f t="shared" si="8"/>
        <v>0</v>
      </c>
      <c r="Q20" s="111">
        <f t="shared" si="9"/>
        <v>0</v>
      </c>
      <c r="R20" s="138">
        <f t="shared" si="10"/>
        <v>0</v>
      </c>
      <c r="S20" s="146">
        <f t="shared" si="0"/>
        <v>0</v>
      </c>
      <c r="T20" s="138">
        <f t="shared" si="1"/>
        <v>0</v>
      </c>
      <c r="U20" s="146">
        <f t="shared" si="2"/>
        <v>0</v>
      </c>
      <c r="V20" s="111">
        <f t="shared" si="3"/>
        <v>0</v>
      </c>
      <c r="W20" s="140">
        <f t="shared" si="4"/>
        <v>0</v>
      </c>
      <c r="X20" s="140">
        <f t="shared" si="11"/>
        <v>0</v>
      </c>
      <c r="Y20" s="140">
        <f t="shared" si="5"/>
        <v>0</v>
      </c>
      <c r="Z20" s="142">
        <f t="shared" si="6"/>
        <v>0</v>
      </c>
    </row>
    <row r="21" spans="2:26" x14ac:dyDescent="0.2">
      <c r="B21" s="135"/>
      <c r="C21" s="117"/>
      <c r="D21" s="146"/>
      <c r="E21" s="172"/>
      <c r="F21" s="117"/>
      <c r="G21" s="172"/>
      <c r="H21" s="146"/>
      <c r="I21" s="111"/>
      <c r="J21" s="175"/>
      <c r="K21" s="175"/>
      <c r="L21" s="175"/>
      <c r="M21" s="176"/>
      <c r="O21" s="135">
        <f t="shared" si="7"/>
        <v>0</v>
      </c>
      <c r="P21" s="117">
        <f t="shared" si="8"/>
        <v>0</v>
      </c>
      <c r="Q21" s="111">
        <f t="shared" si="9"/>
        <v>0</v>
      </c>
      <c r="R21" s="138">
        <f t="shared" si="10"/>
        <v>0</v>
      </c>
      <c r="S21" s="146">
        <f t="shared" si="0"/>
        <v>0</v>
      </c>
      <c r="T21" s="138">
        <f t="shared" si="1"/>
        <v>0</v>
      </c>
      <c r="U21" s="146">
        <f t="shared" si="2"/>
        <v>0</v>
      </c>
      <c r="V21" s="111">
        <f t="shared" si="3"/>
        <v>0</v>
      </c>
      <c r="W21" s="140">
        <f t="shared" si="4"/>
        <v>0</v>
      </c>
      <c r="X21" s="140">
        <f t="shared" si="11"/>
        <v>0</v>
      </c>
      <c r="Y21" s="140">
        <f t="shared" si="5"/>
        <v>0</v>
      </c>
      <c r="Z21" s="142">
        <f t="shared" si="6"/>
        <v>0</v>
      </c>
    </row>
    <row r="22" spans="2:26" ht="13.5" thickBot="1" x14ac:dyDescent="0.25">
      <c r="B22" s="136"/>
      <c r="C22" s="120"/>
      <c r="D22" s="121"/>
      <c r="E22" s="184"/>
      <c r="F22" s="122"/>
      <c r="G22" s="184"/>
      <c r="H22" s="121"/>
      <c r="I22" s="147"/>
      <c r="J22" s="184"/>
      <c r="K22" s="184"/>
      <c r="L22" s="184"/>
      <c r="M22" s="187"/>
      <c r="O22" s="136">
        <f t="shared" si="7"/>
        <v>0</v>
      </c>
      <c r="P22" s="120">
        <f t="shared" si="8"/>
        <v>0</v>
      </c>
      <c r="Q22" s="147">
        <f t="shared" si="9"/>
        <v>0</v>
      </c>
      <c r="R22" s="143">
        <f t="shared" si="10"/>
        <v>0</v>
      </c>
      <c r="S22" s="121">
        <f t="shared" si="0"/>
        <v>0</v>
      </c>
      <c r="T22" s="143">
        <f t="shared" si="1"/>
        <v>0</v>
      </c>
      <c r="U22" s="121">
        <f t="shared" si="2"/>
        <v>0</v>
      </c>
      <c r="V22" s="147">
        <f t="shared" si="3"/>
        <v>0</v>
      </c>
      <c r="W22" s="143">
        <f t="shared" si="4"/>
        <v>0</v>
      </c>
      <c r="X22" s="143">
        <f t="shared" si="11"/>
        <v>0</v>
      </c>
      <c r="Y22" s="143">
        <f t="shared" si="5"/>
        <v>0</v>
      </c>
      <c r="Z22" s="144">
        <f t="shared" si="6"/>
        <v>0</v>
      </c>
    </row>
    <row r="24" spans="2:26" x14ac:dyDescent="0.2">
      <c r="C24" s="91" t="s">
        <v>198</v>
      </c>
      <c r="P24" s="91" t="s">
        <v>198</v>
      </c>
    </row>
  </sheetData>
  <phoneticPr fontId="46" type="noConversion"/>
  <pageMargins left="0.75" right="0.75" top="1" bottom="1" header="0.5" footer="0.5"/>
  <pageSetup scale="68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B45"/>
  <sheetViews>
    <sheetView workbookViewId="0"/>
  </sheetViews>
  <sheetFormatPr defaultRowHeight="12.75" x14ac:dyDescent="0.2"/>
  <cols>
    <col min="1" max="1" width="4.42578125" customWidth="1"/>
    <col min="2" max="2" width="9.42578125" customWidth="1"/>
    <col min="3" max="3" width="6.5703125" customWidth="1"/>
    <col min="4" max="4" width="10.42578125" style="148" customWidth="1"/>
    <col min="5" max="5" width="10.42578125" style="149" customWidth="1"/>
    <col min="6" max="6" width="11.140625" customWidth="1"/>
    <col min="7" max="7" width="12.5703125" style="148" customWidth="1"/>
    <col min="8" max="8" width="10.85546875" customWidth="1"/>
    <col min="9" max="9" width="9.28515625" style="148" customWidth="1"/>
    <col min="10" max="10" width="11.85546875" style="148" customWidth="1"/>
    <col min="11" max="12" width="11.85546875" customWidth="1"/>
    <col min="13" max="13" width="10.7109375" customWidth="1"/>
    <col min="14" max="14" width="13" customWidth="1"/>
    <col min="17" max="17" width="6.28515625" customWidth="1"/>
    <col min="18" max="19" width="9.140625" style="148"/>
    <col min="20" max="20" width="12.140625" customWidth="1"/>
    <col min="21" max="21" width="11.7109375" customWidth="1"/>
    <col min="22" max="22" width="11.42578125" customWidth="1"/>
    <col min="23" max="23" width="12.5703125" customWidth="1"/>
    <col min="24" max="24" width="12" style="148" customWidth="1"/>
    <col min="25" max="25" width="10.85546875" customWidth="1"/>
    <col min="26" max="26" width="11.85546875" customWidth="1"/>
    <col min="27" max="27" width="12" customWidth="1"/>
    <col min="28" max="28" width="11.7109375" customWidth="1"/>
  </cols>
  <sheetData>
    <row r="1" spans="2:28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D1" s="153"/>
      <c r="E1" s="154"/>
      <c r="G1" s="153"/>
      <c r="I1" s="153"/>
      <c r="J1" s="153"/>
      <c r="P1" s="152" t="str">
        <f>B1</f>
        <v>Noble Drilling Services, Noble Homer Ferrington, East Breaks EB578</v>
      </c>
      <c r="R1" s="153"/>
      <c r="S1" s="153"/>
      <c r="X1" s="153"/>
    </row>
    <row r="2" spans="2:28" ht="21.75" customHeight="1" thickBot="1" x14ac:dyDescent="0.25"/>
    <row r="3" spans="2:28" ht="30.75" thickBot="1" x14ac:dyDescent="0.25">
      <c r="B3" s="132"/>
      <c r="C3" s="133"/>
      <c r="D3" s="130"/>
      <c r="E3" s="150"/>
      <c r="F3" s="133" t="s">
        <v>194</v>
      </c>
      <c r="G3" s="130"/>
      <c r="H3" s="130"/>
      <c r="I3" s="130"/>
      <c r="J3" s="130"/>
      <c r="K3" s="130"/>
      <c r="L3" s="130"/>
      <c r="M3" s="130"/>
      <c r="N3" s="131"/>
      <c r="P3" s="132"/>
      <c r="Q3" s="133"/>
      <c r="R3" s="130"/>
      <c r="S3" s="150"/>
      <c r="T3" s="133" t="s">
        <v>194</v>
      </c>
      <c r="U3" s="130"/>
      <c r="V3" s="130"/>
      <c r="W3" s="130"/>
      <c r="X3" s="130"/>
      <c r="Y3" s="130"/>
      <c r="Z3" s="130"/>
      <c r="AA3" s="130"/>
      <c r="AB3" s="131"/>
    </row>
    <row r="4" spans="2:28" ht="16.5" thickTop="1" x14ac:dyDescent="0.25">
      <c r="B4" s="64" t="s">
        <v>82</v>
      </c>
      <c r="C4" s="128" t="s">
        <v>196</v>
      </c>
      <c r="D4" s="74" t="s">
        <v>173</v>
      </c>
      <c r="E4" s="151" t="s">
        <v>174</v>
      </c>
      <c r="F4" s="74" t="s">
        <v>175</v>
      </c>
      <c r="G4" s="56" t="s">
        <v>177</v>
      </c>
      <c r="H4" s="127" t="s">
        <v>179</v>
      </c>
      <c r="I4" s="128" t="s">
        <v>180</v>
      </c>
      <c r="J4" s="119" t="s">
        <v>182</v>
      </c>
      <c r="K4" s="119" t="s">
        <v>185</v>
      </c>
      <c r="L4" s="56" t="s">
        <v>186</v>
      </c>
      <c r="M4" s="56" t="s">
        <v>188</v>
      </c>
      <c r="N4" s="126" t="s">
        <v>190</v>
      </c>
      <c r="P4" s="64" t="s">
        <v>82</v>
      </c>
      <c r="Q4" s="158" t="s">
        <v>196</v>
      </c>
      <c r="R4" s="74" t="s">
        <v>173</v>
      </c>
      <c r="S4" s="151" t="s">
        <v>174</v>
      </c>
      <c r="T4" s="74" t="s">
        <v>175</v>
      </c>
      <c r="U4" s="56" t="s">
        <v>177</v>
      </c>
      <c r="V4" s="127" t="s">
        <v>179</v>
      </c>
      <c r="W4" s="128" t="s">
        <v>180</v>
      </c>
      <c r="X4" s="119" t="s">
        <v>182</v>
      </c>
      <c r="Y4" s="119" t="s">
        <v>185</v>
      </c>
      <c r="Z4" s="56" t="s">
        <v>186</v>
      </c>
      <c r="AA4" s="56" t="s">
        <v>188</v>
      </c>
      <c r="AB4" s="126" t="s">
        <v>190</v>
      </c>
    </row>
    <row r="5" spans="2:28" ht="15.75" x14ac:dyDescent="0.25">
      <c r="B5" s="64" t="s">
        <v>162</v>
      </c>
      <c r="C5" s="74" t="s">
        <v>162</v>
      </c>
      <c r="D5" s="74"/>
      <c r="E5" s="151" t="s">
        <v>159</v>
      </c>
      <c r="F5" s="74"/>
      <c r="G5" s="56" t="s">
        <v>178</v>
      </c>
      <c r="H5" s="127"/>
      <c r="I5" s="74" t="s">
        <v>181</v>
      </c>
      <c r="J5" s="56" t="s">
        <v>183</v>
      </c>
      <c r="K5" s="56" t="s">
        <v>183</v>
      </c>
      <c r="L5" s="56" t="s">
        <v>187</v>
      </c>
      <c r="M5" s="56" t="s">
        <v>189</v>
      </c>
      <c r="N5" s="126" t="s">
        <v>191</v>
      </c>
      <c r="P5" s="64" t="s">
        <v>162</v>
      </c>
      <c r="Q5" s="74" t="s">
        <v>195</v>
      </c>
      <c r="R5" s="74"/>
      <c r="S5" s="151" t="s">
        <v>159</v>
      </c>
      <c r="T5" s="74"/>
      <c r="U5" s="56" t="s">
        <v>178</v>
      </c>
      <c r="V5" s="127"/>
      <c r="W5" s="74" t="s">
        <v>181</v>
      </c>
      <c r="X5" s="56" t="s">
        <v>183</v>
      </c>
      <c r="Y5" s="56" t="s">
        <v>183</v>
      </c>
      <c r="Z5" s="56" t="s">
        <v>187</v>
      </c>
      <c r="AA5" s="56" t="s">
        <v>189</v>
      </c>
      <c r="AB5" s="126" t="s">
        <v>191</v>
      </c>
    </row>
    <row r="6" spans="2:28" ht="15.75" x14ac:dyDescent="0.25">
      <c r="B6" s="64"/>
      <c r="C6" s="129"/>
      <c r="D6" s="74"/>
      <c r="E6" s="151" t="s">
        <v>154</v>
      </c>
      <c r="F6" s="74" t="s">
        <v>176</v>
      </c>
      <c r="G6" s="56" t="s">
        <v>156</v>
      </c>
      <c r="H6" s="127" t="s">
        <v>200</v>
      </c>
      <c r="I6" s="127" t="s">
        <v>200</v>
      </c>
      <c r="J6" s="56" t="s">
        <v>184</v>
      </c>
      <c r="K6" s="56" t="s">
        <v>184</v>
      </c>
      <c r="L6" s="56" t="s">
        <v>156</v>
      </c>
      <c r="M6" s="56" t="s">
        <v>154</v>
      </c>
      <c r="N6" s="126" t="s">
        <v>181</v>
      </c>
      <c r="P6" s="64"/>
      <c r="Q6" s="129"/>
      <c r="R6" s="74"/>
      <c r="S6" s="151" t="s">
        <v>141</v>
      </c>
      <c r="T6" s="74" t="s">
        <v>192</v>
      </c>
      <c r="U6" s="56" t="s">
        <v>172</v>
      </c>
      <c r="V6" s="127" t="s">
        <v>199</v>
      </c>
      <c r="W6" s="129" t="s">
        <v>199</v>
      </c>
      <c r="X6" s="56" t="s">
        <v>193</v>
      </c>
      <c r="Y6" s="56" t="s">
        <v>193</v>
      </c>
      <c r="Z6" s="56" t="s">
        <v>172</v>
      </c>
      <c r="AA6" s="56" t="s">
        <v>141</v>
      </c>
      <c r="AB6" s="126" t="s">
        <v>181</v>
      </c>
    </row>
    <row r="7" spans="2:28" x14ac:dyDescent="0.2">
      <c r="B7" s="134">
        <v>1</v>
      </c>
      <c r="C7" s="155"/>
      <c r="D7" s="116"/>
      <c r="E7" s="145"/>
      <c r="F7" s="159"/>
      <c r="G7" s="145"/>
      <c r="H7" s="159"/>
      <c r="I7" s="145"/>
      <c r="J7" s="145"/>
      <c r="K7" s="160"/>
      <c r="L7" s="160"/>
      <c r="M7" s="160"/>
      <c r="N7" s="161"/>
      <c r="P7" s="134">
        <f>B7</f>
        <v>1</v>
      </c>
      <c r="Q7" s="155">
        <f t="shared" ref="Q7:Q45" si="0">C7</f>
        <v>0</v>
      </c>
      <c r="R7" s="167">
        <f>D7</f>
        <v>0</v>
      </c>
      <c r="S7" s="145">
        <f>E7*0.3048</f>
        <v>0</v>
      </c>
      <c r="T7" s="159">
        <f>2.54*F7</f>
        <v>0</v>
      </c>
      <c r="U7" s="145">
        <f>G7*4.448222</f>
        <v>0</v>
      </c>
      <c r="V7" s="159">
        <f>H7*6894.757/1000</f>
        <v>0</v>
      </c>
      <c r="W7" s="145">
        <f>I7*6894.757/1000</f>
        <v>0</v>
      </c>
      <c r="X7" s="145">
        <f t="shared" ref="X7:X45" si="1">J7*4.448222/0.3048</f>
        <v>0</v>
      </c>
      <c r="Y7" s="160">
        <f>K7*4.448222/0.3048</f>
        <v>0</v>
      </c>
      <c r="Z7" s="160">
        <f>L7*4.448222/0.3048</f>
        <v>0</v>
      </c>
      <c r="AA7" s="160">
        <f>M7*0.3048</f>
        <v>0</v>
      </c>
      <c r="AB7" s="161">
        <f>N7</f>
        <v>0</v>
      </c>
    </row>
    <row r="8" spans="2:28" x14ac:dyDescent="0.2">
      <c r="B8" s="135">
        <v>2</v>
      </c>
      <c r="C8" s="156"/>
      <c r="D8" s="117"/>
      <c r="E8" s="146"/>
      <c r="F8" s="162"/>
      <c r="G8" s="146"/>
      <c r="H8" s="162"/>
      <c r="I8" s="146"/>
      <c r="J8" s="146"/>
      <c r="K8" s="163"/>
      <c r="L8" s="163"/>
      <c r="M8" s="163"/>
      <c r="N8" s="164"/>
      <c r="P8" s="135">
        <f>B8</f>
        <v>2</v>
      </c>
      <c r="Q8" s="156">
        <f t="shared" si="0"/>
        <v>0</v>
      </c>
      <c r="R8" s="168">
        <f>D8</f>
        <v>0</v>
      </c>
      <c r="S8" s="146">
        <f>E8*0.3048</f>
        <v>0</v>
      </c>
      <c r="T8" s="162">
        <f>2.54*F8</f>
        <v>0</v>
      </c>
      <c r="U8" s="146">
        <f>G8*4.448222</f>
        <v>0</v>
      </c>
      <c r="V8" s="162">
        <f t="shared" ref="V8:W44" si="2">H8*6894.757/1000</f>
        <v>0</v>
      </c>
      <c r="W8" s="146">
        <f t="shared" si="2"/>
        <v>0</v>
      </c>
      <c r="X8" s="146">
        <f t="shared" si="1"/>
        <v>0</v>
      </c>
      <c r="Y8" s="163">
        <f>K8*4.448222/0.3048</f>
        <v>0</v>
      </c>
      <c r="Z8" s="163">
        <f>L8*4.448222/0.3048</f>
        <v>0</v>
      </c>
      <c r="AA8" s="163">
        <f>M8*0.3048</f>
        <v>0</v>
      </c>
      <c r="AB8" s="164">
        <f>N8</f>
        <v>0</v>
      </c>
    </row>
    <row r="9" spans="2:28" x14ac:dyDescent="0.2">
      <c r="B9" s="135"/>
      <c r="C9" s="156"/>
      <c r="D9" s="117"/>
      <c r="E9" s="146"/>
      <c r="F9" s="162"/>
      <c r="G9" s="146"/>
      <c r="H9" s="162"/>
      <c r="I9" s="146"/>
      <c r="J9" s="146"/>
      <c r="K9" s="163"/>
      <c r="L9" s="163"/>
      <c r="M9" s="163"/>
      <c r="N9" s="164"/>
      <c r="P9" s="135">
        <f t="shared" ref="P9:P27" si="3">B9</f>
        <v>0</v>
      </c>
      <c r="Q9" s="156">
        <f t="shared" si="0"/>
        <v>0</v>
      </c>
      <c r="R9" s="168">
        <f t="shared" ref="R9:R27" si="4">D9</f>
        <v>0</v>
      </c>
      <c r="S9" s="146">
        <f t="shared" ref="S9:S27" si="5">E9*0.3048</f>
        <v>0</v>
      </c>
      <c r="T9" s="162">
        <f t="shared" ref="T9:T27" si="6">2.54*F9</f>
        <v>0</v>
      </c>
      <c r="U9" s="146">
        <f t="shared" ref="U9:U27" si="7">G9*4.448222</f>
        <v>0</v>
      </c>
      <c r="V9" s="162">
        <f t="shared" si="2"/>
        <v>0</v>
      </c>
      <c r="W9" s="146">
        <f t="shared" si="2"/>
        <v>0</v>
      </c>
      <c r="X9" s="146">
        <f t="shared" si="1"/>
        <v>0</v>
      </c>
      <c r="Y9" s="163">
        <f t="shared" ref="Y9:Y27" si="8">K9*4.448222/0.3048</f>
        <v>0</v>
      </c>
      <c r="Z9" s="163">
        <f t="shared" ref="Z9:Z27" si="9">L9*4.448222/0.3048</f>
        <v>0</v>
      </c>
      <c r="AA9" s="163">
        <f t="shared" ref="AA9:AA27" si="10">M9*0.3048</f>
        <v>0</v>
      </c>
      <c r="AB9" s="164">
        <f t="shared" ref="AB9:AB27" si="11">N9</f>
        <v>0</v>
      </c>
    </row>
    <row r="10" spans="2:28" x14ac:dyDescent="0.2">
      <c r="B10" s="135"/>
      <c r="C10" s="156"/>
      <c r="D10" s="117"/>
      <c r="E10" s="146"/>
      <c r="F10" s="162"/>
      <c r="G10" s="146"/>
      <c r="H10" s="162"/>
      <c r="I10" s="146"/>
      <c r="J10" s="146"/>
      <c r="K10" s="163"/>
      <c r="L10" s="163"/>
      <c r="M10" s="163"/>
      <c r="N10" s="164"/>
      <c r="P10" s="135">
        <f t="shared" si="3"/>
        <v>0</v>
      </c>
      <c r="Q10" s="156">
        <f t="shared" si="0"/>
        <v>0</v>
      </c>
      <c r="R10" s="168">
        <f t="shared" si="4"/>
        <v>0</v>
      </c>
      <c r="S10" s="146">
        <f t="shared" si="5"/>
        <v>0</v>
      </c>
      <c r="T10" s="162">
        <f t="shared" si="6"/>
        <v>0</v>
      </c>
      <c r="U10" s="146">
        <f t="shared" si="7"/>
        <v>0</v>
      </c>
      <c r="V10" s="162">
        <f t="shared" si="2"/>
        <v>0</v>
      </c>
      <c r="W10" s="146">
        <f t="shared" si="2"/>
        <v>0</v>
      </c>
      <c r="X10" s="146">
        <f t="shared" si="1"/>
        <v>0</v>
      </c>
      <c r="Y10" s="163">
        <f t="shared" si="8"/>
        <v>0</v>
      </c>
      <c r="Z10" s="163">
        <f t="shared" si="9"/>
        <v>0</v>
      </c>
      <c r="AA10" s="163">
        <f t="shared" si="10"/>
        <v>0</v>
      </c>
      <c r="AB10" s="164">
        <f t="shared" si="11"/>
        <v>0</v>
      </c>
    </row>
    <row r="11" spans="2:28" x14ac:dyDescent="0.2">
      <c r="B11" s="135"/>
      <c r="C11" s="156"/>
      <c r="D11" s="117"/>
      <c r="E11" s="146"/>
      <c r="F11" s="162"/>
      <c r="G11" s="146"/>
      <c r="H11" s="162"/>
      <c r="I11" s="146"/>
      <c r="J11" s="146"/>
      <c r="K11" s="163"/>
      <c r="L11" s="163"/>
      <c r="M11" s="163"/>
      <c r="N11" s="164"/>
      <c r="P11" s="135">
        <f t="shared" si="3"/>
        <v>0</v>
      </c>
      <c r="Q11" s="156">
        <f t="shared" si="0"/>
        <v>0</v>
      </c>
      <c r="R11" s="168">
        <f t="shared" si="4"/>
        <v>0</v>
      </c>
      <c r="S11" s="146">
        <f t="shared" si="5"/>
        <v>0</v>
      </c>
      <c r="T11" s="162">
        <f t="shared" si="6"/>
        <v>0</v>
      </c>
      <c r="U11" s="146">
        <f t="shared" si="7"/>
        <v>0</v>
      </c>
      <c r="V11" s="162">
        <f t="shared" si="2"/>
        <v>0</v>
      </c>
      <c r="W11" s="146">
        <f t="shared" si="2"/>
        <v>0</v>
      </c>
      <c r="X11" s="146">
        <f t="shared" si="1"/>
        <v>0</v>
      </c>
      <c r="Y11" s="163">
        <f t="shared" si="8"/>
        <v>0</v>
      </c>
      <c r="Z11" s="163">
        <f t="shared" si="9"/>
        <v>0</v>
      </c>
      <c r="AA11" s="163">
        <f t="shared" si="10"/>
        <v>0</v>
      </c>
      <c r="AB11" s="164">
        <f t="shared" si="11"/>
        <v>0</v>
      </c>
    </row>
    <row r="12" spans="2:28" x14ac:dyDescent="0.2">
      <c r="B12" s="135"/>
      <c r="C12" s="156"/>
      <c r="D12" s="117"/>
      <c r="E12" s="146"/>
      <c r="F12" s="162"/>
      <c r="G12" s="146"/>
      <c r="H12" s="162"/>
      <c r="I12" s="146"/>
      <c r="J12" s="146"/>
      <c r="K12" s="163"/>
      <c r="L12" s="163"/>
      <c r="M12" s="163"/>
      <c r="N12" s="164"/>
      <c r="P12" s="135">
        <f t="shared" si="3"/>
        <v>0</v>
      </c>
      <c r="Q12" s="156">
        <f t="shared" si="0"/>
        <v>0</v>
      </c>
      <c r="R12" s="168">
        <f t="shared" si="4"/>
        <v>0</v>
      </c>
      <c r="S12" s="146">
        <f t="shared" si="5"/>
        <v>0</v>
      </c>
      <c r="T12" s="162">
        <f t="shared" si="6"/>
        <v>0</v>
      </c>
      <c r="U12" s="146">
        <f t="shared" si="7"/>
        <v>0</v>
      </c>
      <c r="V12" s="162">
        <f t="shared" si="2"/>
        <v>0</v>
      </c>
      <c r="W12" s="146">
        <f t="shared" si="2"/>
        <v>0</v>
      </c>
      <c r="X12" s="146">
        <f t="shared" si="1"/>
        <v>0</v>
      </c>
      <c r="Y12" s="163">
        <f t="shared" si="8"/>
        <v>0</v>
      </c>
      <c r="Z12" s="163">
        <f t="shared" si="9"/>
        <v>0</v>
      </c>
      <c r="AA12" s="163">
        <f t="shared" si="10"/>
        <v>0</v>
      </c>
      <c r="AB12" s="164">
        <f t="shared" si="11"/>
        <v>0</v>
      </c>
    </row>
    <row r="13" spans="2:28" x14ac:dyDescent="0.2">
      <c r="B13" s="135"/>
      <c r="C13" s="156"/>
      <c r="D13" s="117"/>
      <c r="E13" s="146"/>
      <c r="F13" s="162"/>
      <c r="G13" s="146"/>
      <c r="H13" s="162"/>
      <c r="I13" s="146"/>
      <c r="J13" s="146"/>
      <c r="K13" s="163"/>
      <c r="L13" s="163"/>
      <c r="M13" s="163"/>
      <c r="N13" s="164"/>
      <c r="P13" s="135">
        <f t="shared" si="3"/>
        <v>0</v>
      </c>
      <c r="Q13" s="156">
        <f t="shared" si="0"/>
        <v>0</v>
      </c>
      <c r="R13" s="168">
        <f t="shared" si="4"/>
        <v>0</v>
      </c>
      <c r="S13" s="146">
        <f t="shared" si="5"/>
        <v>0</v>
      </c>
      <c r="T13" s="162">
        <f t="shared" si="6"/>
        <v>0</v>
      </c>
      <c r="U13" s="146">
        <f t="shared" si="7"/>
        <v>0</v>
      </c>
      <c r="V13" s="162">
        <f t="shared" si="2"/>
        <v>0</v>
      </c>
      <c r="W13" s="146">
        <f t="shared" si="2"/>
        <v>0</v>
      </c>
      <c r="X13" s="146">
        <f t="shared" si="1"/>
        <v>0</v>
      </c>
      <c r="Y13" s="163">
        <f t="shared" si="8"/>
        <v>0</v>
      </c>
      <c r="Z13" s="163">
        <f t="shared" si="9"/>
        <v>0</v>
      </c>
      <c r="AA13" s="163">
        <f t="shared" si="10"/>
        <v>0</v>
      </c>
      <c r="AB13" s="164">
        <f t="shared" si="11"/>
        <v>0</v>
      </c>
    </row>
    <row r="14" spans="2:28" x14ac:dyDescent="0.2">
      <c r="B14" s="135"/>
      <c r="C14" s="156"/>
      <c r="D14" s="117"/>
      <c r="E14" s="146"/>
      <c r="F14" s="162"/>
      <c r="G14" s="146"/>
      <c r="H14" s="162"/>
      <c r="I14" s="146"/>
      <c r="J14" s="146"/>
      <c r="K14" s="163"/>
      <c r="L14" s="163"/>
      <c r="M14" s="163"/>
      <c r="N14" s="164"/>
      <c r="P14" s="135">
        <f t="shared" si="3"/>
        <v>0</v>
      </c>
      <c r="Q14" s="156">
        <f t="shared" si="0"/>
        <v>0</v>
      </c>
      <c r="R14" s="168">
        <f t="shared" si="4"/>
        <v>0</v>
      </c>
      <c r="S14" s="146">
        <f t="shared" si="5"/>
        <v>0</v>
      </c>
      <c r="T14" s="162">
        <f t="shared" si="6"/>
        <v>0</v>
      </c>
      <c r="U14" s="146">
        <f t="shared" si="7"/>
        <v>0</v>
      </c>
      <c r="V14" s="162">
        <f t="shared" si="2"/>
        <v>0</v>
      </c>
      <c r="W14" s="146">
        <f t="shared" si="2"/>
        <v>0</v>
      </c>
      <c r="X14" s="146">
        <f t="shared" si="1"/>
        <v>0</v>
      </c>
      <c r="Y14" s="163">
        <f t="shared" si="8"/>
        <v>0</v>
      </c>
      <c r="Z14" s="163">
        <f t="shared" si="9"/>
        <v>0</v>
      </c>
      <c r="AA14" s="163">
        <f t="shared" si="10"/>
        <v>0</v>
      </c>
      <c r="AB14" s="164">
        <f t="shared" si="11"/>
        <v>0</v>
      </c>
    </row>
    <row r="15" spans="2:28" x14ac:dyDescent="0.2">
      <c r="B15" s="135"/>
      <c r="C15" s="156"/>
      <c r="D15" s="117"/>
      <c r="E15" s="146"/>
      <c r="F15" s="162"/>
      <c r="G15" s="146"/>
      <c r="H15" s="162"/>
      <c r="I15" s="146"/>
      <c r="J15" s="146"/>
      <c r="K15" s="163"/>
      <c r="L15" s="163"/>
      <c r="M15" s="163"/>
      <c r="N15" s="164"/>
      <c r="P15" s="135">
        <f t="shared" si="3"/>
        <v>0</v>
      </c>
      <c r="Q15" s="156">
        <f t="shared" si="0"/>
        <v>0</v>
      </c>
      <c r="R15" s="168">
        <f t="shared" si="4"/>
        <v>0</v>
      </c>
      <c r="S15" s="146">
        <f t="shared" si="5"/>
        <v>0</v>
      </c>
      <c r="T15" s="162">
        <f t="shared" si="6"/>
        <v>0</v>
      </c>
      <c r="U15" s="146">
        <f t="shared" si="7"/>
        <v>0</v>
      </c>
      <c r="V15" s="162">
        <f t="shared" si="2"/>
        <v>0</v>
      </c>
      <c r="W15" s="146">
        <f t="shared" si="2"/>
        <v>0</v>
      </c>
      <c r="X15" s="146">
        <f t="shared" si="1"/>
        <v>0</v>
      </c>
      <c r="Y15" s="163">
        <f t="shared" si="8"/>
        <v>0</v>
      </c>
      <c r="Z15" s="163">
        <f t="shared" si="9"/>
        <v>0</v>
      </c>
      <c r="AA15" s="163">
        <f t="shared" si="10"/>
        <v>0</v>
      </c>
      <c r="AB15" s="164">
        <f t="shared" si="11"/>
        <v>0</v>
      </c>
    </row>
    <row r="16" spans="2:28" x14ac:dyDescent="0.2">
      <c r="B16" s="135"/>
      <c r="C16" s="156"/>
      <c r="D16" s="117"/>
      <c r="E16" s="146"/>
      <c r="F16" s="162"/>
      <c r="G16" s="146"/>
      <c r="H16" s="162"/>
      <c r="I16" s="146"/>
      <c r="J16" s="146"/>
      <c r="K16" s="163"/>
      <c r="L16" s="163"/>
      <c r="M16" s="163"/>
      <c r="N16" s="164"/>
      <c r="P16" s="135">
        <f t="shared" si="3"/>
        <v>0</v>
      </c>
      <c r="Q16" s="156">
        <f t="shared" si="0"/>
        <v>0</v>
      </c>
      <c r="R16" s="168">
        <f t="shared" si="4"/>
        <v>0</v>
      </c>
      <c r="S16" s="146">
        <f t="shared" si="5"/>
        <v>0</v>
      </c>
      <c r="T16" s="162">
        <f t="shared" si="6"/>
        <v>0</v>
      </c>
      <c r="U16" s="146">
        <f t="shared" si="7"/>
        <v>0</v>
      </c>
      <c r="V16" s="162">
        <f t="shared" si="2"/>
        <v>0</v>
      </c>
      <c r="W16" s="146">
        <f t="shared" si="2"/>
        <v>0</v>
      </c>
      <c r="X16" s="146">
        <f t="shared" si="1"/>
        <v>0</v>
      </c>
      <c r="Y16" s="163">
        <f t="shared" si="8"/>
        <v>0</v>
      </c>
      <c r="Z16" s="163">
        <f t="shared" si="9"/>
        <v>0</v>
      </c>
      <c r="AA16" s="163">
        <f t="shared" si="10"/>
        <v>0</v>
      </c>
      <c r="AB16" s="164">
        <f t="shared" si="11"/>
        <v>0</v>
      </c>
    </row>
    <row r="17" spans="2:28" x14ac:dyDescent="0.2">
      <c r="B17" s="135"/>
      <c r="C17" s="156"/>
      <c r="D17" s="117"/>
      <c r="E17" s="146"/>
      <c r="F17" s="162"/>
      <c r="G17" s="146"/>
      <c r="H17" s="162"/>
      <c r="I17" s="146"/>
      <c r="J17" s="146"/>
      <c r="K17" s="163"/>
      <c r="L17" s="163"/>
      <c r="M17" s="163"/>
      <c r="N17" s="164"/>
      <c r="P17" s="135">
        <f t="shared" si="3"/>
        <v>0</v>
      </c>
      <c r="Q17" s="156">
        <f t="shared" si="0"/>
        <v>0</v>
      </c>
      <c r="R17" s="168">
        <f t="shared" si="4"/>
        <v>0</v>
      </c>
      <c r="S17" s="146">
        <f t="shared" si="5"/>
        <v>0</v>
      </c>
      <c r="T17" s="162">
        <f t="shared" si="6"/>
        <v>0</v>
      </c>
      <c r="U17" s="146">
        <f t="shared" si="7"/>
        <v>0</v>
      </c>
      <c r="V17" s="162">
        <f t="shared" si="2"/>
        <v>0</v>
      </c>
      <c r="W17" s="146">
        <f t="shared" si="2"/>
        <v>0</v>
      </c>
      <c r="X17" s="146">
        <f t="shared" si="1"/>
        <v>0</v>
      </c>
      <c r="Y17" s="163">
        <f t="shared" si="8"/>
        <v>0</v>
      </c>
      <c r="Z17" s="163">
        <f t="shared" si="9"/>
        <v>0</v>
      </c>
      <c r="AA17" s="163">
        <f t="shared" si="10"/>
        <v>0</v>
      </c>
      <c r="AB17" s="164">
        <f t="shared" si="11"/>
        <v>0</v>
      </c>
    </row>
    <row r="18" spans="2:28" x14ac:dyDescent="0.2">
      <c r="B18" s="135"/>
      <c r="C18" s="156"/>
      <c r="D18" s="117"/>
      <c r="E18" s="146"/>
      <c r="F18" s="162"/>
      <c r="G18" s="146"/>
      <c r="H18" s="162"/>
      <c r="I18" s="146"/>
      <c r="J18" s="146"/>
      <c r="K18" s="163"/>
      <c r="L18" s="163"/>
      <c r="M18" s="163"/>
      <c r="N18" s="164"/>
      <c r="P18" s="135">
        <f t="shared" si="3"/>
        <v>0</v>
      </c>
      <c r="Q18" s="156">
        <f t="shared" si="0"/>
        <v>0</v>
      </c>
      <c r="R18" s="168">
        <f t="shared" si="4"/>
        <v>0</v>
      </c>
      <c r="S18" s="146">
        <f t="shared" si="5"/>
        <v>0</v>
      </c>
      <c r="T18" s="162">
        <f t="shared" si="6"/>
        <v>0</v>
      </c>
      <c r="U18" s="146">
        <f t="shared" si="7"/>
        <v>0</v>
      </c>
      <c r="V18" s="162">
        <f t="shared" si="2"/>
        <v>0</v>
      </c>
      <c r="W18" s="146">
        <f t="shared" si="2"/>
        <v>0</v>
      </c>
      <c r="X18" s="146">
        <f t="shared" si="1"/>
        <v>0</v>
      </c>
      <c r="Y18" s="163">
        <f t="shared" si="8"/>
        <v>0</v>
      </c>
      <c r="Z18" s="163">
        <f t="shared" si="9"/>
        <v>0</v>
      </c>
      <c r="AA18" s="163">
        <f t="shared" si="10"/>
        <v>0</v>
      </c>
      <c r="AB18" s="164">
        <f t="shared" si="11"/>
        <v>0</v>
      </c>
    </row>
    <row r="19" spans="2:28" x14ac:dyDescent="0.2">
      <c r="B19" s="135"/>
      <c r="C19" s="156"/>
      <c r="D19" s="117"/>
      <c r="E19" s="146"/>
      <c r="F19" s="162"/>
      <c r="G19" s="146"/>
      <c r="H19" s="162"/>
      <c r="I19" s="146"/>
      <c r="J19" s="146"/>
      <c r="K19" s="163"/>
      <c r="L19" s="163"/>
      <c r="M19" s="163"/>
      <c r="N19" s="164"/>
      <c r="P19" s="135">
        <f t="shared" si="3"/>
        <v>0</v>
      </c>
      <c r="Q19" s="156">
        <f t="shared" si="0"/>
        <v>0</v>
      </c>
      <c r="R19" s="168">
        <f t="shared" si="4"/>
        <v>0</v>
      </c>
      <c r="S19" s="146">
        <f t="shared" si="5"/>
        <v>0</v>
      </c>
      <c r="T19" s="162">
        <f t="shared" si="6"/>
        <v>0</v>
      </c>
      <c r="U19" s="146">
        <f t="shared" si="7"/>
        <v>0</v>
      </c>
      <c r="V19" s="162">
        <f t="shared" si="2"/>
        <v>0</v>
      </c>
      <c r="W19" s="146">
        <f t="shared" si="2"/>
        <v>0</v>
      </c>
      <c r="X19" s="146">
        <f t="shared" si="1"/>
        <v>0</v>
      </c>
      <c r="Y19" s="163">
        <f t="shared" si="8"/>
        <v>0</v>
      </c>
      <c r="Z19" s="163">
        <f t="shared" si="9"/>
        <v>0</v>
      </c>
      <c r="AA19" s="163">
        <f t="shared" si="10"/>
        <v>0</v>
      </c>
      <c r="AB19" s="164">
        <f t="shared" si="11"/>
        <v>0</v>
      </c>
    </row>
    <row r="20" spans="2:28" x14ac:dyDescent="0.2">
      <c r="B20" s="135"/>
      <c r="C20" s="156"/>
      <c r="D20" s="117"/>
      <c r="E20" s="146"/>
      <c r="F20" s="162"/>
      <c r="G20" s="146"/>
      <c r="H20" s="162"/>
      <c r="I20" s="146"/>
      <c r="J20" s="146"/>
      <c r="K20" s="163"/>
      <c r="L20" s="163"/>
      <c r="M20" s="163"/>
      <c r="N20" s="164"/>
      <c r="P20" s="135">
        <f t="shared" si="3"/>
        <v>0</v>
      </c>
      <c r="Q20" s="156">
        <f t="shared" si="0"/>
        <v>0</v>
      </c>
      <c r="R20" s="168">
        <f t="shared" si="4"/>
        <v>0</v>
      </c>
      <c r="S20" s="146">
        <f t="shared" si="5"/>
        <v>0</v>
      </c>
      <c r="T20" s="162">
        <f t="shared" si="6"/>
        <v>0</v>
      </c>
      <c r="U20" s="146">
        <f t="shared" si="7"/>
        <v>0</v>
      </c>
      <c r="V20" s="162">
        <f t="shared" si="2"/>
        <v>0</v>
      </c>
      <c r="W20" s="146">
        <f t="shared" si="2"/>
        <v>0</v>
      </c>
      <c r="X20" s="146">
        <f t="shared" si="1"/>
        <v>0</v>
      </c>
      <c r="Y20" s="163">
        <f t="shared" si="8"/>
        <v>0</v>
      </c>
      <c r="Z20" s="163">
        <f t="shared" si="9"/>
        <v>0</v>
      </c>
      <c r="AA20" s="163">
        <f t="shared" si="10"/>
        <v>0</v>
      </c>
      <c r="AB20" s="164">
        <f t="shared" si="11"/>
        <v>0</v>
      </c>
    </row>
    <row r="21" spans="2:28" x14ac:dyDescent="0.2">
      <c r="B21" s="135"/>
      <c r="C21" s="156"/>
      <c r="D21" s="117"/>
      <c r="E21" s="146"/>
      <c r="F21" s="162"/>
      <c r="G21" s="146"/>
      <c r="H21" s="162"/>
      <c r="I21" s="146"/>
      <c r="J21" s="146"/>
      <c r="K21" s="163"/>
      <c r="L21" s="163"/>
      <c r="M21" s="163"/>
      <c r="N21" s="164"/>
      <c r="P21" s="135">
        <f t="shared" si="3"/>
        <v>0</v>
      </c>
      <c r="Q21" s="156">
        <f t="shared" si="0"/>
        <v>0</v>
      </c>
      <c r="R21" s="168">
        <f t="shared" si="4"/>
        <v>0</v>
      </c>
      <c r="S21" s="146">
        <f t="shared" si="5"/>
        <v>0</v>
      </c>
      <c r="T21" s="162">
        <f t="shared" si="6"/>
        <v>0</v>
      </c>
      <c r="U21" s="146">
        <f t="shared" si="7"/>
        <v>0</v>
      </c>
      <c r="V21" s="162">
        <f t="shared" si="2"/>
        <v>0</v>
      </c>
      <c r="W21" s="146">
        <f t="shared" si="2"/>
        <v>0</v>
      </c>
      <c r="X21" s="146">
        <f t="shared" si="1"/>
        <v>0</v>
      </c>
      <c r="Y21" s="163">
        <f t="shared" si="8"/>
        <v>0</v>
      </c>
      <c r="Z21" s="163">
        <f t="shared" si="9"/>
        <v>0</v>
      </c>
      <c r="AA21" s="163">
        <f t="shared" si="10"/>
        <v>0</v>
      </c>
      <c r="AB21" s="164">
        <f t="shared" si="11"/>
        <v>0</v>
      </c>
    </row>
    <row r="22" spans="2:28" x14ac:dyDescent="0.2">
      <c r="B22" s="135"/>
      <c r="C22" s="156"/>
      <c r="D22" s="117"/>
      <c r="E22" s="146"/>
      <c r="F22" s="162"/>
      <c r="G22" s="146"/>
      <c r="H22" s="162"/>
      <c r="I22" s="146"/>
      <c r="J22" s="146"/>
      <c r="K22" s="163"/>
      <c r="L22" s="163"/>
      <c r="M22" s="163"/>
      <c r="N22" s="164"/>
      <c r="P22" s="135">
        <f t="shared" si="3"/>
        <v>0</v>
      </c>
      <c r="Q22" s="156">
        <f t="shared" si="0"/>
        <v>0</v>
      </c>
      <c r="R22" s="168">
        <f t="shared" si="4"/>
        <v>0</v>
      </c>
      <c r="S22" s="146">
        <f t="shared" si="5"/>
        <v>0</v>
      </c>
      <c r="T22" s="162">
        <f t="shared" si="6"/>
        <v>0</v>
      </c>
      <c r="U22" s="146">
        <f t="shared" si="7"/>
        <v>0</v>
      </c>
      <c r="V22" s="162">
        <f t="shared" si="2"/>
        <v>0</v>
      </c>
      <c r="W22" s="146">
        <f t="shared" si="2"/>
        <v>0</v>
      </c>
      <c r="X22" s="146">
        <f t="shared" si="1"/>
        <v>0</v>
      </c>
      <c r="Y22" s="163">
        <f t="shared" si="8"/>
        <v>0</v>
      </c>
      <c r="Z22" s="163">
        <f t="shared" si="9"/>
        <v>0</v>
      </c>
      <c r="AA22" s="163">
        <f t="shared" si="10"/>
        <v>0</v>
      </c>
      <c r="AB22" s="164">
        <f t="shared" si="11"/>
        <v>0</v>
      </c>
    </row>
    <row r="23" spans="2:28" x14ac:dyDescent="0.2">
      <c r="B23" s="135"/>
      <c r="C23" s="156"/>
      <c r="D23" s="117"/>
      <c r="E23" s="146"/>
      <c r="F23" s="162"/>
      <c r="G23" s="146"/>
      <c r="H23" s="162"/>
      <c r="I23" s="146"/>
      <c r="J23" s="146"/>
      <c r="K23" s="163"/>
      <c r="L23" s="163"/>
      <c r="M23" s="163"/>
      <c r="N23" s="164"/>
      <c r="P23" s="135">
        <f t="shared" si="3"/>
        <v>0</v>
      </c>
      <c r="Q23" s="156">
        <f t="shared" si="0"/>
        <v>0</v>
      </c>
      <c r="R23" s="168">
        <f t="shared" si="4"/>
        <v>0</v>
      </c>
      <c r="S23" s="146">
        <f t="shared" si="5"/>
        <v>0</v>
      </c>
      <c r="T23" s="162">
        <f t="shared" si="6"/>
        <v>0</v>
      </c>
      <c r="U23" s="146">
        <f t="shared" si="7"/>
        <v>0</v>
      </c>
      <c r="V23" s="162">
        <f t="shared" si="2"/>
        <v>0</v>
      </c>
      <c r="W23" s="146">
        <f t="shared" si="2"/>
        <v>0</v>
      </c>
      <c r="X23" s="146">
        <f t="shared" si="1"/>
        <v>0</v>
      </c>
      <c r="Y23" s="163">
        <f t="shared" si="8"/>
        <v>0</v>
      </c>
      <c r="Z23" s="163">
        <f t="shared" si="9"/>
        <v>0</v>
      </c>
      <c r="AA23" s="163">
        <f t="shared" si="10"/>
        <v>0</v>
      </c>
      <c r="AB23" s="164">
        <f t="shared" si="11"/>
        <v>0</v>
      </c>
    </row>
    <row r="24" spans="2:28" x14ac:dyDescent="0.2">
      <c r="B24" s="135"/>
      <c r="C24" s="156"/>
      <c r="D24" s="117"/>
      <c r="E24" s="146"/>
      <c r="F24" s="162"/>
      <c r="G24" s="146"/>
      <c r="H24" s="162"/>
      <c r="I24" s="146"/>
      <c r="J24" s="146"/>
      <c r="K24" s="163"/>
      <c r="L24" s="163"/>
      <c r="M24" s="163"/>
      <c r="N24" s="164"/>
      <c r="P24" s="135">
        <f t="shared" si="3"/>
        <v>0</v>
      </c>
      <c r="Q24" s="156">
        <f t="shared" si="0"/>
        <v>0</v>
      </c>
      <c r="R24" s="168">
        <f t="shared" si="4"/>
        <v>0</v>
      </c>
      <c r="S24" s="146">
        <f t="shared" si="5"/>
        <v>0</v>
      </c>
      <c r="T24" s="162">
        <f t="shared" si="6"/>
        <v>0</v>
      </c>
      <c r="U24" s="146">
        <f t="shared" si="7"/>
        <v>0</v>
      </c>
      <c r="V24" s="162">
        <f t="shared" si="2"/>
        <v>0</v>
      </c>
      <c r="W24" s="146">
        <f t="shared" si="2"/>
        <v>0</v>
      </c>
      <c r="X24" s="146">
        <f t="shared" si="1"/>
        <v>0</v>
      </c>
      <c r="Y24" s="163">
        <f t="shared" si="8"/>
        <v>0</v>
      </c>
      <c r="Z24" s="163">
        <f t="shared" si="9"/>
        <v>0</v>
      </c>
      <c r="AA24" s="163">
        <f t="shared" si="10"/>
        <v>0</v>
      </c>
      <c r="AB24" s="164">
        <f t="shared" si="11"/>
        <v>0</v>
      </c>
    </row>
    <row r="25" spans="2:28" x14ac:dyDescent="0.2">
      <c r="B25" s="135"/>
      <c r="C25" s="156"/>
      <c r="D25" s="117"/>
      <c r="E25" s="146"/>
      <c r="F25" s="162"/>
      <c r="G25" s="146"/>
      <c r="H25" s="162"/>
      <c r="I25" s="146"/>
      <c r="J25" s="146"/>
      <c r="K25" s="163"/>
      <c r="L25" s="163"/>
      <c r="M25" s="163"/>
      <c r="N25" s="164"/>
      <c r="P25" s="135">
        <f t="shared" si="3"/>
        <v>0</v>
      </c>
      <c r="Q25" s="156">
        <f t="shared" si="0"/>
        <v>0</v>
      </c>
      <c r="R25" s="168">
        <f t="shared" si="4"/>
        <v>0</v>
      </c>
      <c r="S25" s="146">
        <f t="shared" si="5"/>
        <v>0</v>
      </c>
      <c r="T25" s="162">
        <f t="shared" si="6"/>
        <v>0</v>
      </c>
      <c r="U25" s="146">
        <f t="shared" si="7"/>
        <v>0</v>
      </c>
      <c r="V25" s="162">
        <f t="shared" si="2"/>
        <v>0</v>
      </c>
      <c r="W25" s="146">
        <f t="shared" si="2"/>
        <v>0</v>
      </c>
      <c r="X25" s="146">
        <f t="shared" si="1"/>
        <v>0</v>
      </c>
      <c r="Y25" s="163">
        <f t="shared" si="8"/>
        <v>0</v>
      </c>
      <c r="Z25" s="163">
        <f t="shared" si="9"/>
        <v>0</v>
      </c>
      <c r="AA25" s="163">
        <f t="shared" si="10"/>
        <v>0</v>
      </c>
      <c r="AB25" s="164">
        <f t="shared" si="11"/>
        <v>0</v>
      </c>
    </row>
    <row r="26" spans="2:28" x14ac:dyDescent="0.2">
      <c r="B26" s="135"/>
      <c r="C26" s="156"/>
      <c r="D26" s="117"/>
      <c r="E26" s="146"/>
      <c r="F26" s="162"/>
      <c r="G26" s="146"/>
      <c r="H26" s="162"/>
      <c r="I26" s="146"/>
      <c r="J26" s="146"/>
      <c r="K26" s="163"/>
      <c r="L26" s="163"/>
      <c r="M26" s="163"/>
      <c r="N26" s="164"/>
      <c r="P26" s="135">
        <f t="shared" si="3"/>
        <v>0</v>
      </c>
      <c r="Q26" s="156">
        <f t="shared" si="0"/>
        <v>0</v>
      </c>
      <c r="R26" s="168">
        <f t="shared" si="4"/>
        <v>0</v>
      </c>
      <c r="S26" s="146">
        <f t="shared" si="5"/>
        <v>0</v>
      </c>
      <c r="T26" s="162">
        <f t="shared" si="6"/>
        <v>0</v>
      </c>
      <c r="U26" s="146">
        <f t="shared" si="7"/>
        <v>0</v>
      </c>
      <c r="V26" s="162">
        <f t="shared" si="2"/>
        <v>0</v>
      </c>
      <c r="W26" s="146">
        <f t="shared" si="2"/>
        <v>0</v>
      </c>
      <c r="X26" s="146">
        <f t="shared" si="1"/>
        <v>0</v>
      </c>
      <c r="Y26" s="163">
        <f t="shared" si="8"/>
        <v>0</v>
      </c>
      <c r="Z26" s="163">
        <f t="shared" si="9"/>
        <v>0</v>
      </c>
      <c r="AA26" s="163">
        <f t="shared" si="10"/>
        <v>0</v>
      </c>
      <c r="AB26" s="164">
        <f t="shared" si="11"/>
        <v>0</v>
      </c>
    </row>
    <row r="27" spans="2:28" x14ac:dyDescent="0.2">
      <c r="B27" s="135"/>
      <c r="C27" s="156"/>
      <c r="D27" s="117"/>
      <c r="E27" s="146"/>
      <c r="F27" s="162"/>
      <c r="G27" s="146"/>
      <c r="H27" s="162"/>
      <c r="I27" s="146"/>
      <c r="J27" s="146"/>
      <c r="K27" s="163"/>
      <c r="L27" s="163"/>
      <c r="M27" s="163"/>
      <c r="N27" s="164"/>
      <c r="P27" s="135">
        <f t="shared" si="3"/>
        <v>0</v>
      </c>
      <c r="Q27" s="156">
        <f t="shared" si="0"/>
        <v>0</v>
      </c>
      <c r="R27" s="168">
        <f t="shared" si="4"/>
        <v>0</v>
      </c>
      <c r="S27" s="146">
        <f t="shared" si="5"/>
        <v>0</v>
      </c>
      <c r="T27" s="162">
        <f t="shared" si="6"/>
        <v>0</v>
      </c>
      <c r="U27" s="146">
        <f t="shared" si="7"/>
        <v>0</v>
      </c>
      <c r="V27" s="162">
        <f t="shared" si="2"/>
        <v>0</v>
      </c>
      <c r="W27" s="146">
        <f t="shared" si="2"/>
        <v>0</v>
      </c>
      <c r="X27" s="146">
        <f t="shared" si="1"/>
        <v>0</v>
      </c>
      <c r="Y27" s="163">
        <f t="shared" si="8"/>
        <v>0</v>
      </c>
      <c r="Z27" s="163">
        <f t="shared" si="9"/>
        <v>0</v>
      </c>
      <c r="AA27" s="163">
        <f t="shared" si="10"/>
        <v>0</v>
      </c>
      <c r="AB27" s="164">
        <f t="shared" si="11"/>
        <v>0</v>
      </c>
    </row>
    <row r="28" spans="2:28" x14ac:dyDescent="0.2">
      <c r="B28" s="135"/>
      <c r="C28" s="156"/>
      <c r="D28" s="117"/>
      <c r="E28" s="146"/>
      <c r="F28" s="162"/>
      <c r="G28" s="146"/>
      <c r="H28" s="162"/>
      <c r="I28" s="146"/>
      <c r="J28" s="146"/>
      <c r="K28" s="163"/>
      <c r="L28" s="163"/>
      <c r="M28" s="163"/>
      <c r="N28" s="164"/>
      <c r="P28" s="135">
        <f t="shared" ref="P28:P45" si="12">B28</f>
        <v>0</v>
      </c>
      <c r="Q28" s="156">
        <f t="shared" si="0"/>
        <v>0</v>
      </c>
      <c r="R28" s="168">
        <f t="shared" ref="R28:R45" si="13">D28</f>
        <v>0</v>
      </c>
      <c r="S28" s="146">
        <f t="shared" ref="S28:S45" si="14">E28*0.3048</f>
        <v>0</v>
      </c>
      <c r="T28" s="162">
        <f t="shared" ref="T28:T45" si="15">2.54*F28</f>
        <v>0</v>
      </c>
      <c r="U28" s="146">
        <f t="shared" ref="U28:U45" si="16">G28*4.448222</f>
        <v>0</v>
      </c>
      <c r="V28" s="162">
        <f t="shared" si="2"/>
        <v>0</v>
      </c>
      <c r="W28" s="146">
        <f t="shared" si="2"/>
        <v>0</v>
      </c>
      <c r="X28" s="146">
        <f t="shared" si="1"/>
        <v>0</v>
      </c>
      <c r="Y28" s="163">
        <f t="shared" ref="Y28:Y45" si="17">K28*4.448222/0.3048</f>
        <v>0</v>
      </c>
      <c r="Z28" s="163">
        <f t="shared" ref="Z28:Z45" si="18">L28*4.448222/0.3048</f>
        <v>0</v>
      </c>
      <c r="AA28" s="163">
        <f t="shared" ref="AA28:AA45" si="19">M28*0.3048</f>
        <v>0</v>
      </c>
      <c r="AB28" s="164">
        <f t="shared" ref="AB28:AB45" si="20">N28</f>
        <v>0</v>
      </c>
    </row>
    <row r="29" spans="2:28" x14ac:dyDescent="0.2">
      <c r="B29" s="135"/>
      <c r="C29" s="156"/>
      <c r="D29" s="117"/>
      <c r="E29" s="146"/>
      <c r="F29" s="162"/>
      <c r="G29" s="146"/>
      <c r="H29" s="162"/>
      <c r="I29" s="146"/>
      <c r="J29" s="146"/>
      <c r="K29" s="163"/>
      <c r="L29" s="163"/>
      <c r="M29" s="163"/>
      <c r="N29" s="164"/>
      <c r="P29" s="135">
        <f t="shared" si="12"/>
        <v>0</v>
      </c>
      <c r="Q29" s="156">
        <f t="shared" si="0"/>
        <v>0</v>
      </c>
      <c r="R29" s="168">
        <f t="shared" si="13"/>
        <v>0</v>
      </c>
      <c r="S29" s="146">
        <f t="shared" si="14"/>
        <v>0</v>
      </c>
      <c r="T29" s="162">
        <f t="shared" si="15"/>
        <v>0</v>
      </c>
      <c r="U29" s="146">
        <f t="shared" si="16"/>
        <v>0</v>
      </c>
      <c r="V29" s="162">
        <f t="shared" si="2"/>
        <v>0</v>
      </c>
      <c r="W29" s="146">
        <f t="shared" si="2"/>
        <v>0</v>
      </c>
      <c r="X29" s="146">
        <f t="shared" si="1"/>
        <v>0</v>
      </c>
      <c r="Y29" s="163">
        <f t="shared" si="17"/>
        <v>0</v>
      </c>
      <c r="Z29" s="163">
        <f t="shared" si="18"/>
        <v>0</v>
      </c>
      <c r="AA29" s="163">
        <f t="shared" si="19"/>
        <v>0</v>
      </c>
      <c r="AB29" s="164">
        <f t="shared" si="20"/>
        <v>0</v>
      </c>
    </row>
    <row r="30" spans="2:28" x14ac:dyDescent="0.2">
      <c r="B30" s="135"/>
      <c r="C30" s="156"/>
      <c r="D30" s="117"/>
      <c r="E30" s="146"/>
      <c r="F30" s="162"/>
      <c r="G30" s="146"/>
      <c r="H30" s="162"/>
      <c r="I30" s="146"/>
      <c r="J30" s="146"/>
      <c r="K30" s="163"/>
      <c r="L30" s="163"/>
      <c r="M30" s="163"/>
      <c r="N30" s="164"/>
      <c r="P30" s="135">
        <f t="shared" si="12"/>
        <v>0</v>
      </c>
      <c r="Q30" s="156">
        <f t="shared" si="0"/>
        <v>0</v>
      </c>
      <c r="R30" s="168">
        <f t="shared" si="13"/>
        <v>0</v>
      </c>
      <c r="S30" s="146">
        <f t="shared" si="14"/>
        <v>0</v>
      </c>
      <c r="T30" s="162">
        <f t="shared" si="15"/>
        <v>0</v>
      </c>
      <c r="U30" s="146">
        <f t="shared" si="16"/>
        <v>0</v>
      </c>
      <c r="V30" s="162">
        <f t="shared" si="2"/>
        <v>0</v>
      </c>
      <c r="W30" s="146">
        <f t="shared" si="2"/>
        <v>0</v>
      </c>
      <c r="X30" s="146">
        <f t="shared" si="1"/>
        <v>0</v>
      </c>
      <c r="Y30" s="163">
        <f t="shared" si="17"/>
        <v>0</v>
      </c>
      <c r="Z30" s="163">
        <f t="shared" si="18"/>
        <v>0</v>
      </c>
      <c r="AA30" s="163">
        <f t="shared" si="19"/>
        <v>0</v>
      </c>
      <c r="AB30" s="164">
        <f t="shared" si="20"/>
        <v>0</v>
      </c>
    </row>
    <row r="31" spans="2:28" x14ac:dyDescent="0.2">
      <c r="B31" s="135"/>
      <c r="C31" s="156"/>
      <c r="D31" s="117"/>
      <c r="E31" s="146"/>
      <c r="F31" s="162"/>
      <c r="G31" s="146"/>
      <c r="H31" s="162"/>
      <c r="I31" s="146"/>
      <c r="J31" s="146"/>
      <c r="K31" s="163"/>
      <c r="L31" s="163"/>
      <c r="M31" s="163"/>
      <c r="N31" s="164"/>
      <c r="P31" s="135">
        <f t="shared" si="12"/>
        <v>0</v>
      </c>
      <c r="Q31" s="156">
        <f t="shared" si="0"/>
        <v>0</v>
      </c>
      <c r="R31" s="168">
        <f t="shared" si="13"/>
        <v>0</v>
      </c>
      <c r="S31" s="146">
        <f t="shared" si="14"/>
        <v>0</v>
      </c>
      <c r="T31" s="162">
        <f t="shared" si="15"/>
        <v>0</v>
      </c>
      <c r="U31" s="146">
        <f t="shared" si="16"/>
        <v>0</v>
      </c>
      <c r="V31" s="162">
        <f t="shared" si="2"/>
        <v>0</v>
      </c>
      <c r="W31" s="146">
        <f t="shared" si="2"/>
        <v>0</v>
      </c>
      <c r="X31" s="146">
        <f t="shared" si="1"/>
        <v>0</v>
      </c>
      <c r="Y31" s="163">
        <f t="shared" si="17"/>
        <v>0</v>
      </c>
      <c r="Z31" s="163">
        <f t="shared" si="18"/>
        <v>0</v>
      </c>
      <c r="AA31" s="163">
        <f t="shared" si="19"/>
        <v>0</v>
      </c>
      <c r="AB31" s="164">
        <f t="shared" si="20"/>
        <v>0</v>
      </c>
    </row>
    <row r="32" spans="2:28" x14ac:dyDescent="0.2">
      <c r="B32" s="135"/>
      <c r="C32" s="156"/>
      <c r="D32" s="117"/>
      <c r="E32" s="146"/>
      <c r="F32" s="162"/>
      <c r="G32" s="146"/>
      <c r="H32" s="162"/>
      <c r="I32" s="146"/>
      <c r="J32" s="146"/>
      <c r="K32" s="163"/>
      <c r="L32" s="163"/>
      <c r="M32" s="163"/>
      <c r="N32" s="164"/>
      <c r="P32" s="135">
        <f t="shared" si="12"/>
        <v>0</v>
      </c>
      <c r="Q32" s="156">
        <f t="shared" si="0"/>
        <v>0</v>
      </c>
      <c r="R32" s="168">
        <f t="shared" si="13"/>
        <v>0</v>
      </c>
      <c r="S32" s="146">
        <f t="shared" si="14"/>
        <v>0</v>
      </c>
      <c r="T32" s="162">
        <f t="shared" si="15"/>
        <v>0</v>
      </c>
      <c r="U32" s="146">
        <f t="shared" si="16"/>
        <v>0</v>
      </c>
      <c r="V32" s="162">
        <f t="shared" si="2"/>
        <v>0</v>
      </c>
      <c r="W32" s="146">
        <f t="shared" si="2"/>
        <v>0</v>
      </c>
      <c r="X32" s="146">
        <f t="shared" si="1"/>
        <v>0</v>
      </c>
      <c r="Y32" s="163">
        <f t="shared" si="17"/>
        <v>0</v>
      </c>
      <c r="Z32" s="163">
        <f t="shared" si="18"/>
        <v>0</v>
      </c>
      <c r="AA32" s="163">
        <f t="shared" si="19"/>
        <v>0</v>
      </c>
      <c r="AB32" s="164">
        <f t="shared" si="20"/>
        <v>0</v>
      </c>
    </row>
    <row r="33" spans="2:28" x14ac:dyDescent="0.2">
      <c r="B33" s="135"/>
      <c r="C33" s="156"/>
      <c r="D33" s="117"/>
      <c r="E33" s="146"/>
      <c r="F33" s="162"/>
      <c r="G33" s="146"/>
      <c r="H33" s="162"/>
      <c r="I33" s="146"/>
      <c r="J33" s="146"/>
      <c r="K33" s="163"/>
      <c r="L33" s="163"/>
      <c r="M33" s="163"/>
      <c r="N33" s="164"/>
      <c r="P33" s="135">
        <f t="shared" si="12"/>
        <v>0</v>
      </c>
      <c r="Q33" s="156">
        <f t="shared" si="0"/>
        <v>0</v>
      </c>
      <c r="R33" s="168">
        <f t="shared" si="13"/>
        <v>0</v>
      </c>
      <c r="S33" s="146">
        <f t="shared" si="14"/>
        <v>0</v>
      </c>
      <c r="T33" s="162">
        <f t="shared" si="15"/>
        <v>0</v>
      </c>
      <c r="U33" s="146">
        <f t="shared" si="16"/>
        <v>0</v>
      </c>
      <c r="V33" s="162">
        <f t="shared" si="2"/>
        <v>0</v>
      </c>
      <c r="W33" s="146">
        <f t="shared" si="2"/>
        <v>0</v>
      </c>
      <c r="X33" s="146">
        <f t="shared" si="1"/>
        <v>0</v>
      </c>
      <c r="Y33" s="163">
        <f t="shared" si="17"/>
        <v>0</v>
      </c>
      <c r="Z33" s="163">
        <f t="shared" si="18"/>
        <v>0</v>
      </c>
      <c r="AA33" s="163">
        <f t="shared" si="19"/>
        <v>0</v>
      </c>
      <c r="AB33" s="164">
        <f t="shared" si="20"/>
        <v>0</v>
      </c>
    </row>
    <row r="34" spans="2:28" x14ac:dyDescent="0.2">
      <c r="B34" s="135"/>
      <c r="C34" s="156"/>
      <c r="D34" s="117"/>
      <c r="E34" s="146"/>
      <c r="F34" s="162"/>
      <c r="G34" s="146"/>
      <c r="H34" s="162"/>
      <c r="I34" s="146"/>
      <c r="J34" s="146"/>
      <c r="K34" s="163"/>
      <c r="L34" s="163"/>
      <c r="M34" s="163"/>
      <c r="N34" s="164"/>
      <c r="P34" s="135">
        <f t="shared" si="12"/>
        <v>0</v>
      </c>
      <c r="Q34" s="156">
        <f t="shared" si="0"/>
        <v>0</v>
      </c>
      <c r="R34" s="168">
        <f t="shared" si="13"/>
        <v>0</v>
      </c>
      <c r="S34" s="146">
        <f t="shared" si="14"/>
        <v>0</v>
      </c>
      <c r="T34" s="162">
        <f t="shared" si="15"/>
        <v>0</v>
      </c>
      <c r="U34" s="146">
        <f t="shared" si="16"/>
        <v>0</v>
      </c>
      <c r="V34" s="162">
        <f t="shared" si="2"/>
        <v>0</v>
      </c>
      <c r="W34" s="146">
        <f t="shared" si="2"/>
        <v>0</v>
      </c>
      <c r="X34" s="146">
        <f t="shared" si="1"/>
        <v>0</v>
      </c>
      <c r="Y34" s="163">
        <f t="shared" si="17"/>
        <v>0</v>
      </c>
      <c r="Z34" s="163">
        <f t="shared" si="18"/>
        <v>0</v>
      </c>
      <c r="AA34" s="163">
        <f t="shared" si="19"/>
        <v>0</v>
      </c>
      <c r="AB34" s="164">
        <f t="shared" si="20"/>
        <v>0</v>
      </c>
    </row>
    <row r="35" spans="2:28" x14ac:dyDescent="0.2">
      <c r="B35" s="135"/>
      <c r="C35" s="156"/>
      <c r="D35" s="117"/>
      <c r="E35" s="146"/>
      <c r="F35" s="162"/>
      <c r="G35" s="146"/>
      <c r="H35" s="162"/>
      <c r="I35" s="146"/>
      <c r="J35" s="146"/>
      <c r="K35" s="163"/>
      <c r="L35" s="163"/>
      <c r="M35" s="163"/>
      <c r="N35" s="164"/>
      <c r="P35" s="135">
        <f t="shared" ref="P35:P40" si="21">B35</f>
        <v>0</v>
      </c>
      <c r="Q35" s="156">
        <f t="shared" ref="Q35:Q40" si="22">C35</f>
        <v>0</v>
      </c>
      <c r="R35" s="168">
        <f t="shared" ref="R35:R40" si="23">D35</f>
        <v>0</v>
      </c>
      <c r="S35" s="146">
        <f t="shared" ref="S35:S40" si="24">E35*0.3048</f>
        <v>0</v>
      </c>
      <c r="T35" s="162">
        <f t="shared" ref="T35:T40" si="25">2.54*F35</f>
        <v>0</v>
      </c>
      <c r="U35" s="146">
        <f t="shared" ref="U35:U40" si="26">G35*4.448222</f>
        <v>0</v>
      </c>
      <c r="V35" s="162">
        <f t="shared" ref="V35:V40" si="27">H35*6894.757/1000</f>
        <v>0</v>
      </c>
      <c r="W35" s="146">
        <f t="shared" ref="W35:W40" si="28">I35*6894.757/1000</f>
        <v>0</v>
      </c>
      <c r="X35" s="146">
        <f t="shared" ref="X35:X40" si="29">J35*4.448222/0.3048</f>
        <v>0</v>
      </c>
      <c r="Y35" s="163">
        <f t="shared" ref="Y35:Y40" si="30">K35*4.448222/0.3048</f>
        <v>0</v>
      </c>
      <c r="Z35" s="163">
        <f t="shared" ref="Z35:Z40" si="31">L35*4.448222/0.3048</f>
        <v>0</v>
      </c>
      <c r="AA35" s="163">
        <f t="shared" ref="AA35:AA40" si="32">M35*0.3048</f>
        <v>0</v>
      </c>
      <c r="AB35" s="164">
        <f t="shared" ref="AB35:AB40" si="33">N35</f>
        <v>0</v>
      </c>
    </row>
    <row r="36" spans="2:28" x14ac:dyDescent="0.2">
      <c r="B36" s="135"/>
      <c r="C36" s="156"/>
      <c r="D36" s="117"/>
      <c r="E36" s="146"/>
      <c r="F36" s="162"/>
      <c r="G36" s="146"/>
      <c r="H36" s="162"/>
      <c r="I36" s="146"/>
      <c r="J36" s="146"/>
      <c r="K36" s="163"/>
      <c r="L36" s="163"/>
      <c r="M36" s="163"/>
      <c r="N36" s="164"/>
      <c r="P36" s="135">
        <f t="shared" si="21"/>
        <v>0</v>
      </c>
      <c r="Q36" s="156">
        <f t="shared" si="22"/>
        <v>0</v>
      </c>
      <c r="R36" s="168">
        <f t="shared" si="23"/>
        <v>0</v>
      </c>
      <c r="S36" s="146">
        <f t="shared" si="24"/>
        <v>0</v>
      </c>
      <c r="T36" s="162">
        <f t="shared" si="25"/>
        <v>0</v>
      </c>
      <c r="U36" s="146">
        <f t="shared" si="26"/>
        <v>0</v>
      </c>
      <c r="V36" s="162">
        <f t="shared" si="27"/>
        <v>0</v>
      </c>
      <c r="W36" s="146">
        <f t="shared" si="28"/>
        <v>0</v>
      </c>
      <c r="X36" s="146">
        <f t="shared" si="29"/>
        <v>0</v>
      </c>
      <c r="Y36" s="163">
        <f t="shared" si="30"/>
        <v>0</v>
      </c>
      <c r="Z36" s="163">
        <f t="shared" si="31"/>
        <v>0</v>
      </c>
      <c r="AA36" s="163">
        <f t="shared" si="32"/>
        <v>0</v>
      </c>
      <c r="AB36" s="164">
        <f t="shared" si="33"/>
        <v>0</v>
      </c>
    </row>
    <row r="37" spans="2:28" x14ac:dyDescent="0.2">
      <c r="B37" s="135"/>
      <c r="C37" s="156"/>
      <c r="D37" s="117"/>
      <c r="E37" s="146"/>
      <c r="F37" s="162"/>
      <c r="G37" s="146"/>
      <c r="H37" s="162"/>
      <c r="I37" s="146"/>
      <c r="J37" s="146"/>
      <c r="K37" s="163"/>
      <c r="L37" s="163"/>
      <c r="M37" s="163"/>
      <c r="N37" s="164"/>
      <c r="P37" s="135">
        <f t="shared" si="21"/>
        <v>0</v>
      </c>
      <c r="Q37" s="156">
        <f t="shared" si="22"/>
        <v>0</v>
      </c>
      <c r="R37" s="168">
        <f t="shared" si="23"/>
        <v>0</v>
      </c>
      <c r="S37" s="146">
        <f t="shared" si="24"/>
        <v>0</v>
      </c>
      <c r="T37" s="162">
        <f t="shared" si="25"/>
        <v>0</v>
      </c>
      <c r="U37" s="146">
        <f t="shared" si="26"/>
        <v>0</v>
      </c>
      <c r="V37" s="162">
        <f t="shared" si="27"/>
        <v>0</v>
      </c>
      <c r="W37" s="146">
        <f t="shared" si="28"/>
        <v>0</v>
      </c>
      <c r="X37" s="146">
        <f t="shared" si="29"/>
        <v>0</v>
      </c>
      <c r="Y37" s="163">
        <f t="shared" si="30"/>
        <v>0</v>
      </c>
      <c r="Z37" s="163">
        <f t="shared" si="31"/>
        <v>0</v>
      </c>
      <c r="AA37" s="163">
        <f t="shared" si="32"/>
        <v>0</v>
      </c>
      <c r="AB37" s="164">
        <f t="shared" si="33"/>
        <v>0</v>
      </c>
    </row>
    <row r="38" spans="2:28" x14ac:dyDescent="0.2">
      <c r="B38" s="135"/>
      <c r="C38" s="156"/>
      <c r="D38" s="117"/>
      <c r="E38" s="146"/>
      <c r="F38" s="162"/>
      <c r="G38" s="146"/>
      <c r="H38" s="162"/>
      <c r="I38" s="146"/>
      <c r="J38" s="146"/>
      <c r="K38" s="163"/>
      <c r="L38" s="163"/>
      <c r="M38" s="163"/>
      <c r="N38" s="164"/>
      <c r="P38" s="135">
        <f t="shared" si="21"/>
        <v>0</v>
      </c>
      <c r="Q38" s="156">
        <f t="shared" si="22"/>
        <v>0</v>
      </c>
      <c r="R38" s="168">
        <f t="shared" si="23"/>
        <v>0</v>
      </c>
      <c r="S38" s="146">
        <f t="shared" si="24"/>
        <v>0</v>
      </c>
      <c r="T38" s="162">
        <f t="shared" si="25"/>
        <v>0</v>
      </c>
      <c r="U38" s="146">
        <f t="shared" si="26"/>
        <v>0</v>
      </c>
      <c r="V38" s="162">
        <f t="shared" si="27"/>
        <v>0</v>
      </c>
      <c r="W38" s="146">
        <f t="shared" si="28"/>
        <v>0</v>
      </c>
      <c r="X38" s="146">
        <f t="shared" si="29"/>
        <v>0</v>
      </c>
      <c r="Y38" s="163">
        <f t="shared" si="30"/>
        <v>0</v>
      </c>
      <c r="Z38" s="163">
        <f t="shared" si="31"/>
        <v>0</v>
      </c>
      <c r="AA38" s="163">
        <f t="shared" si="32"/>
        <v>0</v>
      </c>
      <c r="AB38" s="164">
        <f t="shared" si="33"/>
        <v>0</v>
      </c>
    </row>
    <row r="39" spans="2:28" x14ac:dyDescent="0.2">
      <c r="B39" s="135"/>
      <c r="C39" s="156"/>
      <c r="D39" s="117"/>
      <c r="E39" s="146"/>
      <c r="F39" s="162"/>
      <c r="G39" s="146"/>
      <c r="H39" s="162"/>
      <c r="I39" s="146"/>
      <c r="J39" s="146"/>
      <c r="K39" s="163"/>
      <c r="L39" s="163"/>
      <c r="M39" s="163"/>
      <c r="N39" s="164"/>
      <c r="P39" s="135">
        <f t="shared" si="21"/>
        <v>0</v>
      </c>
      <c r="Q39" s="156">
        <f t="shared" si="22"/>
        <v>0</v>
      </c>
      <c r="R39" s="168">
        <f t="shared" si="23"/>
        <v>0</v>
      </c>
      <c r="S39" s="146">
        <f t="shared" si="24"/>
        <v>0</v>
      </c>
      <c r="T39" s="162">
        <f t="shared" si="25"/>
        <v>0</v>
      </c>
      <c r="U39" s="146">
        <f t="shared" si="26"/>
        <v>0</v>
      </c>
      <c r="V39" s="162">
        <f t="shared" si="27"/>
        <v>0</v>
      </c>
      <c r="W39" s="146">
        <f t="shared" si="28"/>
        <v>0</v>
      </c>
      <c r="X39" s="146">
        <f t="shared" si="29"/>
        <v>0</v>
      </c>
      <c r="Y39" s="163">
        <f t="shared" si="30"/>
        <v>0</v>
      </c>
      <c r="Z39" s="163">
        <f t="shared" si="31"/>
        <v>0</v>
      </c>
      <c r="AA39" s="163">
        <f t="shared" si="32"/>
        <v>0</v>
      </c>
      <c r="AB39" s="164">
        <f t="shared" si="33"/>
        <v>0</v>
      </c>
    </row>
    <row r="40" spans="2:28" x14ac:dyDescent="0.2">
      <c r="B40" s="135"/>
      <c r="C40" s="156"/>
      <c r="D40" s="117"/>
      <c r="E40" s="146"/>
      <c r="F40" s="162"/>
      <c r="G40" s="146"/>
      <c r="H40" s="162"/>
      <c r="I40" s="146"/>
      <c r="J40" s="146"/>
      <c r="K40" s="163"/>
      <c r="L40" s="163"/>
      <c r="M40" s="163"/>
      <c r="N40" s="164"/>
      <c r="P40" s="135">
        <f t="shared" si="21"/>
        <v>0</v>
      </c>
      <c r="Q40" s="156">
        <f t="shared" si="22"/>
        <v>0</v>
      </c>
      <c r="R40" s="168">
        <f t="shared" si="23"/>
        <v>0</v>
      </c>
      <c r="S40" s="146">
        <f t="shared" si="24"/>
        <v>0</v>
      </c>
      <c r="T40" s="162">
        <f t="shared" si="25"/>
        <v>0</v>
      </c>
      <c r="U40" s="146">
        <f t="shared" si="26"/>
        <v>0</v>
      </c>
      <c r="V40" s="162">
        <f t="shared" si="27"/>
        <v>0</v>
      </c>
      <c r="W40" s="146">
        <f t="shared" si="28"/>
        <v>0</v>
      </c>
      <c r="X40" s="146">
        <f t="shared" si="29"/>
        <v>0</v>
      </c>
      <c r="Y40" s="163">
        <f t="shared" si="30"/>
        <v>0</v>
      </c>
      <c r="Z40" s="163">
        <f t="shared" si="31"/>
        <v>0</v>
      </c>
      <c r="AA40" s="163">
        <f t="shared" si="32"/>
        <v>0</v>
      </c>
      <c r="AB40" s="164">
        <f t="shared" si="33"/>
        <v>0</v>
      </c>
    </row>
    <row r="41" spans="2:28" x14ac:dyDescent="0.2">
      <c r="B41" s="135"/>
      <c r="C41" s="156"/>
      <c r="D41" s="117"/>
      <c r="E41" s="146"/>
      <c r="F41" s="162"/>
      <c r="G41" s="146"/>
      <c r="H41" s="162"/>
      <c r="I41" s="146"/>
      <c r="J41" s="146"/>
      <c r="K41" s="163"/>
      <c r="L41" s="163"/>
      <c r="M41" s="163"/>
      <c r="N41" s="164"/>
      <c r="P41" s="135">
        <f t="shared" si="12"/>
        <v>0</v>
      </c>
      <c r="Q41" s="156">
        <f t="shared" si="0"/>
        <v>0</v>
      </c>
      <c r="R41" s="168">
        <f t="shared" si="13"/>
        <v>0</v>
      </c>
      <c r="S41" s="146">
        <f t="shared" si="14"/>
        <v>0</v>
      </c>
      <c r="T41" s="162">
        <f t="shared" si="15"/>
        <v>0</v>
      </c>
      <c r="U41" s="146">
        <f t="shared" si="16"/>
        <v>0</v>
      </c>
      <c r="V41" s="162">
        <f t="shared" si="2"/>
        <v>0</v>
      </c>
      <c r="W41" s="146">
        <f t="shared" si="2"/>
        <v>0</v>
      </c>
      <c r="X41" s="146">
        <f t="shared" si="1"/>
        <v>0</v>
      </c>
      <c r="Y41" s="163">
        <f t="shared" si="17"/>
        <v>0</v>
      </c>
      <c r="Z41" s="163">
        <f t="shared" si="18"/>
        <v>0</v>
      </c>
      <c r="AA41" s="163">
        <f t="shared" si="19"/>
        <v>0</v>
      </c>
      <c r="AB41" s="164">
        <f t="shared" si="20"/>
        <v>0</v>
      </c>
    </row>
    <row r="42" spans="2:28" x14ac:dyDescent="0.2">
      <c r="B42" s="135"/>
      <c r="C42" s="156"/>
      <c r="D42" s="117"/>
      <c r="E42" s="146"/>
      <c r="F42" s="162"/>
      <c r="G42" s="146"/>
      <c r="H42" s="162"/>
      <c r="I42" s="146"/>
      <c r="J42" s="146"/>
      <c r="K42" s="163"/>
      <c r="L42" s="163"/>
      <c r="M42" s="163"/>
      <c r="N42" s="164"/>
      <c r="P42" s="135">
        <f t="shared" si="12"/>
        <v>0</v>
      </c>
      <c r="Q42" s="156">
        <f t="shared" si="0"/>
        <v>0</v>
      </c>
      <c r="R42" s="168">
        <f t="shared" si="13"/>
        <v>0</v>
      </c>
      <c r="S42" s="146">
        <f t="shared" si="14"/>
        <v>0</v>
      </c>
      <c r="T42" s="162">
        <f t="shared" si="15"/>
        <v>0</v>
      </c>
      <c r="U42" s="146">
        <f t="shared" si="16"/>
        <v>0</v>
      </c>
      <c r="V42" s="162">
        <f t="shared" si="2"/>
        <v>0</v>
      </c>
      <c r="W42" s="146">
        <f t="shared" si="2"/>
        <v>0</v>
      </c>
      <c r="X42" s="146">
        <f t="shared" si="1"/>
        <v>0</v>
      </c>
      <c r="Y42" s="163">
        <f t="shared" si="17"/>
        <v>0</v>
      </c>
      <c r="Z42" s="163">
        <f t="shared" si="18"/>
        <v>0</v>
      </c>
      <c r="AA42" s="163">
        <f t="shared" si="19"/>
        <v>0</v>
      </c>
      <c r="AB42" s="164">
        <f t="shared" si="20"/>
        <v>0</v>
      </c>
    </row>
    <row r="43" spans="2:28" x14ac:dyDescent="0.2">
      <c r="B43" s="135"/>
      <c r="C43" s="156"/>
      <c r="D43" s="117"/>
      <c r="E43" s="146"/>
      <c r="F43" s="162"/>
      <c r="G43" s="146"/>
      <c r="H43" s="162"/>
      <c r="I43" s="146"/>
      <c r="J43" s="146"/>
      <c r="K43" s="163"/>
      <c r="L43" s="163"/>
      <c r="M43" s="163"/>
      <c r="N43" s="164"/>
      <c r="P43" s="135">
        <f t="shared" si="12"/>
        <v>0</v>
      </c>
      <c r="Q43" s="156">
        <f t="shared" si="0"/>
        <v>0</v>
      </c>
      <c r="R43" s="168">
        <f t="shared" si="13"/>
        <v>0</v>
      </c>
      <c r="S43" s="146">
        <f t="shared" si="14"/>
        <v>0</v>
      </c>
      <c r="T43" s="162">
        <f t="shared" si="15"/>
        <v>0</v>
      </c>
      <c r="U43" s="146">
        <f t="shared" si="16"/>
        <v>0</v>
      </c>
      <c r="V43" s="162">
        <f t="shared" si="2"/>
        <v>0</v>
      </c>
      <c r="W43" s="146">
        <f t="shared" si="2"/>
        <v>0</v>
      </c>
      <c r="X43" s="146">
        <f t="shared" si="1"/>
        <v>0</v>
      </c>
      <c r="Y43" s="163">
        <f t="shared" si="17"/>
        <v>0</v>
      </c>
      <c r="Z43" s="163">
        <f t="shared" si="18"/>
        <v>0</v>
      </c>
      <c r="AA43" s="163">
        <f t="shared" si="19"/>
        <v>0</v>
      </c>
      <c r="AB43" s="164">
        <f t="shared" si="20"/>
        <v>0</v>
      </c>
    </row>
    <row r="44" spans="2:28" x14ac:dyDescent="0.2">
      <c r="B44" s="135"/>
      <c r="C44" s="156"/>
      <c r="D44" s="117"/>
      <c r="E44" s="146"/>
      <c r="F44" s="162"/>
      <c r="G44" s="146"/>
      <c r="H44" s="162"/>
      <c r="I44" s="146"/>
      <c r="J44" s="146"/>
      <c r="K44" s="162"/>
      <c r="L44" s="162"/>
      <c r="M44" s="163"/>
      <c r="N44" s="164"/>
      <c r="P44" s="135">
        <f t="shared" si="12"/>
        <v>0</v>
      </c>
      <c r="Q44" s="156">
        <f t="shared" si="0"/>
        <v>0</v>
      </c>
      <c r="R44" s="168">
        <f t="shared" si="13"/>
        <v>0</v>
      </c>
      <c r="S44" s="146">
        <f t="shared" si="14"/>
        <v>0</v>
      </c>
      <c r="T44" s="162">
        <f t="shared" si="15"/>
        <v>0</v>
      </c>
      <c r="U44" s="146">
        <f t="shared" si="16"/>
        <v>0</v>
      </c>
      <c r="V44" s="162">
        <f t="shared" si="2"/>
        <v>0</v>
      </c>
      <c r="W44" s="146">
        <f t="shared" si="2"/>
        <v>0</v>
      </c>
      <c r="X44" s="146">
        <f t="shared" si="1"/>
        <v>0</v>
      </c>
      <c r="Y44" s="162">
        <f t="shared" si="17"/>
        <v>0</v>
      </c>
      <c r="Z44" s="162">
        <f t="shared" si="18"/>
        <v>0</v>
      </c>
      <c r="AA44" s="163">
        <f t="shared" si="19"/>
        <v>0</v>
      </c>
      <c r="AB44" s="164">
        <f t="shared" si="20"/>
        <v>0</v>
      </c>
    </row>
    <row r="45" spans="2:28" ht="13.5" thickBot="1" x14ac:dyDescent="0.25">
      <c r="B45" s="136"/>
      <c r="C45" s="157"/>
      <c r="D45" s="120"/>
      <c r="E45" s="121"/>
      <c r="F45" s="165"/>
      <c r="G45" s="121"/>
      <c r="H45" s="165"/>
      <c r="I45" s="121"/>
      <c r="J45" s="121"/>
      <c r="K45" s="165"/>
      <c r="L45" s="165"/>
      <c r="M45" s="165"/>
      <c r="N45" s="166"/>
      <c r="P45" s="136">
        <f t="shared" si="12"/>
        <v>0</v>
      </c>
      <c r="Q45" s="157">
        <f t="shared" si="0"/>
        <v>0</v>
      </c>
      <c r="R45" s="169">
        <f t="shared" si="13"/>
        <v>0</v>
      </c>
      <c r="S45" s="121">
        <f t="shared" si="14"/>
        <v>0</v>
      </c>
      <c r="T45" s="165">
        <f t="shared" si="15"/>
        <v>0</v>
      </c>
      <c r="U45" s="121">
        <f t="shared" si="16"/>
        <v>0</v>
      </c>
      <c r="V45" s="165">
        <f>H45*6894.757/1000</f>
        <v>0</v>
      </c>
      <c r="W45" s="121">
        <f>I45*6894.757/1000</f>
        <v>0</v>
      </c>
      <c r="X45" s="121">
        <f t="shared" si="1"/>
        <v>0</v>
      </c>
      <c r="Y45" s="165">
        <f t="shared" si="17"/>
        <v>0</v>
      </c>
      <c r="Z45" s="165">
        <f t="shared" si="18"/>
        <v>0</v>
      </c>
      <c r="AA45" s="165">
        <f t="shared" si="19"/>
        <v>0</v>
      </c>
      <c r="AB45" s="166">
        <f t="shared" si="20"/>
        <v>0</v>
      </c>
    </row>
  </sheetData>
  <phoneticPr fontId="46" type="noConversion"/>
  <pageMargins left="0.75" right="0.75" top="1" bottom="1" header="0.5" footer="0.5"/>
  <pageSetup scale="66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8"/>
  <sheetViews>
    <sheetView workbookViewId="0">
      <selection activeCell="C4" sqref="C4"/>
    </sheetView>
  </sheetViews>
  <sheetFormatPr defaultRowHeight="12.75" x14ac:dyDescent="0.2"/>
  <cols>
    <col min="1" max="1" width="11.7109375" customWidth="1"/>
    <col min="2" max="2" width="4.7109375" customWidth="1"/>
    <col min="3" max="5" width="5.7109375" customWidth="1"/>
    <col min="6" max="10" width="10.7109375" customWidth="1"/>
  </cols>
  <sheetData>
    <row r="1" spans="1:10" x14ac:dyDescent="0.2">
      <c r="A1" s="197" t="s">
        <v>217</v>
      </c>
      <c r="B1" s="194">
        <v>3</v>
      </c>
      <c r="C1" s="194">
        <v>20</v>
      </c>
      <c r="D1" s="194"/>
      <c r="E1" s="194">
        <v>1</v>
      </c>
      <c r="F1" s="198">
        <v>298.083984375</v>
      </c>
      <c r="G1" s="198">
        <v>358.083984375</v>
      </c>
      <c r="H1" s="198">
        <v>0</v>
      </c>
      <c r="I1" s="194"/>
      <c r="J1" s="194"/>
    </row>
    <row r="2" spans="1:10" x14ac:dyDescent="0.2">
      <c r="A2" s="197" t="s">
        <v>218</v>
      </c>
      <c r="B2" s="194"/>
      <c r="C2" s="194"/>
      <c r="D2" s="194"/>
      <c r="E2" s="194"/>
      <c r="F2" s="199">
        <v>2.9810585426415877E-4</v>
      </c>
      <c r="G2" s="199">
        <v>1.0700138344011383E-5</v>
      </c>
      <c r="H2" s="196">
        <v>148823617.76863861</v>
      </c>
      <c r="I2" s="196">
        <v>1770819.8916331099</v>
      </c>
      <c r="J2" s="200">
        <v>6571.8536745406827</v>
      </c>
    </row>
    <row r="3" spans="1:10" x14ac:dyDescent="0.2">
      <c r="A3" s="197" t="s">
        <v>219</v>
      </c>
      <c r="B3" s="194"/>
      <c r="C3" s="194"/>
      <c r="D3" s="194"/>
      <c r="E3" s="194"/>
      <c r="F3" s="200">
        <v>1</v>
      </c>
      <c r="G3" s="199"/>
      <c r="H3" s="200">
        <v>2.4</v>
      </c>
      <c r="I3" s="199">
        <v>0.26574803149606335</v>
      </c>
      <c r="J3" s="201">
        <v>0.1</v>
      </c>
    </row>
    <row r="4" spans="1:10" x14ac:dyDescent="0.2">
      <c r="A4" s="197" t="s">
        <v>220</v>
      </c>
      <c r="B4" s="194">
        <v>1</v>
      </c>
      <c r="C4" s="194">
        <v>9501</v>
      </c>
      <c r="D4" s="194">
        <v>0</v>
      </c>
      <c r="E4" s="194">
        <v>9101</v>
      </c>
      <c r="F4" s="199"/>
      <c r="G4" s="199"/>
      <c r="H4" s="196"/>
      <c r="I4" s="196"/>
      <c r="J4" s="200"/>
    </row>
    <row r="5" spans="1:10" x14ac:dyDescent="0.2">
      <c r="A5" s="197" t="s">
        <v>217</v>
      </c>
      <c r="B5" s="194">
        <v>3</v>
      </c>
      <c r="C5" s="194">
        <v>20</v>
      </c>
      <c r="D5" s="194"/>
      <c r="E5" s="194">
        <v>1</v>
      </c>
      <c r="F5" s="198">
        <v>298.083984375</v>
      </c>
      <c r="G5" s="198">
        <v>358.083984375</v>
      </c>
      <c r="H5" s="198">
        <v>0</v>
      </c>
      <c r="I5" s="199"/>
      <c r="J5" s="201"/>
    </row>
    <row r="6" spans="1:10" x14ac:dyDescent="0.2">
      <c r="A6" s="197" t="s">
        <v>218</v>
      </c>
      <c r="B6" s="194"/>
      <c r="C6" s="194"/>
      <c r="D6" s="194"/>
      <c r="E6" s="194"/>
      <c r="F6" s="199">
        <v>2.9810585426415877E-4</v>
      </c>
      <c r="G6" s="199">
        <v>1.0700138344011383E-5</v>
      </c>
      <c r="H6" s="196">
        <v>148823617.76863861</v>
      </c>
      <c r="I6" s="196">
        <v>1770819.8916331099</v>
      </c>
      <c r="J6" s="200">
        <v>6571.8536745406827</v>
      </c>
    </row>
    <row r="7" spans="1:10" x14ac:dyDescent="0.2">
      <c r="A7" s="197" t="s">
        <v>219</v>
      </c>
      <c r="B7" s="194"/>
      <c r="C7" s="194"/>
      <c r="D7" s="194"/>
      <c r="E7" s="194"/>
      <c r="F7" s="200">
        <v>1</v>
      </c>
      <c r="G7" s="199"/>
      <c r="H7" s="200">
        <v>2.4</v>
      </c>
      <c r="I7" s="199">
        <v>0.26574803149606335</v>
      </c>
      <c r="J7" s="201">
        <v>0.1</v>
      </c>
    </row>
    <row r="8" spans="1:10" x14ac:dyDescent="0.2">
      <c r="A8" s="197" t="s">
        <v>220</v>
      </c>
      <c r="B8" s="194">
        <v>1</v>
      </c>
      <c r="C8" s="194">
        <v>9502</v>
      </c>
      <c r="D8" s="194">
        <v>0</v>
      </c>
      <c r="E8" s="194">
        <v>9102</v>
      </c>
      <c r="F8" s="199"/>
      <c r="G8" s="199"/>
      <c r="H8" s="196"/>
      <c r="I8" s="196"/>
      <c r="J8" s="200"/>
    </row>
    <row r="9" spans="1:10" x14ac:dyDescent="0.2">
      <c r="A9" s="197" t="s">
        <v>217</v>
      </c>
      <c r="B9" s="194">
        <v>3</v>
      </c>
      <c r="C9" s="194">
        <v>20</v>
      </c>
      <c r="D9" s="194"/>
      <c r="E9" s="194">
        <v>1</v>
      </c>
      <c r="F9" s="198">
        <v>298.083984375</v>
      </c>
      <c r="G9" s="198">
        <v>358.083984375</v>
      </c>
      <c r="H9" s="198">
        <v>0</v>
      </c>
      <c r="I9" s="199"/>
      <c r="J9" s="201"/>
    </row>
    <row r="10" spans="1:10" x14ac:dyDescent="0.2">
      <c r="A10" s="197" t="s">
        <v>218</v>
      </c>
      <c r="B10" s="194"/>
      <c r="C10" s="194"/>
      <c r="D10" s="194"/>
      <c r="E10" s="194"/>
      <c r="F10" s="199">
        <v>2.9810585426415877E-4</v>
      </c>
      <c r="G10" s="199">
        <v>1.0700138344011383E-5</v>
      </c>
      <c r="H10" s="196">
        <v>148823617.76863861</v>
      </c>
      <c r="I10" s="196">
        <v>1770819.8916331099</v>
      </c>
      <c r="J10" s="200">
        <v>6571.8536745406827</v>
      </c>
    </row>
    <row r="11" spans="1:10" x14ac:dyDescent="0.2">
      <c r="A11" s="197" t="s">
        <v>219</v>
      </c>
      <c r="B11" s="194"/>
      <c r="C11" s="194"/>
      <c r="D11" s="194"/>
      <c r="E11" s="194"/>
      <c r="F11" s="200">
        <v>1</v>
      </c>
      <c r="G11" s="199"/>
      <c r="H11" s="200">
        <v>2.4</v>
      </c>
      <c r="I11" s="199">
        <v>0.26574803149606335</v>
      </c>
      <c r="J11" s="201">
        <v>0.1</v>
      </c>
    </row>
    <row r="12" spans="1:10" x14ac:dyDescent="0.2">
      <c r="A12" s="197" t="s">
        <v>220</v>
      </c>
      <c r="B12" s="194">
        <v>1</v>
      </c>
      <c r="C12" s="194">
        <v>9503</v>
      </c>
      <c r="D12" s="194">
        <v>0</v>
      </c>
      <c r="E12" s="194">
        <v>9103</v>
      </c>
      <c r="F12" s="199"/>
      <c r="G12" s="199"/>
      <c r="H12" s="196"/>
      <c r="I12" s="196"/>
      <c r="J12" s="200"/>
    </row>
    <row r="13" spans="1:10" x14ac:dyDescent="0.2">
      <c r="A13" s="197" t="s">
        <v>217</v>
      </c>
      <c r="B13" s="194">
        <v>3</v>
      </c>
      <c r="C13" s="194">
        <v>20</v>
      </c>
      <c r="D13" s="194"/>
      <c r="E13" s="194">
        <v>1</v>
      </c>
      <c r="F13" s="198">
        <v>298.083984375</v>
      </c>
      <c r="G13" s="198">
        <v>358.083984375</v>
      </c>
      <c r="H13" s="198">
        <v>0</v>
      </c>
      <c r="I13" s="199"/>
      <c r="J13" s="201"/>
    </row>
    <row r="14" spans="1:10" x14ac:dyDescent="0.2">
      <c r="A14" s="197" t="s">
        <v>218</v>
      </c>
      <c r="B14" s="194"/>
      <c r="C14" s="194"/>
      <c r="D14" s="194"/>
      <c r="E14" s="194"/>
      <c r="F14" s="199">
        <v>2.9810585426415877E-4</v>
      </c>
      <c r="G14" s="199">
        <v>1.0700138344011383E-5</v>
      </c>
      <c r="H14" s="196">
        <v>148823617.76863861</v>
      </c>
      <c r="I14" s="196">
        <v>1770819.8916331099</v>
      </c>
      <c r="J14" s="200">
        <v>6571.8536745406827</v>
      </c>
    </row>
    <row r="15" spans="1:10" x14ac:dyDescent="0.2">
      <c r="A15" s="197" t="s">
        <v>219</v>
      </c>
      <c r="B15" s="194"/>
      <c r="C15" s="194"/>
      <c r="D15" s="194"/>
      <c r="E15" s="194"/>
      <c r="F15" s="200">
        <v>1</v>
      </c>
      <c r="G15" s="198"/>
      <c r="H15" s="200">
        <v>2.4</v>
      </c>
      <c r="I15" s="199">
        <v>0.26574803149606335</v>
      </c>
      <c r="J15" s="201">
        <v>0.1</v>
      </c>
    </row>
    <row r="16" spans="1:10" x14ac:dyDescent="0.2">
      <c r="A16" s="197" t="s">
        <v>220</v>
      </c>
      <c r="B16" s="194">
        <v>1</v>
      </c>
      <c r="C16" s="194">
        <v>9504</v>
      </c>
      <c r="D16" s="194">
        <v>0</v>
      </c>
      <c r="E16" s="194">
        <v>9104</v>
      </c>
      <c r="F16" s="199"/>
      <c r="G16" s="199"/>
      <c r="H16" s="196"/>
      <c r="I16" s="196"/>
      <c r="J16" s="200"/>
    </row>
    <row r="17" spans="1:10" x14ac:dyDescent="0.2">
      <c r="A17" s="197" t="s">
        <v>217</v>
      </c>
      <c r="B17" s="194">
        <v>3</v>
      </c>
      <c r="C17" s="194">
        <v>20</v>
      </c>
      <c r="D17" s="194"/>
      <c r="E17" s="194">
        <v>1</v>
      </c>
      <c r="F17" s="198">
        <v>298.083984375</v>
      </c>
      <c r="G17" s="198">
        <v>358.083984375</v>
      </c>
      <c r="H17" s="198">
        <v>0</v>
      </c>
      <c r="I17" s="199"/>
      <c r="J17" s="201"/>
    </row>
    <row r="18" spans="1:10" x14ac:dyDescent="0.2">
      <c r="A18" s="197" t="s">
        <v>218</v>
      </c>
      <c r="B18" s="194"/>
      <c r="C18" s="194"/>
      <c r="D18" s="194"/>
      <c r="E18" s="194"/>
      <c r="F18" s="199">
        <v>2.9810585426415877E-4</v>
      </c>
      <c r="G18" s="199">
        <v>1.0700138344011383E-5</v>
      </c>
      <c r="H18" s="196">
        <v>148823617.76863861</v>
      </c>
      <c r="I18" s="196">
        <v>1770819.8916331099</v>
      </c>
      <c r="J18" s="200">
        <v>6571.8536745406827</v>
      </c>
    </row>
    <row r="19" spans="1:10" x14ac:dyDescent="0.2">
      <c r="A19" s="197" t="s">
        <v>219</v>
      </c>
      <c r="B19" s="194"/>
      <c r="C19" s="194"/>
      <c r="D19" s="194"/>
      <c r="E19" s="194"/>
      <c r="F19" s="200">
        <v>1</v>
      </c>
      <c r="G19" s="198"/>
      <c r="H19" s="200">
        <v>2.4</v>
      </c>
      <c r="I19" s="199">
        <v>0.26574803149606335</v>
      </c>
      <c r="J19" s="201">
        <v>0.1</v>
      </c>
    </row>
    <row r="20" spans="1:10" x14ac:dyDescent="0.2">
      <c r="A20" s="197" t="s">
        <v>220</v>
      </c>
      <c r="B20" s="194">
        <v>1</v>
      </c>
      <c r="C20" s="194">
        <v>9505</v>
      </c>
      <c r="D20" s="194">
        <v>0</v>
      </c>
      <c r="E20" s="194">
        <v>9105</v>
      </c>
      <c r="F20" s="199"/>
      <c r="G20" s="199"/>
      <c r="H20" s="196"/>
      <c r="I20" s="196"/>
      <c r="J20" s="200"/>
    </row>
    <row r="21" spans="1:10" x14ac:dyDescent="0.2">
      <c r="A21" s="197" t="s">
        <v>217</v>
      </c>
      <c r="B21" s="194">
        <v>3</v>
      </c>
      <c r="C21" s="194">
        <v>20</v>
      </c>
      <c r="D21" s="194"/>
      <c r="E21" s="194">
        <v>1</v>
      </c>
      <c r="F21" s="198">
        <v>298.083984375</v>
      </c>
      <c r="G21" s="198">
        <v>358.083984375</v>
      </c>
      <c r="H21" s="198">
        <v>0</v>
      </c>
      <c r="I21" s="199"/>
      <c r="J21" s="201"/>
    </row>
    <row r="22" spans="1:10" x14ac:dyDescent="0.2">
      <c r="A22" s="197" t="s">
        <v>218</v>
      </c>
      <c r="B22" s="194"/>
      <c r="C22" s="194"/>
      <c r="D22" s="194"/>
      <c r="E22" s="194"/>
      <c r="F22" s="199">
        <v>2.9810585426415877E-4</v>
      </c>
      <c r="G22" s="199">
        <v>1.0700138344011383E-5</v>
      </c>
      <c r="H22" s="196">
        <v>148823617.76863861</v>
      </c>
      <c r="I22" s="196">
        <v>1770819.8916331099</v>
      </c>
      <c r="J22" s="200">
        <v>6571.8536745406827</v>
      </c>
    </row>
    <row r="23" spans="1:10" x14ac:dyDescent="0.2">
      <c r="A23" s="197" t="s">
        <v>219</v>
      </c>
      <c r="B23" s="194"/>
      <c r="C23" s="194"/>
      <c r="D23" s="194"/>
      <c r="E23" s="194"/>
      <c r="F23" s="200">
        <v>1</v>
      </c>
      <c r="G23" s="198"/>
      <c r="H23" s="200">
        <v>2.4</v>
      </c>
      <c r="I23" s="199">
        <v>0.26574803149606335</v>
      </c>
      <c r="J23" s="201">
        <v>0.1</v>
      </c>
    </row>
    <row r="24" spans="1:10" x14ac:dyDescent="0.2">
      <c r="A24" s="197" t="s">
        <v>220</v>
      </c>
      <c r="B24" s="194">
        <v>1</v>
      </c>
      <c r="C24" s="194">
        <v>9506</v>
      </c>
      <c r="D24" s="194">
        <v>0</v>
      </c>
      <c r="E24" s="194">
        <v>9106</v>
      </c>
      <c r="F24" s="199"/>
      <c r="G24" s="199"/>
      <c r="H24" s="196"/>
      <c r="I24" s="196"/>
      <c r="J24" s="200"/>
    </row>
    <row r="25" spans="1:10" x14ac:dyDescent="0.2">
      <c r="A25" s="197" t="s">
        <v>217</v>
      </c>
      <c r="B25" s="194">
        <v>3</v>
      </c>
      <c r="C25" s="194">
        <v>20</v>
      </c>
      <c r="D25" s="194"/>
      <c r="E25" s="194">
        <v>1</v>
      </c>
      <c r="F25" s="198">
        <v>298.083984375</v>
      </c>
      <c r="G25" s="198">
        <v>358.083984375</v>
      </c>
      <c r="H25" s="198">
        <v>0</v>
      </c>
      <c r="I25" s="199"/>
      <c r="J25" s="201"/>
    </row>
    <row r="26" spans="1:10" x14ac:dyDescent="0.2">
      <c r="A26" s="197" t="s">
        <v>218</v>
      </c>
      <c r="B26" s="194"/>
      <c r="C26" s="194"/>
      <c r="D26" s="194"/>
      <c r="E26" s="194"/>
      <c r="F26" s="199">
        <v>2.9810585426415877E-4</v>
      </c>
      <c r="G26" s="199">
        <v>1.0700138344011383E-5</v>
      </c>
      <c r="H26" s="196">
        <v>148823617.76863861</v>
      </c>
      <c r="I26" s="196">
        <v>1770819.8916331099</v>
      </c>
      <c r="J26" s="200">
        <v>6571.8536745406827</v>
      </c>
    </row>
    <row r="27" spans="1:10" x14ac:dyDescent="0.2">
      <c r="A27" s="197" t="s">
        <v>219</v>
      </c>
      <c r="B27" s="194"/>
      <c r="C27" s="194"/>
      <c r="D27" s="194"/>
      <c r="E27" s="194"/>
      <c r="F27" s="200">
        <v>1</v>
      </c>
      <c r="G27" s="198"/>
      <c r="H27" s="200">
        <v>2.4</v>
      </c>
      <c r="I27" s="199">
        <v>0.26574803149606335</v>
      </c>
      <c r="J27" s="201">
        <v>0.1</v>
      </c>
    </row>
    <row r="28" spans="1:10" x14ac:dyDescent="0.2">
      <c r="A28" s="197" t="s">
        <v>220</v>
      </c>
      <c r="B28" s="194">
        <v>1</v>
      </c>
      <c r="C28" s="194">
        <v>9507</v>
      </c>
      <c r="D28" s="194">
        <v>0</v>
      </c>
      <c r="E28" s="194">
        <v>9107</v>
      </c>
      <c r="F28" s="199"/>
      <c r="G28" s="199"/>
      <c r="H28" s="196"/>
      <c r="I28" s="196"/>
      <c r="J28" s="200"/>
    </row>
    <row r="29" spans="1:10" x14ac:dyDescent="0.2">
      <c r="A29" s="197" t="s">
        <v>217</v>
      </c>
      <c r="B29" s="194">
        <v>3</v>
      </c>
      <c r="C29" s="194">
        <v>20</v>
      </c>
      <c r="D29" s="194"/>
      <c r="E29" s="194">
        <v>1</v>
      </c>
      <c r="F29" s="198">
        <v>298.083984375</v>
      </c>
      <c r="G29" s="198">
        <v>358.083984375</v>
      </c>
      <c r="H29" s="198">
        <v>0</v>
      </c>
      <c r="I29" s="199"/>
      <c r="J29" s="201"/>
    </row>
    <row r="30" spans="1:10" x14ac:dyDescent="0.2">
      <c r="A30" s="197" t="s">
        <v>218</v>
      </c>
      <c r="B30" s="194"/>
      <c r="C30" s="194"/>
      <c r="D30" s="194"/>
      <c r="E30" s="194"/>
      <c r="F30" s="199">
        <v>2.9810585426415877E-4</v>
      </c>
      <c r="G30" s="199">
        <v>1.0700138344011383E-5</v>
      </c>
      <c r="H30" s="196">
        <v>148823617.76863861</v>
      </c>
      <c r="I30" s="196">
        <v>1770819.8916331099</v>
      </c>
      <c r="J30" s="200">
        <v>6571.8536745406827</v>
      </c>
    </row>
    <row r="31" spans="1:10" x14ac:dyDescent="0.2">
      <c r="A31" s="197" t="s">
        <v>219</v>
      </c>
      <c r="B31" s="194"/>
      <c r="C31" s="194"/>
      <c r="D31" s="194"/>
      <c r="E31" s="194"/>
      <c r="F31" s="200">
        <v>1</v>
      </c>
      <c r="G31" s="198"/>
      <c r="H31" s="200">
        <v>2.4</v>
      </c>
      <c r="I31" s="199">
        <v>0.26574803149606335</v>
      </c>
      <c r="J31" s="201">
        <v>0.1</v>
      </c>
    </row>
    <row r="32" spans="1:10" x14ac:dyDescent="0.2">
      <c r="A32" s="197" t="s">
        <v>220</v>
      </c>
      <c r="B32" s="194">
        <v>1</v>
      </c>
      <c r="C32" s="194">
        <v>9508</v>
      </c>
      <c r="D32" s="194">
        <v>0</v>
      </c>
      <c r="E32" s="194">
        <v>9108</v>
      </c>
      <c r="F32" s="199"/>
      <c r="G32" s="199"/>
      <c r="H32" s="196"/>
      <c r="I32" s="196"/>
      <c r="J32" s="200"/>
    </row>
    <row r="33" spans="1:10" x14ac:dyDescent="0.2">
      <c r="A33" s="197" t="s">
        <v>217</v>
      </c>
      <c r="B33" s="194">
        <v>3</v>
      </c>
      <c r="C33" s="194">
        <v>20</v>
      </c>
      <c r="D33" s="194"/>
      <c r="E33" s="194">
        <v>1</v>
      </c>
      <c r="F33" s="198">
        <v>298.083984375</v>
      </c>
      <c r="G33" s="198">
        <v>358.083984375</v>
      </c>
      <c r="H33" s="198">
        <v>0</v>
      </c>
      <c r="I33" s="199"/>
      <c r="J33" s="201"/>
    </row>
    <row r="34" spans="1:10" x14ac:dyDescent="0.2">
      <c r="A34" s="197" t="s">
        <v>218</v>
      </c>
      <c r="B34" s="194"/>
      <c r="C34" s="194"/>
      <c r="D34" s="194"/>
      <c r="E34" s="194"/>
      <c r="F34" s="199">
        <v>2.9810585426415877E-4</v>
      </c>
      <c r="G34" s="199">
        <v>1.0700138344011383E-5</v>
      </c>
      <c r="H34" s="196">
        <v>148823617.76863861</v>
      </c>
      <c r="I34" s="196">
        <v>1770819.8916331099</v>
      </c>
      <c r="J34" s="200">
        <v>6571.8536745406827</v>
      </c>
    </row>
    <row r="35" spans="1:10" x14ac:dyDescent="0.2">
      <c r="A35" s="197" t="s">
        <v>219</v>
      </c>
      <c r="B35" s="194"/>
      <c r="C35" s="194"/>
      <c r="D35" s="194"/>
      <c r="E35" s="194"/>
      <c r="F35" s="200">
        <v>1</v>
      </c>
      <c r="G35" s="198"/>
      <c r="H35" s="200">
        <v>2.4</v>
      </c>
      <c r="I35" s="199">
        <v>0.26574803149606335</v>
      </c>
      <c r="J35" s="201">
        <v>0.1</v>
      </c>
    </row>
    <row r="36" spans="1:10" x14ac:dyDescent="0.2">
      <c r="A36" s="197" t="s">
        <v>220</v>
      </c>
      <c r="B36" s="194">
        <v>1</v>
      </c>
      <c r="C36" s="194">
        <v>9509</v>
      </c>
      <c r="D36" s="194">
        <v>0</v>
      </c>
      <c r="E36" s="194">
        <v>9109</v>
      </c>
      <c r="F36" s="199"/>
      <c r="G36" s="199"/>
      <c r="H36" s="196"/>
      <c r="I36" s="196"/>
      <c r="J36" s="200"/>
    </row>
    <row r="37" spans="1:10" x14ac:dyDescent="0.2">
      <c r="A37" s="197" t="s">
        <v>217</v>
      </c>
      <c r="B37" s="194">
        <v>3</v>
      </c>
      <c r="C37" s="194">
        <v>20</v>
      </c>
      <c r="D37" s="194"/>
      <c r="E37" s="194">
        <v>1</v>
      </c>
      <c r="F37" s="198">
        <v>298.083984375</v>
      </c>
      <c r="G37" s="198">
        <v>358.083984375</v>
      </c>
      <c r="H37" s="198">
        <v>0</v>
      </c>
      <c r="I37" s="199"/>
      <c r="J37" s="201"/>
    </row>
    <row r="38" spans="1:10" x14ac:dyDescent="0.2">
      <c r="A38" s="197" t="s">
        <v>218</v>
      </c>
      <c r="B38" s="194"/>
      <c r="C38" s="194"/>
      <c r="D38" s="194"/>
      <c r="E38" s="194"/>
      <c r="F38" s="199">
        <v>2.9810585426415877E-4</v>
      </c>
      <c r="G38" s="199">
        <v>1.0700138344011383E-5</v>
      </c>
      <c r="H38" s="196">
        <v>148823617.76863861</v>
      </c>
      <c r="I38" s="196">
        <v>1770819.8916331099</v>
      </c>
      <c r="J38" s="200">
        <v>6571.8536745406827</v>
      </c>
    </row>
    <row r="39" spans="1:10" x14ac:dyDescent="0.2">
      <c r="A39" s="197" t="s">
        <v>219</v>
      </c>
      <c r="B39" s="194"/>
      <c r="C39" s="194"/>
      <c r="D39" s="194"/>
      <c r="E39" s="194"/>
      <c r="F39" s="200">
        <v>1</v>
      </c>
      <c r="G39" s="199"/>
      <c r="H39" s="200">
        <v>2.4</v>
      </c>
      <c r="I39" s="199">
        <v>0.26574803149606335</v>
      </c>
      <c r="J39" s="201">
        <v>0.1</v>
      </c>
    </row>
    <row r="40" spans="1:10" x14ac:dyDescent="0.2">
      <c r="A40" s="197" t="s">
        <v>220</v>
      </c>
      <c r="B40" s="194">
        <v>1</v>
      </c>
      <c r="C40" s="194">
        <v>9510</v>
      </c>
      <c r="D40" s="194">
        <v>0</v>
      </c>
      <c r="E40" s="194">
        <v>9110</v>
      </c>
      <c r="F40" s="199"/>
      <c r="G40" s="199"/>
      <c r="H40" s="196"/>
      <c r="I40" s="196"/>
      <c r="J40" s="200"/>
    </row>
    <row r="41" spans="1:10" x14ac:dyDescent="0.2">
      <c r="A41" s="197" t="s">
        <v>217</v>
      </c>
      <c r="B41" s="194">
        <v>3</v>
      </c>
      <c r="C41" s="194">
        <v>20</v>
      </c>
      <c r="D41" s="194"/>
      <c r="E41" s="194">
        <v>1</v>
      </c>
      <c r="F41" s="198">
        <v>298.083984375</v>
      </c>
      <c r="G41" s="198">
        <v>358.083984375</v>
      </c>
      <c r="H41" s="198">
        <v>0</v>
      </c>
      <c r="I41" s="199"/>
      <c r="J41" s="201"/>
    </row>
    <row r="42" spans="1:10" x14ac:dyDescent="0.2">
      <c r="A42" s="197" t="s">
        <v>218</v>
      </c>
      <c r="B42" s="194"/>
      <c r="C42" s="194"/>
      <c r="D42" s="194"/>
      <c r="E42" s="194"/>
      <c r="F42" s="199">
        <v>2.9810585426415877E-4</v>
      </c>
      <c r="G42" s="199">
        <v>1.0700138344011383E-5</v>
      </c>
      <c r="H42" s="196">
        <v>148823617.76863861</v>
      </c>
      <c r="I42" s="196">
        <v>1770819.8916331099</v>
      </c>
      <c r="J42" s="200">
        <v>6571.8536745406827</v>
      </c>
    </row>
    <row r="43" spans="1:10" x14ac:dyDescent="0.2">
      <c r="A43" s="197" t="s">
        <v>219</v>
      </c>
      <c r="B43" s="194"/>
      <c r="C43" s="194"/>
      <c r="D43" s="194"/>
      <c r="E43" s="194"/>
      <c r="F43" s="200">
        <v>1</v>
      </c>
      <c r="G43" s="198"/>
      <c r="H43" s="200">
        <v>2.4</v>
      </c>
      <c r="I43" s="199">
        <v>0.26574803149606335</v>
      </c>
      <c r="J43" s="201">
        <v>0.1</v>
      </c>
    </row>
    <row r="44" spans="1:10" x14ac:dyDescent="0.2">
      <c r="A44" s="197" t="s">
        <v>220</v>
      </c>
      <c r="B44" s="194">
        <v>1</v>
      </c>
      <c r="C44" s="194">
        <v>9510</v>
      </c>
      <c r="D44" s="194">
        <v>0</v>
      </c>
      <c r="E44" s="194">
        <v>9110</v>
      </c>
      <c r="F44" s="199"/>
      <c r="G44" s="199"/>
      <c r="H44" s="196"/>
      <c r="I44" s="196"/>
      <c r="J44" s="200"/>
    </row>
    <row r="45" spans="1:10" x14ac:dyDescent="0.2">
      <c r="A45" s="197" t="s">
        <v>217</v>
      </c>
      <c r="B45" s="194">
        <v>3</v>
      </c>
      <c r="C45" s="194">
        <v>20</v>
      </c>
      <c r="D45" s="194"/>
      <c r="E45" s="194">
        <v>1</v>
      </c>
      <c r="F45" s="198">
        <v>298.083984375</v>
      </c>
      <c r="G45" s="198">
        <v>358.083984375</v>
      </c>
      <c r="H45" s="198">
        <v>0</v>
      </c>
      <c r="I45" s="199"/>
      <c r="J45" s="201"/>
    </row>
    <row r="46" spans="1:10" x14ac:dyDescent="0.2">
      <c r="A46" s="197" t="s">
        <v>218</v>
      </c>
      <c r="B46" s="194"/>
      <c r="C46" s="194"/>
      <c r="D46" s="194"/>
      <c r="E46" s="194"/>
      <c r="F46" s="199">
        <v>2.9810585426415877E-4</v>
      </c>
      <c r="G46" s="199">
        <v>1.0700138344011383E-5</v>
      </c>
      <c r="H46" s="196">
        <v>148823617.76863861</v>
      </c>
      <c r="I46" s="196">
        <v>1770819.8916331099</v>
      </c>
      <c r="J46" s="200">
        <v>6571.8536745406827</v>
      </c>
    </row>
    <row r="47" spans="1:10" x14ac:dyDescent="0.2">
      <c r="A47" s="197" t="s">
        <v>219</v>
      </c>
      <c r="B47" s="194"/>
      <c r="C47" s="194"/>
      <c r="D47" s="194"/>
      <c r="E47" s="194"/>
      <c r="F47" s="200">
        <v>1</v>
      </c>
      <c r="G47" s="199"/>
      <c r="H47" s="200">
        <v>2.4</v>
      </c>
      <c r="I47" s="199">
        <v>0.26574803149606335</v>
      </c>
      <c r="J47" s="201">
        <v>0.1</v>
      </c>
    </row>
    <row r="48" spans="1:10" x14ac:dyDescent="0.2">
      <c r="A48" s="197" t="s">
        <v>221</v>
      </c>
      <c r="B48" s="194">
        <v>1</v>
      </c>
      <c r="C48" s="194">
        <v>9510</v>
      </c>
      <c r="D48" s="194">
        <v>0</v>
      </c>
      <c r="E48" s="194">
        <v>9110</v>
      </c>
      <c r="F48" s="199"/>
      <c r="G48" s="199"/>
      <c r="H48" s="196"/>
      <c r="I48" s="196"/>
      <c r="J48" s="20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selection activeCell="J18" sqref="J18"/>
    </sheetView>
  </sheetViews>
  <sheetFormatPr defaultRowHeight="12.75" x14ac:dyDescent="0.2"/>
  <cols>
    <col min="1" max="1" width="11.7109375" customWidth="1"/>
    <col min="2" max="3" width="5.7109375" customWidth="1"/>
    <col min="4" max="6" width="10.7109375" customWidth="1"/>
  </cols>
  <sheetData>
    <row r="1" spans="1:9" x14ac:dyDescent="0.2">
      <c r="A1" s="193" t="s">
        <v>222</v>
      </c>
      <c r="B1" s="194"/>
      <c r="C1" s="194"/>
      <c r="D1" s="202">
        <v>1675.1999999999989</v>
      </c>
      <c r="E1" s="195">
        <v>-1105.2499999999982</v>
      </c>
      <c r="F1" s="195">
        <v>-100</v>
      </c>
      <c r="G1" s="194"/>
      <c r="H1" s="194"/>
      <c r="I1" s="194"/>
    </row>
    <row r="2" spans="1:9" x14ac:dyDescent="0.2">
      <c r="A2" s="193" t="s">
        <v>223</v>
      </c>
      <c r="B2" s="194"/>
      <c r="C2" s="194"/>
      <c r="D2" s="202">
        <v>1319.1799999999998</v>
      </c>
      <c r="E2" s="195">
        <v>-1490.1900000000005</v>
      </c>
      <c r="F2" s="195">
        <v>-100</v>
      </c>
      <c r="G2" s="194"/>
      <c r="H2" s="194"/>
      <c r="I2" s="194"/>
    </row>
    <row r="3" spans="1:9" x14ac:dyDescent="0.2">
      <c r="A3" s="193" t="s">
        <v>224</v>
      </c>
      <c r="B3" s="194"/>
      <c r="C3" s="194"/>
      <c r="D3" s="202">
        <v>875.54000000000065</v>
      </c>
      <c r="E3" s="195">
        <v>-1770.7200000000005</v>
      </c>
      <c r="F3" s="195">
        <v>-100</v>
      </c>
      <c r="G3" s="194"/>
      <c r="H3" s="194"/>
      <c r="I3" s="194"/>
    </row>
    <row r="4" spans="1:9" x14ac:dyDescent="0.2">
      <c r="A4" s="193" t="s">
        <v>225</v>
      </c>
      <c r="B4" s="194"/>
      <c r="C4" s="194"/>
      <c r="D4" s="202">
        <v>-875.53999999999951</v>
      </c>
      <c r="E4" s="195">
        <v>-1770.7200000000009</v>
      </c>
      <c r="F4" s="195">
        <v>-100</v>
      </c>
      <c r="G4" s="194"/>
      <c r="H4" s="194"/>
      <c r="I4" s="194"/>
    </row>
    <row r="5" spans="1:9" x14ac:dyDescent="0.2">
      <c r="A5" s="193" t="s">
        <v>226</v>
      </c>
      <c r="B5" s="194"/>
      <c r="C5" s="194"/>
      <c r="D5" s="202">
        <v>-1319.1799999999989</v>
      </c>
      <c r="E5" s="195">
        <v>-1490.1900000000014</v>
      </c>
      <c r="F5" s="195">
        <v>-100</v>
      </c>
      <c r="G5" s="194"/>
      <c r="H5" s="194"/>
      <c r="I5" s="194"/>
    </row>
    <row r="6" spans="1:9" x14ac:dyDescent="0.2">
      <c r="A6" s="193" t="s">
        <v>227</v>
      </c>
      <c r="B6" s="194"/>
      <c r="C6" s="194"/>
      <c r="D6" s="202">
        <v>-1675.1999999999985</v>
      </c>
      <c r="E6" s="195">
        <v>-1105.2499999999991</v>
      </c>
      <c r="F6" s="195">
        <v>-100</v>
      </c>
      <c r="G6" s="194"/>
      <c r="H6" s="194"/>
      <c r="I6" s="194"/>
    </row>
    <row r="7" spans="1:9" x14ac:dyDescent="0.2">
      <c r="A7" s="193" t="s">
        <v>228</v>
      </c>
      <c r="B7" s="194"/>
      <c r="C7" s="194"/>
      <c r="D7" s="202">
        <v>-1675.1999999999989</v>
      </c>
      <c r="E7" s="195">
        <v>1105.2499999999982</v>
      </c>
      <c r="F7" s="195">
        <v>-100</v>
      </c>
      <c r="G7" s="194"/>
      <c r="H7" s="194"/>
      <c r="I7" s="194"/>
    </row>
    <row r="8" spans="1:9" x14ac:dyDescent="0.2">
      <c r="A8" s="193" t="s">
        <v>229</v>
      </c>
      <c r="B8" s="194"/>
      <c r="C8" s="194"/>
      <c r="D8" s="202">
        <v>-1319.1799999999998</v>
      </c>
      <c r="E8" s="195">
        <v>1490.1900000000005</v>
      </c>
      <c r="F8" s="195">
        <v>-100</v>
      </c>
      <c r="G8" s="194"/>
      <c r="H8" s="194"/>
      <c r="I8" s="196"/>
    </row>
    <row r="9" spans="1:9" x14ac:dyDescent="0.2">
      <c r="A9" s="193" t="s">
        <v>230</v>
      </c>
      <c r="B9" s="194"/>
      <c r="C9" s="194"/>
      <c r="D9" s="202">
        <v>-875.54000000000065</v>
      </c>
      <c r="E9" s="195">
        <v>1770.7200000000005</v>
      </c>
      <c r="F9" s="195">
        <v>-100</v>
      </c>
      <c r="G9" s="194"/>
      <c r="H9" s="194"/>
      <c r="I9" s="194"/>
    </row>
    <row r="10" spans="1:9" x14ac:dyDescent="0.2">
      <c r="A10" s="193" t="s">
        <v>231</v>
      </c>
      <c r="B10" s="194"/>
      <c r="C10" s="194"/>
      <c r="D10" s="202">
        <v>875.53999999999951</v>
      </c>
      <c r="E10" s="195">
        <v>1770.7200000000009</v>
      </c>
      <c r="F10" s="195">
        <v>-100</v>
      </c>
      <c r="G10" s="194"/>
      <c r="H10" s="194"/>
      <c r="I10" s="194"/>
    </row>
    <row r="11" spans="1:9" x14ac:dyDescent="0.2">
      <c r="A11" s="193" t="s">
        <v>232</v>
      </c>
      <c r="B11" s="194"/>
      <c r="C11" s="194"/>
      <c r="D11" s="202">
        <v>1318.8800000000003</v>
      </c>
      <c r="E11" s="195">
        <v>1490.1900000000014</v>
      </c>
      <c r="F11" s="195">
        <v>-100</v>
      </c>
      <c r="G11" s="194"/>
      <c r="H11" s="194"/>
      <c r="I11" s="194"/>
    </row>
    <row r="12" spans="1:9" x14ac:dyDescent="0.2">
      <c r="A12" s="193" t="s">
        <v>233</v>
      </c>
      <c r="B12" s="194"/>
      <c r="C12" s="194"/>
      <c r="D12" s="202">
        <v>1675.1999999999985</v>
      </c>
      <c r="E12" s="195">
        <v>1105.2499999999991</v>
      </c>
      <c r="F12" s="195">
        <v>-100</v>
      </c>
      <c r="G12" s="194"/>
      <c r="H12" s="194"/>
      <c r="I12" s="1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tabSelected="1" workbookViewId="0"/>
  </sheetViews>
  <sheetFormatPr defaultRowHeight="12.75" x14ac:dyDescent="0.2"/>
  <cols>
    <col min="1" max="1" width="11.7109375" style="203" customWidth="1"/>
    <col min="2" max="3" width="5.7109375" style="203" customWidth="1"/>
    <col min="4" max="6" width="10.7109375" style="203" customWidth="1"/>
    <col min="7" max="16384" width="9.140625" style="203"/>
  </cols>
  <sheetData>
    <row r="1" spans="1:9" x14ac:dyDescent="0.2">
      <c r="A1" s="193" t="s">
        <v>222</v>
      </c>
      <c r="B1" s="194"/>
      <c r="C1" s="194"/>
      <c r="D1" s="202">
        <v>1675.1999999999989</v>
      </c>
      <c r="E1" s="195">
        <v>-1105.2499999999982</v>
      </c>
      <c r="F1" s="195">
        <v>-100</v>
      </c>
      <c r="G1" s="194"/>
      <c r="H1" s="194"/>
      <c r="I1" s="194"/>
    </row>
    <row r="2" spans="1:9" x14ac:dyDescent="0.2">
      <c r="A2" s="193" t="s">
        <v>223</v>
      </c>
      <c r="B2" s="194"/>
      <c r="C2" s="194"/>
      <c r="D2" s="202">
        <v>1319.1799999999998</v>
      </c>
      <c r="E2" s="195">
        <v>-1490.1900000000005</v>
      </c>
      <c r="F2" s="195">
        <v>-100</v>
      </c>
      <c r="G2" s="194"/>
      <c r="H2" s="194"/>
      <c r="I2" s="194"/>
    </row>
    <row r="3" spans="1:9" x14ac:dyDescent="0.2">
      <c r="A3" s="193" t="s">
        <v>224</v>
      </c>
      <c r="B3" s="194"/>
      <c r="C3" s="194"/>
      <c r="D3" s="202">
        <v>875.54000000000065</v>
      </c>
      <c r="E3" s="195">
        <v>-1770.7200000000005</v>
      </c>
      <c r="F3" s="195">
        <v>-100</v>
      </c>
      <c r="G3" s="194"/>
      <c r="H3" s="194"/>
      <c r="I3" s="194"/>
    </row>
    <row r="4" spans="1:9" x14ac:dyDescent="0.2">
      <c r="A4" s="193" t="s">
        <v>225</v>
      </c>
      <c r="B4" s="194"/>
      <c r="C4" s="194"/>
      <c r="D4" s="202">
        <v>-875.53999999999951</v>
      </c>
      <c r="E4" s="195">
        <v>-1770.7200000000009</v>
      </c>
      <c r="F4" s="195">
        <v>-100</v>
      </c>
      <c r="G4" s="194"/>
      <c r="H4" s="194"/>
      <c r="I4" s="194"/>
    </row>
    <row r="5" spans="1:9" x14ac:dyDescent="0.2">
      <c r="A5" s="193" t="s">
        <v>226</v>
      </c>
      <c r="B5" s="194"/>
      <c r="C5" s="194"/>
      <c r="D5" s="202">
        <v>-1319.1799999999989</v>
      </c>
      <c r="E5" s="195">
        <v>-1490.1900000000014</v>
      </c>
      <c r="F5" s="195">
        <v>-100</v>
      </c>
      <c r="G5" s="194"/>
      <c r="H5" s="194"/>
      <c r="I5" s="194"/>
    </row>
    <row r="6" spans="1:9" x14ac:dyDescent="0.2">
      <c r="A6" s="193" t="s">
        <v>227</v>
      </c>
      <c r="B6" s="194"/>
      <c r="C6" s="194"/>
      <c r="D6" s="202">
        <v>-1675.1999999999985</v>
      </c>
      <c r="E6" s="195">
        <v>-1105.2499999999991</v>
      </c>
      <c r="F6" s="195">
        <v>-100</v>
      </c>
      <c r="G6" s="194"/>
      <c r="H6" s="194"/>
      <c r="I6" s="194"/>
    </row>
    <row r="7" spans="1:9" x14ac:dyDescent="0.2">
      <c r="A7" s="193" t="s">
        <v>228</v>
      </c>
      <c r="B7" s="194"/>
      <c r="C7" s="194"/>
      <c r="D7" s="202">
        <v>-1675.1999999999989</v>
      </c>
      <c r="E7" s="195">
        <v>1105.2499999999982</v>
      </c>
      <c r="F7" s="195">
        <v>-100</v>
      </c>
      <c r="G7" s="194"/>
      <c r="H7" s="194"/>
      <c r="I7" s="194"/>
    </row>
    <row r="8" spans="1:9" x14ac:dyDescent="0.2">
      <c r="A8" s="193" t="s">
        <v>229</v>
      </c>
      <c r="B8" s="194"/>
      <c r="C8" s="194"/>
      <c r="D8" s="202">
        <v>-1319.1799999999998</v>
      </c>
      <c r="E8" s="195">
        <v>1490.1900000000005</v>
      </c>
      <c r="F8" s="195">
        <v>-100</v>
      </c>
      <c r="G8" s="194"/>
      <c r="H8" s="194"/>
      <c r="I8" s="196"/>
    </row>
    <row r="9" spans="1:9" x14ac:dyDescent="0.2">
      <c r="A9" s="193" t="s">
        <v>230</v>
      </c>
      <c r="B9" s="194"/>
      <c r="C9" s="194"/>
      <c r="D9" s="202">
        <v>-875.54000000000065</v>
      </c>
      <c r="E9" s="195">
        <v>1770.7200000000005</v>
      </c>
      <c r="F9" s="195">
        <v>-100</v>
      </c>
      <c r="G9" s="194"/>
      <c r="H9" s="194"/>
      <c r="I9" s="194"/>
    </row>
    <row r="10" spans="1:9" x14ac:dyDescent="0.2">
      <c r="A10" s="193" t="s">
        <v>231</v>
      </c>
      <c r="B10" s="194"/>
      <c r="C10" s="194"/>
      <c r="D10" s="202">
        <v>875.53999999999951</v>
      </c>
      <c r="E10" s="195">
        <v>1770.7200000000009</v>
      </c>
      <c r="F10" s="195">
        <v>-100</v>
      </c>
      <c r="G10" s="194"/>
      <c r="H10" s="194"/>
      <c r="I10" s="194"/>
    </row>
    <row r="11" spans="1:9" x14ac:dyDescent="0.2">
      <c r="A11" s="193" t="s">
        <v>232</v>
      </c>
      <c r="B11" s="194"/>
      <c r="C11" s="194"/>
      <c r="D11" s="202">
        <v>1318.8800000000003</v>
      </c>
      <c r="E11" s="195">
        <v>1490.1900000000014</v>
      </c>
      <c r="F11" s="195">
        <v>-100</v>
      </c>
      <c r="G11" s="194"/>
      <c r="H11" s="194"/>
      <c r="I11" s="194"/>
    </row>
    <row r="12" spans="1:9" x14ac:dyDescent="0.2">
      <c r="A12" s="193" t="s">
        <v>233</v>
      </c>
      <c r="B12" s="194"/>
      <c r="C12" s="194"/>
      <c r="D12" s="202">
        <v>1675.1999999999985</v>
      </c>
      <c r="E12" s="195">
        <v>1105.2499999999991</v>
      </c>
      <c r="F12" s="195">
        <v>-100</v>
      </c>
      <c r="G12" s="194"/>
      <c r="H12" s="194"/>
      <c r="I12" s="1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36</vt:i4>
      </vt:variant>
    </vt:vector>
  </HeadingPairs>
  <TitlesOfParts>
    <vt:vector size="46" baseType="lpstr">
      <vt:lpstr>User Input</vt:lpstr>
      <vt:lpstr>catenary Input</vt:lpstr>
      <vt:lpstr>calculations</vt:lpstr>
      <vt:lpstr>Payout</vt:lpstr>
      <vt:lpstr>Payout Metric</vt:lpstr>
      <vt:lpstr>Summary</vt:lpstr>
      <vt:lpstr>Line Properties</vt:lpstr>
      <vt:lpstr>Mooring</vt:lpstr>
      <vt:lpstr>Anchor</vt:lpstr>
      <vt:lpstr>fairlead</vt:lpstr>
      <vt:lpstr>ChainPayoutMIn</vt:lpstr>
      <vt:lpstr>ChainPayoutRange</vt:lpstr>
      <vt:lpstr>ChainPayoutRangeSurv</vt:lpstr>
      <vt:lpstr>ClientName</vt:lpstr>
      <vt:lpstr>CtrlLineAnchorLoad</vt:lpstr>
      <vt:lpstr>CtrlLineAnchorUpliftAngle</vt:lpstr>
      <vt:lpstr>CtrlLineGrdLen</vt:lpstr>
      <vt:lpstr>CtrlLineScope</vt:lpstr>
      <vt:lpstr>CtrlLineSurvAnchorLoad</vt:lpstr>
      <vt:lpstr>CtrlLineSurvAnchorUpliftAngle</vt:lpstr>
      <vt:lpstr>CtrlLineSurvGrdLen</vt:lpstr>
      <vt:lpstr>CtrlLineSurvScope</vt:lpstr>
      <vt:lpstr>fairleadLocalX</vt:lpstr>
      <vt:lpstr>FairleadLocalY</vt:lpstr>
      <vt:lpstr>LocationName</vt:lpstr>
      <vt:lpstr>NumLines</vt:lpstr>
      <vt:lpstr>Pretension</vt:lpstr>
      <vt:lpstr>pretensionMax</vt:lpstr>
      <vt:lpstr>PretensionMin</vt:lpstr>
      <vt:lpstr>calculations!Print_Area</vt:lpstr>
      <vt:lpstr>'catenary Input'!Print_Area</vt:lpstr>
      <vt:lpstr>'Line Properties'!Print_Area</vt:lpstr>
      <vt:lpstr>Payout!Print_Area</vt:lpstr>
      <vt:lpstr>'Payout Metric'!Print_Area</vt:lpstr>
      <vt:lpstr>'User Input'!Print_Area</vt:lpstr>
      <vt:lpstr>SurvPretension</vt:lpstr>
      <vt:lpstr>VesselHdg</vt:lpstr>
      <vt:lpstr>VesselName</vt:lpstr>
      <vt:lpstr>vPosX</vt:lpstr>
      <vt:lpstr>vPosY</vt:lpstr>
      <vt:lpstr>WaterDepth</vt:lpstr>
      <vt:lpstr>WirePayoutMax</vt:lpstr>
      <vt:lpstr>WirePayoutMin</vt:lpstr>
      <vt:lpstr>WirePayoutRange</vt:lpstr>
      <vt:lpstr>WirePayoutRangeOper</vt:lpstr>
      <vt:lpstr>WirePayoutRangeSurv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2009-04-07T18:37:27Z</cp:lastPrinted>
  <dcterms:created xsi:type="dcterms:W3CDTF">1998-12-17T22:00:16Z</dcterms:created>
  <dcterms:modified xsi:type="dcterms:W3CDTF">2016-01-27T17:10:12Z</dcterms:modified>
</cp:coreProperties>
</file>